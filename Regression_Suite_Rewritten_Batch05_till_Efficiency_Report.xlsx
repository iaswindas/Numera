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924" firstSheet="19" activeTab="20" autoFilterDateGrouping="1"/>
  </bookViews>
  <sheets>
    <sheet xmlns:r="http://schemas.openxmlformats.org/officeDocument/2006/relationships" name="Summary" sheetId="1" state="visible" r:id="rId1"/>
    <sheet xmlns:r="http://schemas.openxmlformats.org/officeDocument/2006/relationships" name="SSO Login" sheetId="2" state="visible" r:id="rId2"/>
    <sheet xmlns:r="http://schemas.openxmlformats.org/officeDocument/2006/relationships" name="Login Screen" sheetId="3" state="visible" r:id="rId3"/>
    <sheet xmlns:r="http://schemas.openxmlformats.org/officeDocument/2006/relationships" name="Security Test" sheetId="4" state="visible" r:id="rId4"/>
    <sheet xmlns:r="http://schemas.openxmlformats.org/officeDocument/2006/relationships" name="Dashboard" sheetId="5" state="visible" r:id="rId5"/>
    <sheet xmlns:r="http://schemas.openxmlformats.org/officeDocument/2006/relationships" name="Customer Screen" sheetId="6" state="visible" r:id="rId6"/>
    <sheet xmlns:r="http://schemas.openxmlformats.org/officeDocument/2006/relationships" name="Item Creation" sheetId="7" state="visible" r:id="rId7"/>
    <sheet xmlns:r="http://schemas.openxmlformats.org/officeDocument/2006/relationships" name="Spreading Screen_Pdf File" sheetId="8" state="visible" r:id="rId8"/>
    <sheet xmlns:r="http://schemas.openxmlformats.org/officeDocument/2006/relationships" name="Spreading Screen_Excel File" sheetId="9" state="visible" r:id="rId9"/>
    <sheet xmlns:r="http://schemas.openxmlformats.org/officeDocument/2006/relationships" name="Clean PDF" sheetId="10" state="visible" r:id="rId10"/>
    <sheet xmlns:r="http://schemas.openxmlformats.org/officeDocument/2006/relationships" name="Split Pdf" sheetId="11" state="visible" r:id="rId11"/>
    <sheet xmlns:r="http://schemas.openxmlformats.org/officeDocument/2006/relationships" name="Expressions Verification" sheetId="12" state="visible" r:id="rId12"/>
    <sheet xmlns:r="http://schemas.openxmlformats.org/officeDocument/2006/relationships" name="Statement Export" sheetId="13" state="visible" r:id="rId13"/>
    <sheet xmlns:r="http://schemas.openxmlformats.org/officeDocument/2006/relationships" name="Model Management" sheetId="14" state="visible" r:id="rId14"/>
    <sheet xmlns:r="http://schemas.openxmlformats.org/officeDocument/2006/relationships" name=" Bulk Upload" sheetId="15" state="visible" r:id="rId15"/>
    <sheet xmlns:r="http://schemas.openxmlformats.org/officeDocument/2006/relationships" name="Reporting" sheetId="16" state="visible" r:id="rId16"/>
    <sheet xmlns:r="http://schemas.openxmlformats.org/officeDocument/2006/relationships" name="Admin Screen" sheetId="17" state="visible" r:id="rId17"/>
    <sheet xmlns:r="http://schemas.openxmlformats.org/officeDocument/2006/relationships" name="Customer Zone" sheetId="18" state="visible" r:id="rId18"/>
    <sheet xmlns:r="http://schemas.openxmlformats.org/officeDocument/2006/relationships" name="Currency Conversion" sheetId="19" state="visible" r:id="rId19"/>
    <sheet xmlns:r="http://schemas.openxmlformats.org/officeDocument/2006/relationships" name="AIML Training" sheetId="20" state="visible" r:id="rId20"/>
    <sheet xmlns:r="http://schemas.openxmlformats.org/officeDocument/2006/relationships" name="Notes Processing" sheetId="21" state="visible" r:id="rId21"/>
    <sheet xmlns:r="http://schemas.openxmlformats.org/officeDocument/2006/relationships" name="Notes Processing-L2" sheetId="22" state="visible" r:id="rId22"/>
    <sheet xmlns:r="http://schemas.openxmlformats.org/officeDocument/2006/relationships" name="Maker Checker" sheetId="23" state="visible" r:id="rId23"/>
    <sheet xmlns:r="http://schemas.openxmlformats.org/officeDocument/2006/relationships" name="Taxonomy" sheetId="24" state="visible" r:id="rId24"/>
    <sheet xmlns:r="http://schemas.openxmlformats.org/officeDocument/2006/relationships" name="Exclusion" sheetId="25" state="visible" r:id="rId25"/>
    <sheet xmlns:r="http://schemas.openxmlformats.org/officeDocument/2006/relationships" name="Global To Child" sheetId="26" state="visible" r:id="rId26"/>
    <sheet xmlns:r="http://schemas.openxmlformats.org/officeDocument/2006/relationships" name="Autofill Matrix" sheetId="27" state="visible" r:id="rId27"/>
    <sheet xmlns:r="http://schemas.openxmlformats.org/officeDocument/2006/relationships" name="Document Classification" sheetId="28" state="visible" r:id="rId28"/>
    <sheet xmlns:r="http://schemas.openxmlformats.org/officeDocument/2006/relationships" name="NAICS" sheetId="29" state="visible" r:id="rId29"/>
    <sheet xmlns:r="http://schemas.openxmlformats.org/officeDocument/2006/relationships" name="Negative Scenarios" sheetId="30" state="visible" r:id="rId30"/>
    <sheet xmlns:r="http://schemas.openxmlformats.org/officeDocument/2006/relationships" name="Area of Impact" sheetId="31" state="visible" r:id="rId31"/>
    <sheet xmlns:r="http://schemas.openxmlformats.org/officeDocument/2006/relationships" name="Efficiency Report" sheetId="32" state="visible" r:id="rId32"/>
  </sheets>
  <definedNames>
    <definedName name="_xlnm._FilterDatabase" localSheetId="21" hidden="1">'Notes Processing-L2'!$B$2:$J$101</definedName>
  </definedNames>
  <calcPr calcId="144525" calcMode="auto" fullCalcOnLoad="1" forceFullCalc="1"/>
</workbook>
</file>

<file path=xl/styles.xml><?xml version="1.0" encoding="utf-8"?>
<styleSheet xmlns="http://schemas.openxmlformats.org/spreadsheetml/2006/main">
  <numFmts count="1">
    <numFmt numFmtId="164" formatCode="[$-409]d\-mmm\-yyyy;@"/>
  </numFmts>
  <fonts count="43">
    <font>
      <name val="Calibri"/>
      <family val="2"/>
      <color theme="1"/>
      <sz val="11"/>
      <scheme val="minor"/>
    </font>
    <font>
      <name val="Calibri"/>
      <family val="2"/>
      <b val="1"/>
      <color theme="1"/>
      <sz val="11"/>
      <scheme val="minor"/>
    </font>
    <font>
      <name val="Segoe UI"/>
      <family val="2"/>
      <color rgb="FF000000"/>
      <sz val="9"/>
    </font>
    <font>
      <name val="Calibri"/>
      <family val="2"/>
      <color theme="1"/>
      <sz val="10"/>
      <scheme val="minor"/>
    </font>
    <font>
      <name val="Arial"/>
      <family val="2"/>
      <b val="1"/>
      <sz val="8"/>
    </font>
    <font>
      <name val="Arial"/>
      <family val="2"/>
      <color indexed="8"/>
      <sz val="9"/>
    </font>
    <font>
      <name val="Arial"/>
      <family val="2"/>
      <b val="1"/>
      <color indexed="8"/>
      <sz val="11"/>
    </font>
    <font>
      <name val="Arial"/>
      <family val="2"/>
      <b val="1"/>
      <sz val="9"/>
    </font>
    <font>
      <name val="Arial"/>
      <family val="2"/>
      <sz val="9"/>
    </font>
    <font>
      <name val="Arial"/>
      <family val="2"/>
      <b val="1"/>
      <color indexed="8"/>
      <sz val="9"/>
    </font>
    <font>
      <name val="Calibri"/>
      <family val="2"/>
      <b val="1"/>
      <color theme="1"/>
      <sz val="9"/>
      <scheme val="minor"/>
    </font>
    <font>
      <name val="Calibri"/>
      <family val="2"/>
      <color theme="1"/>
      <sz val="9"/>
      <scheme val="minor"/>
    </font>
    <font>
      <name val="Calibri"/>
      <family val="2"/>
      <b val="1"/>
      <color rgb="FFFFFFFF"/>
      <sz val="10"/>
    </font>
    <font>
      <name val="Calibri"/>
      <family val="2"/>
      <color theme="1"/>
      <sz val="10"/>
    </font>
    <font>
      <name val="Arial"/>
      <family val="2"/>
      <sz val="10"/>
    </font>
    <font>
      <name val="Calibri"/>
      <family val="2"/>
      <color theme="10"/>
      <sz val="11"/>
      <u val="single"/>
      <scheme val="minor"/>
    </font>
    <font>
      <name val="Calibri"/>
      <family val="2"/>
      <color rgb="FFFF0000"/>
      <sz val="10"/>
      <scheme val="minor"/>
    </font>
    <font>
      <name val="Calibri"/>
      <family val="2"/>
      <b val="1"/>
      <color indexed="8"/>
      <sz val="10"/>
    </font>
    <font>
      <name val="Calibri"/>
      <family val="2"/>
      <color indexed="8"/>
      <sz val="10"/>
    </font>
    <font>
      <name val="Calibri"/>
      <family val="2"/>
      <b val="1"/>
      <color theme="1"/>
      <sz val="10"/>
      <scheme val="minor"/>
    </font>
    <font>
      <name val="Segoe UI"/>
      <family val="2"/>
      <b val="1"/>
      <color theme="1"/>
      <sz val="9"/>
    </font>
    <font>
      <name val="Segoe UI"/>
      <family val="2"/>
      <color theme="1"/>
      <sz val="9"/>
    </font>
    <font>
      <name val="Segoe UI"/>
      <family val="2"/>
      <b val="1"/>
      <color rgb="FF000000"/>
      <sz val="9"/>
    </font>
    <font>
      <name val="Calibri"/>
      <family val="2"/>
      <color theme="1"/>
      <sz val="10.5"/>
      <scheme val="minor"/>
    </font>
    <font>
      <name val="Calibri"/>
      <family val="2"/>
      <b val="1"/>
      <color theme="1"/>
      <sz val="10.5"/>
      <scheme val="minor"/>
    </font>
    <font>
      <name val="Calibri"/>
      <family val="2"/>
      <sz val="8"/>
      <scheme val="minor"/>
    </font>
    <font>
      <name val="Tahoma"/>
      <family val="2"/>
      <b val="1"/>
      <color indexed="81"/>
      <sz val="9"/>
    </font>
    <font>
      <name val="Tahoma"/>
      <family val="2"/>
      <color indexed="81"/>
      <sz val="9"/>
    </font>
    <font>
      <name val="Arial"/>
      <family val="2"/>
      <color rgb="FF006100"/>
      <sz val="10"/>
    </font>
    <font>
      <name val="Calibri"/>
      <family val="2"/>
      <b val="1"/>
      <color rgb="FFFFFFFF"/>
      <sz val="10"/>
      <scheme val="minor"/>
    </font>
    <font>
      <name val="Calibri"/>
      <family val="2"/>
      <b val="1"/>
      <color theme="1"/>
      <sz val="11"/>
      <u val="single"/>
      <scheme val="minor"/>
    </font>
    <font>
      <name val="Calibri"/>
      <family val="2"/>
      <color rgb="FF000000"/>
      <sz val="11"/>
    </font>
    <font>
      <name val="Calibri"/>
      <family val="2"/>
      <color rgb="FF9C6500"/>
      <sz val="9"/>
    </font>
    <font>
      <name val="Calibri"/>
      <family val="2"/>
      <color rgb="FF000000"/>
      <sz val="9"/>
    </font>
    <font>
      <name val="Calibri"/>
      <family val="2"/>
      <color rgb="FF000000"/>
      <sz val="10"/>
    </font>
    <font>
      <name val="Segoe UI"/>
      <family val="2"/>
      <strike val="1"/>
      <color rgb="FF000000"/>
      <sz val="9"/>
    </font>
    <font>
      <name val="Aptos Narrow"/>
      <charset val="1"/>
      <family val="2"/>
      <b val="1"/>
      <color rgb="FF000000"/>
      <sz val="11"/>
    </font>
    <font>
      <name val="Calibri"/>
      <family val="2"/>
      <b val="1"/>
      <color rgb="FF000000"/>
      <sz val="11"/>
    </font>
    <font>
      <name val="Segoe UI"/>
      <family val="2"/>
      <color rgb="FF000000"/>
      <sz val="11"/>
    </font>
    <font>
      <name val="Calibri"/>
      <family val="2"/>
      <color rgb="FF000000"/>
      <sz val="10"/>
      <scheme val="minor"/>
    </font>
    <font>
      <name val="Calibri"/>
      <family val="2"/>
      <b val="1"/>
      <color theme="1"/>
      <sz val="16"/>
      <scheme val="minor"/>
    </font>
    <font>
      <name val="Aptos"/>
      <family val="2"/>
      <color theme="1"/>
      <sz val="10"/>
    </font>
    <font>
      <name val="Segoe UI VSS (Regular)"/>
      <charset val="1"/>
      <color rgb="FF000000"/>
      <sz val="11"/>
    </font>
  </fonts>
  <fills count="35">
    <fill>
      <patternFill/>
    </fill>
    <fill>
      <patternFill patternType="gray125"/>
    </fill>
    <fill>
      <patternFill patternType="solid">
        <fgColor theme="4" tint="0.3999755851924192"/>
        <bgColor indexed="64"/>
      </patternFill>
    </fill>
    <fill>
      <patternFill patternType="solid">
        <fgColor indexed="55"/>
        <bgColor indexed="64"/>
      </patternFill>
    </fill>
    <fill>
      <patternFill patternType="solid">
        <fgColor indexed="9"/>
        <bgColor indexed="64"/>
      </patternFill>
    </fill>
    <fill>
      <patternFill patternType="solid">
        <fgColor theme="0"/>
        <bgColor indexed="64"/>
      </patternFill>
    </fill>
    <fill>
      <patternFill patternType="solid">
        <fgColor theme="4" tint="0.5999938962981048"/>
        <bgColor indexed="64"/>
      </patternFill>
    </fill>
    <fill>
      <patternFill patternType="solid">
        <fgColor theme="0" tint="-0.1499984740745262"/>
        <bgColor indexed="64"/>
      </patternFill>
    </fill>
    <fill>
      <patternFill patternType="solid">
        <fgColor rgb="FF3D5277"/>
        <bgColor indexed="64"/>
      </patternFill>
    </fill>
    <fill>
      <patternFill patternType="solid">
        <fgColor rgb="FFF0F4FA"/>
        <bgColor indexed="64"/>
      </patternFill>
    </fill>
    <fill>
      <patternFill patternType="solid">
        <fgColor theme="5" tint="0.3999755851924192"/>
        <bgColor indexed="64"/>
      </patternFill>
    </fill>
    <fill>
      <patternFill patternType="solid">
        <fgColor theme="3" tint="0.5999938962981048"/>
        <bgColor indexed="64"/>
      </patternFill>
    </fill>
    <fill>
      <patternFill patternType="solid">
        <fgColor rgb="FFFFFF00"/>
        <bgColor indexed="64"/>
      </patternFill>
    </fill>
    <fill>
      <patternFill patternType="solid">
        <fgColor theme="5" tint="0.7999816888943144"/>
        <bgColor indexed="64"/>
      </patternFill>
    </fill>
    <fill>
      <patternFill patternType="solid">
        <fgColor theme="5" tint="0.5999938962981048"/>
        <bgColor indexed="64"/>
      </patternFill>
    </fill>
    <fill>
      <patternFill patternType="solid">
        <fgColor rgb="FF3D5277"/>
        <bgColor rgb="FF000000"/>
      </patternFill>
    </fill>
    <fill>
      <patternFill patternType="solid">
        <fgColor rgb="FFC6EFCE"/>
        <bgColor rgb="FF000000"/>
      </patternFill>
    </fill>
    <fill>
      <patternFill patternType="solid">
        <fgColor theme="0" tint="-0.3499862666707358"/>
        <bgColor indexed="64"/>
      </patternFill>
    </fill>
    <fill>
      <patternFill patternType="solid">
        <fgColor rgb="FFFFEB9C"/>
        <bgColor rgb="FF000000"/>
      </patternFill>
    </fill>
    <fill>
      <patternFill patternType="solid">
        <fgColor rgb="FFFFFF00"/>
        <bgColor rgb="FF000000"/>
      </patternFill>
    </fill>
    <fill>
      <patternFill patternType="solid">
        <fgColor rgb="FFFFFFFF"/>
        <bgColor indexed="64"/>
      </patternFill>
    </fill>
    <fill>
      <patternFill patternType="solid">
        <fgColor rgb="FF8EA9DB"/>
        <bgColor rgb="FF000000"/>
      </patternFill>
    </fill>
    <fill>
      <patternFill patternType="solid">
        <fgColor rgb="FFD0CECE"/>
        <bgColor rgb="FF000000"/>
      </patternFill>
    </fill>
    <fill>
      <patternFill patternType="solid">
        <fgColor rgb="FFD9E1F2"/>
        <bgColor rgb="FF000000"/>
      </patternFill>
    </fill>
    <fill>
      <patternFill patternType="solid">
        <fgColor rgb="FFFCE4D6"/>
        <bgColor rgb="FF000000"/>
      </patternFill>
    </fill>
    <fill>
      <patternFill patternType="solid">
        <fgColor rgb="FFFFE699"/>
        <bgColor rgb="FF000000"/>
      </patternFill>
    </fill>
    <fill>
      <patternFill patternType="solid">
        <fgColor rgb="FFDDEBF7"/>
        <bgColor rgb="FF000000"/>
      </patternFill>
    </fill>
    <fill>
      <patternFill patternType="solid">
        <fgColor rgb="FFFFF2CC"/>
        <bgColor rgb="FF000000"/>
      </patternFill>
    </fill>
    <fill>
      <patternFill patternType="solid">
        <fgColor rgb="FFE2EFDA"/>
        <bgColor rgb="FF000000"/>
      </patternFill>
    </fill>
    <fill>
      <patternFill patternType="solid">
        <fgColor rgb="FFBDD7EE"/>
        <bgColor rgb="FF000000"/>
      </patternFill>
    </fill>
    <fill>
      <patternFill patternType="solid">
        <fgColor rgb="FF00B0F0"/>
        <bgColor indexed="64"/>
      </patternFill>
    </fill>
    <fill>
      <patternFill patternType="solid">
        <fgColor rgb="FF92D050"/>
        <bgColor indexed="64"/>
      </patternFill>
    </fill>
    <fill>
      <patternFill patternType="solid">
        <fgColor theme="7" tint="0.3999755851924192"/>
        <bgColor rgb="FF000000"/>
      </patternFill>
    </fill>
    <fill>
      <patternFill patternType="solid">
        <fgColor theme="4" tint="0.5999938962981048"/>
        <bgColor rgb="FF000000"/>
      </patternFill>
    </fill>
    <fill>
      <patternFill patternType="solid">
        <fgColor theme="7" tint="0.7999816888943144"/>
        <bgColor indexed="64"/>
      </patternFill>
    </fill>
  </fills>
  <borders count="92">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theme="2"/>
      </left>
      <right style="medium">
        <color theme="2"/>
      </right>
      <top style="medium">
        <color theme="2"/>
      </top>
      <bottom/>
      <diagonal/>
    </border>
    <border>
      <left style="medium">
        <color theme="2"/>
      </left>
      <right style="medium">
        <color theme="2"/>
      </right>
      <top style="medium">
        <color theme="2"/>
      </top>
      <bottom style="medium">
        <color theme="2"/>
      </bottom>
      <diagonal/>
    </border>
    <border>
      <left style="medium">
        <color theme="2"/>
      </left>
      <right/>
      <top style="medium">
        <color theme="2"/>
      </top>
      <bottom style="medium">
        <color theme="2"/>
      </bottom>
      <diagonal/>
    </border>
    <border>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medium">
        <color theme="2"/>
      </left>
      <right/>
      <top style="medium">
        <color theme="2"/>
      </top>
      <bottom/>
      <diagonal/>
    </border>
    <border>
      <left/>
      <right style="medium">
        <color theme="2"/>
      </right>
      <top style="medium">
        <color theme="2"/>
      </top>
      <bottom/>
      <diagonal/>
    </border>
    <border>
      <left style="medium">
        <color theme="2"/>
      </left>
      <right/>
      <top/>
      <bottom style="medium">
        <color theme="2"/>
      </bottom>
      <diagonal/>
    </border>
    <border>
      <left/>
      <right style="medium">
        <color theme="2"/>
      </right>
      <top/>
      <bottom style="medium">
        <color theme="2"/>
      </bottom>
      <diagonal/>
    </border>
    <border>
      <left style="medium">
        <color theme="2"/>
      </left>
      <right style="medium">
        <color theme="2"/>
      </right>
      <top/>
      <bottom style="medium">
        <color theme="2"/>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bottom/>
      <diagonal/>
    </border>
    <border>
      <left/>
      <right style="medium">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rgb="FFE7E6E6"/>
      </left>
      <right style="medium">
        <color rgb="FFE7E6E6"/>
      </right>
      <top style="medium">
        <color rgb="FFE7E6E6"/>
      </top>
      <bottom style="medium">
        <color rgb="FFE7E6E6"/>
      </bottom>
      <diagonal/>
    </border>
    <border>
      <left style="medium">
        <color theme="2"/>
      </left>
      <right/>
      <top style="medium">
        <color rgb="FFE7E6E6"/>
      </top>
      <bottom/>
      <diagonal/>
    </border>
    <border>
      <left style="medium">
        <color theme="2"/>
      </left>
      <right/>
      <top/>
      <bottom style="medium">
        <color rgb="FFE7E6E6"/>
      </bottom>
      <diagonal/>
    </border>
    <border>
      <left style="thin">
        <color indexed="64"/>
      </left>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style="medium">
        <color rgb="FF000000"/>
      </top>
      <bottom/>
      <diagonal/>
    </border>
    <border>
      <left/>
      <right style="thin">
        <color indexed="64"/>
      </right>
      <top style="medium">
        <color rgb="FF000000"/>
      </top>
      <bottom/>
      <diagonal/>
    </border>
    <border>
      <left/>
      <right style="medium">
        <color indexed="64"/>
      </right>
      <top style="medium">
        <color rgb="FF000000"/>
      </top>
      <bottom/>
      <diagonal/>
    </border>
    <border>
      <left/>
      <right style="medium">
        <color rgb="FF000000"/>
      </right>
      <top style="medium">
        <color rgb="FF000000"/>
      </top>
      <bottom/>
      <diagonal/>
    </border>
    <border>
      <left/>
      <right style="thin">
        <color indexed="64"/>
      </right>
      <top style="medium">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rgb="FF000000"/>
      </bottom>
      <diagonal/>
    </border>
    <border>
      <left style="medium">
        <color indexed="64"/>
      </left>
      <right style="medium">
        <color indexed="64"/>
      </right>
      <top style="medium">
        <color indexed="64"/>
      </top>
      <bottom style="thin">
        <color indexed="64"/>
      </bottom>
      <diagonal/>
    </border>
    <border>
      <left/>
      <right/>
      <top style="medium">
        <color theme="2"/>
      </top>
      <bottom/>
      <diagonal/>
    </border>
    <border>
      <left/>
      <right/>
      <top style="medium">
        <color theme="2"/>
      </top>
      <bottom style="medium">
        <color theme="2"/>
      </bottom>
      <diagonal/>
    </border>
    <border>
      <left/>
      <right style="medium">
        <color theme="2"/>
      </right>
      <top style="medium">
        <color theme="2"/>
      </top>
      <bottom style="medium">
        <color theme="2"/>
      </bottom>
      <diagonal/>
    </border>
    <border>
      <left style="thin">
        <color indexed="64"/>
      </left>
      <right/>
      <top/>
      <bottom/>
      <diagonal/>
    </border>
    <border>
      <left style="medium">
        <color theme="2"/>
      </left>
      <right/>
      <top style="medium">
        <color rgb="FFE7E6E6"/>
      </top>
      <bottom style="medium">
        <color rgb="FFE7E6E6"/>
      </bottom>
      <diagonal/>
    </border>
    <border>
      <left style="medium">
        <color theme="2"/>
      </left>
      <right/>
      <top/>
      <bottom/>
      <diagonal/>
    </border>
    <border>
      <left/>
      <right style="medium">
        <color theme="2"/>
      </right>
      <top/>
      <bottom/>
      <diagonal/>
    </border>
    <border>
      <left style="medium">
        <color theme="2"/>
      </left>
      <right style="medium">
        <color theme="2"/>
      </right>
      <top/>
      <bottom/>
      <diagonal/>
    </border>
    <border>
      <left style="medium">
        <color indexed="64"/>
      </left>
      <right/>
      <top/>
      <bottom/>
      <diagonal/>
    </border>
    <border>
      <left style="medium">
        <color indexed="64"/>
      </left>
      <right style="thin">
        <color indexed="64"/>
      </right>
      <top/>
      <bottom/>
      <diagonal/>
    </border>
  </borders>
  <cellStyleXfs count="2">
    <xf numFmtId="0" fontId="0" fillId="0" borderId="0"/>
    <xf numFmtId="0" fontId="15" fillId="0" borderId="0"/>
  </cellStyleXfs>
  <cellXfs count="405">
    <xf numFmtId="0" fontId="0" fillId="0" borderId="0" pivotButton="0" quotePrefix="0" xfId="0"/>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0" fillId="0" borderId="1" pivotButton="0" quotePrefix="0" xfId="0"/>
    <xf numFmtId="0" fontId="0" fillId="0" borderId="0" applyAlignment="1" pivotButton="0" quotePrefix="0" xfId="0">
      <alignment wrapText="1"/>
    </xf>
    <xf numFmtId="0" fontId="0" fillId="0" borderId="1" applyAlignment="1" pivotButton="0" quotePrefix="0" xfId="0">
      <alignment horizontal="center" vertical="center"/>
    </xf>
    <xf numFmtId="0" fontId="0" fillId="0" borderId="0" applyAlignment="1" pivotButton="0" quotePrefix="0" xfId="0">
      <alignment vertical="center"/>
    </xf>
    <xf numFmtId="0" fontId="0" fillId="0" borderId="5" pivotButton="0" quotePrefix="0" xfId="0"/>
    <xf numFmtId="0" fontId="1" fillId="2" borderId="4" applyAlignment="1" pivotButton="0" quotePrefix="0" xfId="0">
      <alignment horizontal="center" vertical="center"/>
    </xf>
    <xf numFmtId="0" fontId="1" fillId="2" borderId="6" applyAlignment="1" pivotButton="0" quotePrefix="0" xfId="0">
      <alignment horizontal="center" vertical="center"/>
    </xf>
    <xf numFmtId="0" fontId="1" fillId="2" borderId="7" applyAlignment="1" pivotButton="0" quotePrefix="0" xfId="0">
      <alignment horizontal="center" vertical="center"/>
    </xf>
    <xf numFmtId="0" fontId="2" fillId="0" borderId="8" applyAlignment="1" pivotButton="0" quotePrefix="0" xfId="0">
      <alignment vertical="center" wrapText="1"/>
    </xf>
    <xf numFmtId="0" fontId="2" fillId="0" borderId="5" applyAlignment="1" pivotButton="0" quotePrefix="0" xfId="0">
      <alignment vertical="center" wrapText="1"/>
    </xf>
    <xf numFmtId="0" fontId="2" fillId="0" borderId="9" applyAlignment="1" pivotButton="0" quotePrefix="0" xfId="0">
      <alignment vertical="center" wrapText="1"/>
    </xf>
    <xf numFmtId="0" fontId="2" fillId="0" borderId="1" applyAlignment="1" pivotButton="0" quotePrefix="0" xfId="0">
      <alignment vertical="center" wrapText="1"/>
    </xf>
    <xf numFmtId="0" fontId="3" fillId="0" borderId="1" applyAlignment="1" pivotButton="0" quotePrefix="0" xfId="0">
      <alignment wrapText="1"/>
    </xf>
    <xf numFmtId="0" fontId="3" fillId="0" borderId="1" pivotButton="0" quotePrefix="0" xfId="0"/>
    <xf numFmtId="0" fontId="3" fillId="0" borderId="1" applyAlignment="1" pivotButton="0" quotePrefix="0" xfId="0">
      <alignment horizontal="left" vertical="top" wrapText="1"/>
    </xf>
    <xf numFmtId="0" fontId="3" fillId="0" borderId="5" applyAlignment="1" pivotButton="0" quotePrefix="0" xfId="0">
      <alignment horizontal="left" vertical="top" wrapText="1"/>
    </xf>
    <xf numFmtId="0" fontId="1" fillId="2" borderId="16" applyAlignment="1" pivotButton="0" quotePrefix="0" xfId="0">
      <alignment horizontal="center" vertical="center"/>
    </xf>
    <xf numFmtId="0" fontId="1" fillId="2" borderId="17" applyAlignment="1" pivotButton="0" quotePrefix="0" xfId="0">
      <alignment horizontal="center" vertical="center"/>
    </xf>
    <xf numFmtId="0" fontId="0" fillId="0" borderId="12" pivotButton="0" quotePrefix="0" xfId="0"/>
    <xf numFmtId="0" fontId="1" fillId="2" borderId="18" applyAlignment="1" pivotButton="0" quotePrefix="0" xfId="0">
      <alignment horizontal="center" vertical="center"/>
    </xf>
    <xf numFmtId="0" fontId="2" fillId="0" borderId="10" applyAlignment="1" pivotButton="0" quotePrefix="0" xfId="0">
      <alignment vertical="center" wrapText="1"/>
    </xf>
    <xf numFmtId="0" fontId="2" fillId="0" borderId="11" applyAlignment="1" pivotButton="0" quotePrefix="0" xfId="0">
      <alignment vertical="center" wrapText="1"/>
    </xf>
    <xf numFmtId="0" fontId="3" fillId="0" borderId="20" applyAlignment="1" pivotButton="0" quotePrefix="0" xfId="0">
      <alignment horizontal="left" vertical="top" wrapText="1"/>
    </xf>
    <xf numFmtId="0" fontId="3" fillId="0" borderId="21" applyAlignment="1" pivotButton="0" quotePrefix="0" xfId="0">
      <alignment horizontal="left" vertical="top" wrapText="1"/>
    </xf>
    <xf numFmtId="0" fontId="3" fillId="0" borderId="23" applyAlignment="1" pivotButton="0" quotePrefix="0" xfId="0">
      <alignment horizontal="left" vertical="top" wrapText="1"/>
    </xf>
    <xf numFmtId="0" fontId="3" fillId="0" borderId="26" applyAlignment="1" pivotButton="0" quotePrefix="0" xfId="0">
      <alignment horizontal="left" vertical="top" wrapText="1"/>
    </xf>
    <xf numFmtId="0" fontId="2" fillId="0" borderId="28" applyAlignment="1" pivotButton="0" quotePrefix="0" xfId="0">
      <alignment vertical="center" wrapText="1"/>
    </xf>
    <xf numFmtId="0" fontId="7" fillId="3" borderId="4" applyAlignment="1" pivotButton="0" quotePrefix="0" xfId="0">
      <alignment horizontal="left" vertical="center"/>
    </xf>
    <xf numFmtId="0" fontId="7" fillId="3" borderId="34" applyAlignment="1" pivotButton="0" quotePrefix="0" xfId="0">
      <alignment horizontal="left" vertical="center"/>
    </xf>
    <xf numFmtId="0" fontId="7" fillId="3" borderId="8" applyAlignment="1" pivotButton="0" quotePrefix="0" xfId="0">
      <alignment horizontal="center" vertical="center"/>
    </xf>
    <xf numFmtId="0" fontId="8" fillId="4" borderId="35" applyAlignment="1" pivotButton="0" quotePrefix="0" xfId="0">
      <alignment horizontal="left" vertical="center"/>
    </xf>
    <xf numFmtId="0" fontId="8" fillId="5" borderId="35" applyAlignment="1" pivotButton="0" quotePrefix="0" xfId="0">
      <alignment horizontal="center" vertical="center"/>
    </xf>
    <xf numFmtId="9" fontId="8" fillId="5" borderId="9" applyAlignment="1" pivotButton="0" quotePrefix="0" xfId="0">
      <alignment horizontal="center" vertical="center"/>
    </xf>
    <xf numFmtId="0" fontId="8" fillId="4" borderId="36" applyAlignment="1" pivotButton="0" quotePrefix="0" xfId="0">
      <alignment horizontal="left" vertical="center"/>
    </xf>
    <xf numFmtId="0" fontId="11" fillId="7" borderId="1" applyAlignment="1" pivotButton="0" quotePrefix="0" xfId="0">
      <alignment horizontal="center" vertical="center"/>
    </xf>
    <xf numFmtId="0" fontId="0" fillId="0" borderId="0" applyAlignment="1" pivotButton="0" quotePrefix="0" xfId="0">
      <alignment horizontal="center"/>
    </xf>
    <xf numFmtId="0" fontId="7" fillId="3" borderId="21" applyAlignment="1" pivotButton="0" quotePrefix="0" xfId="0">
      <alignment horizontal="center" vertical="center"/>
    </xf>
    <xf numFmtId="9" fontId="8" fillId="5" borderId="20" applyAlignment="1" pivotButton="0" quotePrefix="0" xfId="0">
      <alignment horizontal="center" vertical="center"/>
    </xf>
    <xf numFmtId="0" fontId="8" fillId="5" borderId="36" applyAlignment="1" pivotButton="0" quotePrefix="0" xfId="0">
      <alignment horizontal="center" vertical="center"/>
    </xf>
    <xf numFmtId="9" fontId="8" fillId="5" borderId="19" applyAlignment="1" pivotButton="0" quotePrefix="0" xfId="0">
      <alignment horizontal="center" vertical="center"/>
    </xf>
    <xf numFmtId="9" fontId="8" fillId="5" borderId="24" applyAlignment="1" pivotButton="0" quotePrefix="0" xfId="0">
      <alignment horizontal="center" vertical="center"/>
    </xf>
    <xf numFmtId="0" fontId="11" fillId="7" borderId="20" applyAlignment="1" pivotButton="0" quotePrefix="0" xfId="0">
      <alignment horizontal="center" vertical="center"/>
    </xf>
    <xf numFmtId="0" fontId="11" fillId="7" borderId="5" applyAlignment="1" pivotButton="0" quotePrefix="0" xfId="0">
      <alignment horizontal="center" vertical="center"/>
    </xf>
    <xf numFmtId="0" fontId="11" fillId="7" borderId="21" applyAlignment="1" pivotButton="0" quotePrefix="0" xfId="0">
      <alignment horizontal="center" vertical="center"/>
    </xf>
    <xf numFmtId="0" fontId="13" fillId="9" borderId="43" applyAlignment="1" pivotButton="0" quotePrefix="0" xfId="0">
      <alignment horizontal="center" vertical="center" wrapText="1"/>
    </xf>
    <xf numFmtId="0" fontId="12" fillId="8" borderId="43" applyAlignment="1" pivotButton="0" quotePrefix="0" xfId="0">
      <alignment horizontal="center" vertical="center" wrapText="1"/>
    </xf>
    <xf numFmtId="0" fontId="14" fillId="4" borderId="43" applyAlignment="1" pivotButton="0" quotePrefix="0" xfId="0">
      <alignment horizontal="center" vertical="center"/>
    </xf>
    <xf numFmtId="9" fontId="14" fillId="4" borderId="43" applyAlignment="1" pivotButton="0" quotePrefix="0" xfId="0">
      <alignment horizontal="center" vertical="center"/>
    </xf>
    <xf numFmtId="9" fontId="14" fillId="4" borderId="43" applyAlignment="1" pivotButton="0" quotePrefix="0" xfId="0">
      <alignment horizontal="center" vertical="center" wrapText="1"/>
    </xf>
    <xf numFmtId="0" fontId="14" fillId="6" borderId="43" applyAlignment="1" pivotButton="0" quotePrefix="0" xfId="0">
      <alignment horizontal="center" vertical="center"/>
    </xf>
    <xf numFmtId="9" fontId="14" fillId="6" borderId="43" applyAlignment="1" pivotButton="0" quotePrefix="0" xfId="0">
      <alignment horizontal="center" vertical="center"/>
    </xf>
    <xf numFmtId="0" fontId="3" fillId="0" borderId="37" applyAlignment="1" pivotButton="0" quotePrefix="0" xfId="0">
      <alignment horizontal="left" vertical="top" wrapText="1"/>
    </xf>
    <xf numFmtId="0" fontId="0" fillId="0" borderId="20" pivotButton="0" quotePrefix="0" xfId="0"/>
    <xf numFmtId="0" fontId="0" fillId="0" borderId="24" pivotButton="0" quotePrefix="0" xfId="0"/>
    <xf numFmtId="0" fontId="1" fillId="2" borderId="4" applyAlignment="1" pivotButton="0" quotePrefix="0" xfId="0">
      <alignment horizontal="center" vertical="center" wrapText="1"/>
    </xf>
    <xf numFmtId="0" fontId="15" fillId="7" borderId="15" pivotButton="0" quotePrefix="0" xfId="1"/>
    <xf numFmtId="0" fontId="15" fillId="7" borderId="13" pivotButton="0" quotePrefix="0" xfId="1"/>
    <xf numFmtId="0" fontId="15" fillId="7" borderId="14" pivotButton="0" quotePrefix="0" xfId="1"/>
    <xf numFmtId="0" fontId="10" fillId="10" borderId="14" pivotButton="0" quotePrefix="0" xfId="0"/>
    <xf numFmtId="0" fontId="10" fillId="10" borderId="12" applyAlignment="1" pivotButton="0" quotePrefix="0" xfId="0">
      <alignment horizontal="center" vertical="center"/>
    </xf>
    <xf numFmtId="0" fontId="10" fillId="10" borderId="24" applyAlignment="1" pivotButton="0" quotePrefix="0" xfId="0">
      <alignment horizontal="center" vertical="center"/>
    </xf>
    <xf numFmtId="0" fontId="15" fillId="7" borderId="25" pivotButton="0" quotePrefix="0" xfId="1"/>
    <xf numFmtId="0" fontId="11" fillId="7" borderId="22" applyAlignment="1" pivotButton="0" quotePrefix="0" xfId="0">
      <alignment horizontal="center" vertical="center"/>
    </xf>
    <xf numFmtId="0" fontId="11" fillId="7" borderId="23" applyAlignment="1" pivotButton="0" quotePrefix="0" xfId="0">
      <alignment horizontal="center" vertical="center"/>
    </xf>
    <xf numFmtId="0" fontId="7" fillId="11" borderId="1" applyAlignment="1" pivotButton="0" quotePrefix="0" xfId="0">
      <alignment horizontal="center" vertical="center" wrapText="1"/>
    </xf>
    <xf numFmtId="0" fontId="8" fillId="4" borderId="1" applyAlignment="1" pivotButton="0" quotePrefix="0" xfId="0">
      <alignment horizontal="center" vertical="center"/>
    </xf>
    <xf numFmtId="9" fontId="14" fillId="4" borderId="42" applyAlignment="1" pivotButton="0" quotePrefix="0" xfId="0">
      <alignment horizontal="center" vertical="center"/>
    </xf>
    <xf numFmtId="9" fontId="14" fillId="4" borderId="42" applyAlignment="1" pivotButton="0" quotePrefix="0" xfId="0">
      <alignment horizontal="center" vertical="center" wrapText="1"/>
    </xf>
    <xf numFmtId="0" fontId="0" fillId="7" borderId="0" applyAlignment="1" pivotButton="0" quotePrefix="0" xfId="0">
      <alignment wrapText="1"/>
    </xf>
    <xf numFmtId="0" fontId="0" fillId="0" borderId="5" applyAlignment="1" pivotButton="0" quotePrefix="0" xfId="0">
      <alignment horizontal="left" vertical="top"/>
    </xf>
    <xf numFmtId="0" fontId="16" fillId="0" borderId="1" applyAlignment="1" pivotButton="0" quotePrefix="0" xfId="0">
      <alignment horizontal="left" vertical="top" wrapText="1"/>
    </xf>
    <xf numFmtId="0" fontId="3" fillId="0" borderId="38" applyAlignment="1" pivotButton="0" quotePrefix="0" xfId="0">
      <alignment horizontal="left" vertical="top" wrapText="1"/>
    </xf>
    <xf numFmtId="0" fontId="0" fillId="7" borderId="1" applyAlignment="1" pivotButton="0" quotePrefix="0" xfId="0">
      <alignment wrapText="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3" fillId="5" borderId="1" applyAlignment="1" pivotButton="0" quotePrefix="0" xfId="0">
      <alignment horizontal="left" vertical="top" wrapText="1"/>
    </xf>
    <xf numFmtId="0" fontId="3" fillId="0" borderId="1" applyAlignment="1" pivotButton="0" quotePrefix="0" xfId="0">
      <alignment vertical="top" wrapText="1"/>
    </xf>
    <xf numFmtId="0" fontId="3" fillId="0" borderId="30" applyAlignment="1" pivotButton="0" quotePrefix="0" xfId="0">
      <alignment horizontal="left" vertical="top" wrapText="1"/>
    </xf>
    <xf numFmtId="0" fontId="2" fillId="0" borderId="45" applyAlignment="1" pivotButton="0" quotePrefix="0" xfId="0">
      <alignment vertical="center" wrapText="1"/>
    </xf>
    <xf numFmtId="0" fontId="2" fillId="0" borderId="46" applyAlignment="1" pivotButton="0" quotePrefix="0" xfId="0">
      <alignment vertical="center" wrapText="1"/>
    </xf>
    <xf numFmtId="0" fontId="0" fillId="0" borderId="26" pivotButton="0" quotePrefix="0" xfId="0"/>
    <xf numFmtId="0" fontId="0" fillId="0" borderId="27" pivotButton="0" quotePrefix="0" xfId="0"/>
    <xf numFmtId="0" fontId="2" fillId="0" borderId="47" applyAlignment="1" pivotButton="0" quotePrefix="0" xfId="0">
      <alignment vertical="center" wrapText="1"/>
    </xf>
    <xf numFmtId="0" fontId="3" fillId="0" borderId="1" applyAlignment="1" pivotButton="0" quotePrefix="0" xfId="0">
      <alignment horizontal="left" vertical="top"/>
    </xf>
    <xf numFmtId="0" fontId="3" fillId="0" borderId="9" applyAlignment="1" pivotButton="0" quotePrefix="0" xfId="0">
      <alignment horizontal="left" vertical="top"/>
    </xf>
    <xf numFmtId="0" fontId="3" fillId="0" borderId="1" applyAlignment="1" pivotButton="0" quotePrefix="0" xfId="0">
      <alignment vertical="top"/>
    </xf>
    <xf numFmtId="0" fontId="0" fillId="0" borderId="0" applyAlignment="1" pivotButton="0" quotePrefix="0" xfId="0">
      <alignment vertical="top"/>
    </xf>
    <xf numFmtId="0" fontId="3" fillId="0" borderId="53" applyAlignment="1" pivotButton="0" quotePrefix="0" xfId="0">
      <alignment horizontal="left" vertical="top" wrapText="1"/>
    </xf>
    <xf numFmtId="0" fontId="3" fillId="0" borderId="54" applyAlignment="1" pivotButton="0" quotePrefix="0" xfId="0">
      <alignment horizontal="left" vertical="top"/>
    </xf>
    <xf numFmtId="0" fontId="3" fillId="0" borderId="1" applyAlignment="1" pivotButton="0" quotePrefix="0" xfId="0">
      <alignment vertical="center" wrapText="1"/>
    </xf>
    <xf numFmtId="0" fontId="3" fillId="0" borderId="1" applyAlignment="1" pivotButton="0" quotePrefix="0" xfId="0">
      <alignment horizontal="left" vertical="center" wrapText="1"/>
    </xf>
    <xf numFmtId="0" fontId="0" fillId="0" borderId="0" applyAlignment="1" pivotButton="0" quotePrefix="0" xfId="0">
      <alignment horizontal="left" vertical="top"/>
    </xf>
    <xf numFmtId="0" fontId="0" fillId="0" borderId="0" applyAlignment="1" pivotButton="0" quotePrefix="0" xfId="0">
      <alignment vertical="center" wrapText="1"/>
    </xf>
    <xf numFmtId="0" fontId="3" fillId="0" borderId="28" applyAlignment="1" pivotButton="0" quotePrefix="0" xfId="0">
      <alignment horizontal="left" vertical="top" wrapText="1"/>
    </xf>
    <xf numFmtId="0" fontId="2" fillId="12" borderId="9" applyAlignment="1" pivotButton="0" quotePrefix="0" xfId="0">
      <alignment vertical="center" wrapText="1"/>
    </xf>
    <xf numFmtId="0" fontId="2" fillId="0" borderId="53" applyAlignment="1" pivotButton="0" quotePrefix="0" xfId="0">
      <alignment vertical="center" wrapText="1"/>
    </xf>
    <xf numFmtId="0" fontId="23" fillId="0" borderId="0" pivotButton="0" quotePrefix="0" xfId="0"/>
    <xf numFmtId="0" fontId="24" fillId="13" borderId="1" applyAlignment="1" pivotButton="0" quotePrefix="0" xfId="0">
      <alignment horizontal="center" vertical="center"/>
    </xf>
    <xf numFmtId="0" fontId="23" fillId="0" borderId="1" pivotButton="0" quotePrefix="0" xfId="0"/>
    <xf numFmtId="0" fontId="23" fillId="0" borderId="1" applyAlignment="1" pivotButton="0" quotePrefix="0" xfId="0">
      <alignment wrapText="1"/>
    </xf>
    <xf numFmtId="0" fontId="2" fillId="14" borderId="9" applyAlignment="1" pivotButton="0" quotePrefix="0" xfId="0">
      <alignment vertical="center" wrapText="1"/>
    </xf>
    <xf numFmtId="0" fontId="0" fillId="0" borderId="0" applyAlignment="1" pivotButton="0" quotePrefix="0" xfId="0">
      <alignment horizontal="center" vertical="center"/>
    </xf>
    <xf numFmtId="0" fontId="15" fillId="0" borderId="20" applyAlignment="1" pivotButton="0" quotePrefix="0" xfId="1">
      <alignment wrapText="1"/>
    </xf>
    <xf numFmtId="0" fontId="15" fillId="0" borderId="1" applyAlignment="1" pivotButton="0" quotePrefix="0" xfId="1">
      <alignment wrapText="1"/>
    </xf>
    <xf numFmtId="0" fontId="0" fillId="0" borderId="1" applyAlignment="1" pivotButton="0" quotePrefix="0" xfId="0">
      <alignment vertical="center" wrapText="1"/>
    </xf>
    <xf numFmtId="0" fontId="2" fillId="0" borderId="9" applyAlignment="1" pivotButton="0" quotePrefix="0" xfId="0">
      <alignment horizontal="center" vertical="center" wrapText="1"/>
    </xf>
    <xf numFmtId="0" fontId="0" fillId="0" borderId="1" applyAlignment="1" pivotButton="0" quotePrefix="0" xfId="0">
      <alignment vertical="center"/>
    </xf>
    <xf numFmtId="0" fontId="0" fillId="0" borderId="20" applyAlignment="1" pivotButton="0" quotePrefix="0" xfId="0">
      <alignment vertical="center"/>
    </xf>
    <xf numFmtId="0" fontId="3"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14" borderId="1" applyAlignment="1" pivotButton="0" quotePrefix="0" xfId="0">
      <alignment vertical="center" wrapText="1"/>
    </xf>
    <xf numFmtId="0" fontId="15" fillId="0" borderId="9" applyAlignment="1" pivotButton="0" quotePrefix="0" xfId="1">
      <alignment vertical="center" wrapText="1"/>
    </xf>
    <xf numFmtId="0" fontId="2" fillId="0" borderId="56" applyAlignment="1" pivotButton="0" quotePrefix="0" xfId="0">
      <alignment vertical="center" wrapText="1"/>
    </xf>
    <xf numFmtId="0" fontId="2" fillId="0" borderId="57" applyAlignment="1" pivotButton="0" quotePrefix="0" xfId="0">
      <alignment vertical="center" wrapText="1"/>
    </xf>
    <xf numFmtId="15" fontId="0" fillId="0" borderId="20" pivotButton="0" quotePrefix="0" xfId="0"/>
    <xf numFmtId="0" fontId="2" fillId="14" borderId="56" applyAlignment="1" pivotButton="0" quotePrefix="0" xfId="0">
      <alignment vertical="center" wrapText="1"/>
    </xf>
    <xf numFmtId="0" fontId="0" fillId="0" borderId="5" applyAlignment="1" pivotButton="0" quotePrefix="0" xfId="0">
      <alignment vertical="center"/>
    </xf>
    <xf numFmtId="0" fontId="0" fillId="0" borderId="20" applyAlignment="1" pivotButton="0" quotePrefix="0" xfId="0">
      <alignment horizontal="center" vertical="center"/>
    </xf>
    <xf numFmtId="0" fontId="0" fillId="0" borderId="12" applyAlignment="1" pivotButton="0" quotePrefix="0" xfId="0">
      <alignment horizontal="center" vertical="center"/>
    </xf>
    <xf numFmtId="0" fontId="2" fillId="0" borderId="19" applyAlignment="1" pivotButton="0" quotePrefix="0" xfId="0">
      <alignment vertical="center" wrapText="1"/>
    </xf>
    <xf numFmtId="0" fontId="0" fillId="0" borderId="20" applyAlignment="1" pivotButton="0" quotePrefix="0" xfId="0">
      <alignment wrapText="1"/>
    </xf>
    <xf numFmtId="0" fontId="3" fillId="0" borderId="58" applyAlignment="1" pivotButton="0" quotePrefix="0" xfId="0">
      <alignment horizontal="left" vertical="top" wrapText="1"/>
    </xf>
    <xf numFmtId="0" fontId="2" fillId="0" borderId="26" applyAlignment="1" pivotButton="0" quotePrefix="0" xfId="0">
      <alignment vertical="center" wrapText="1"/>
    </xf>
    <xf numFmtId="0" fontId="0" fillId="0" borderId="45" pivotButton="0" quotePrefix="0" xfId="0"/>
    <xf numFmtId="0" fontId="3" fillId="0" borderId="31" applyAlignment="1" pivotButton="0" quotePrefix="0" xfId="0">
      <alignment horizontal="left" vertical="top" wrapText="1"/>
    </xf>
    <xf numFmtId="0" fontId="0" fillId="0" borderId="30" pivotButton="0" quotePrefix="0" xfId="0"/>
    <xf numFmtId="0" fontId="2" fillId="0" borderId="13" applyAlignment="1" pivotButton="0" quotePrefix="0" xfId="0">
      <alignment vertical="center" wrapText="1"/>
    </xf>
    <xf numFmtId="0" fontId="2" fillId="0" borderId="14" applyAlignment="1" pivotButton="0" quotePrefix="0" xfId="0">
      <alignment vertical="center" wrapText="1"/>
    </xf>
    <xf numFmtId="0" fontId="2" fillId="0" borderId="12" applyAlignment="1" pivotButton="0" quotePrefix="0" xfId="0">
      <alignment vertical="center" wrapText="1"/>
    </xf>
    <xf numFmtId="0" fontId="0" fillId="0" borderId="12" applyAlignment="1" pivotButton="0" quotePrefix="0" xfId="0">
      <alignment vertical="center"/>
    </xf>
    <xf numFmtId="0" fontId="2" fillId="0" borderId="15" applyAlignment="1" pivotButton="0" quotePrefix="0" xfId="0">
      <alignment vertical="center" wrapText="1"/>
    </xf>
    <xf numFmtId="0" fontId="2" fillId="0" borderId="59" applyAlignment="1" pivotButton="0" quotePrefix="0" xfId="0">
      <alignment vertical="center" wrapText="1"/>
    </xf>
    <xf numFmtId="0" fontId="3" fillId="0" borderId="12" applyAlignment="1" pivotButton="0" quotePrefix="0" xfId="0">
      <alignment horizontal="left" vertical="top"/>
    </xf>
    <xf numFmtId="0" fontId="0" fillId="0" borderId="9" applyAlignment="1" pivotButton="0" quotePrefix="0" xfId="0">
      <alignment horizontal="left" vertical="top"/>
    </xf>
    <xf numFmtId="0" fontId="3" fillId="0" borderId="22" applyAlignment="1" pivotButton="0" quotePrefix="0" xfId="0">
      <alignment wrapText="1"/>
    </xf>
    <xf numFmtId="0" fontId="3" fillId="0" borderId="22" pivotButton="0" quotePrefix="0" xfId="0"/>
    <xf numFmtId="0" fontId="3" fillId="0" borderId="1" applyAlignment="1" pivotButton="0" quotePrefix="0" xfId="0">
      <alignment horizontal="center" vertical="center"/>
    </xf>
    <xf numFmtId="0" fontId="19" fillId="11" borderId="26" applyAlignment="1" pivotButton="0" quotePrefix="0" xfId="0">
      <alignment horizontal="center" vertical="center" wrapText="1"/>
    </xf>
    <xf numFmtId="0" fontId="19" fillId="11" borderId="26" applyAlignment="1" pivotButton="0" quotePrefix="0" xfId="0">
      <alignment horizontal="center" vertical="center"/>
    </xf>
    <xf numFmtId="0" fontId="3" fillId="11" borderId="26" applyAlignment="1" pivotButton="0" quotePrefix="0" xfId="0">
      <alignment vertical="center"/>
    </xf>
    <xf numFmtId="0" fontId="3" fillId="0" borderId="0" applyAlignment="1" pivotButton="0" quotePrefix="0" xfId="0">
      <alignment vertical="center"/>
    </xf>
    <xf numFmtId="0" fontId="1" fillId="11" borderId="1" applyAlignment="1" pivotButton="0" quotePrefix="0" xfId="0">
      <alignment horizontal="center"/>
    </xf>
    <xf numFmtId="0" fontId="1" fillId="11" borderId="1" applyAlignment="1" pivotButton="0" quotePrefix="0" xfId="0">
      <alignment horizontal="center" wrapText="1"/>
    </xf>
    <xf numFmtId="0" fontId="0" fillId="11" borderId="1" pivotButton="0" quotePrefix="0" xfId="0"/>
    <xf numFmtId="0" fontId="11" fillId="7" borderId="53" applyAlignment="1" pivotButton="0" quotePrefix="0" xfId="0">
      <alignment horizontal="center" vertical="center"/>
    </xf>
    <xf numFmtId="0" fontId="0" fillId="0" borderId="37" pivotButton="0" quotePrefix="0" xfId="0"/>
    <xf numFmtId="0" fontId="0" fillId="0" borderId="53" pivotButton="0" quotePrefix="0" xfId="0"/>
    <xf numFmtId="0" fontId="0" fillId="0" borderId="60" pivotButton="0" quotePrefix="0" xfId="0"/>
    <xf numFmtId="0" fontId="0" fillId="0" borderId="53" applyAlignment="1" pivotButton="0" quotePrefix="0" xfId="0">
      <alignment vertical="center"/>
    </xf>
    <xf numFmtId="0" fontId="0" fillId="0" borderId="61" pivotButton="0" quotePrefix="0" xfId="0"/>
    <xf numFmtId="0" fontId="29" fillId="15" borderId="62" applyAlignment="1" pivotButton="0" quotePrefix="0" xfId="0">
      <alignment horizontal="center" vertical="center" wrapText="1"/>
    </xf>
    <xf numFmtId="0" fontId="3" fillId="0" borderId="54" applyAlignment="1" pivotButton="0" quotePrefix="0" xfId="0">
      <alignment horizontal="left" vertical="top" wrapText="1"/>
    </xf>
    <xf numFmtId="0" fontId="3" fillId="0" borderId="12" applyAlignment="1" pivotButton="0" quotePrefix="0" xfId="0">
      <alignment horizontal="left" vertical="top" wrapText="1"/>
    </xf>
    <xf numFmtId="0" fontId="28" fillId="16" borderId="62" applyAlignment="1" pivotButton="0" quotePrefix="0" xfId="0">
      <alignment horizontal="center" vertical="center"/>
    </xf>
    <xf numFmtId="0" fontId="15" fillId="0" borderId="53" applyAlignment="1" pivotButton="0" quotePrefix="0" xfId="1">
      <alignment wrapText="1"/>
    </xf>
    <xf numFmtId="0" fontId="0" fillId="0" borderId="53" applyAlignment="1" pivotButton="0" quotePrefix="0" xfId="0">
      <alignment horizontal="center" vertical="center"/>
    </xf>
    <xf numFmtId="0" fontId="0" fillId="0" borderId="61" applyAlignment="1" pivotButton="0" quotePrefix="0" xfId="0">
      <alignment horizontal="center" vertical="center"/>
    </xf>
    <xf numFmtId="0" fontId="0" fillId="0" borderId="46" pivotButton="0" quotePrefix="0" xfId="0"/>
    <xf numFmtId="0" fontId="0" fillId="0" borderId="37" applyAlignment="1" pivotButton="0" quotePrefix="0" xfId="0">
      <alignment vertical="center"/>
    </xf>
    <xf numFmtId="0" fontId="0" fillId="0" borderId="53" applyAlignment="1" pivotButton="0" quotePrefix="0" xfId="0">
      <alignment vertical="center" wrapText="1"/>
    </xf>
    <xf numFmtId="0" fontId="0" fillId="0" borderId="65" pivotButton="0" quotePrefix="0" xfId="0"/>
    <xf numFmtId="0" fontId="0" fillId="0" borderId="53" applyAlignment="1" pivotButton="0" quotePrefix="0" xfId="0">
      <alignment horizontal="center" vertical="center" wrapText="1"/>
    </xf>
    <xf numFmtId="0" fontId="0" fillId="0" borderId="38" applyAlignment="1" pivotButton="0" quotePrefix="0" xfId="0">
      <alignment horizontal="left" vertical="top"/>
    </xf>
    <xf numFmtId="0" fontId="30" fillId="0" borderId="0" pivotButton="0" quotePrefix="0" xfId="0"/>
    <xf numFmtId="0" fontId="15" fillId="0" borderId="66" applyAlignment="1" pivotButton="0" quotePrefix="0" xfId="1">
      <alignment wrapText="1"/>
    </xf>
    <xf numFmtId="0" fontId="0" fillId="14" borderId="67" applyAlignment="1" pivotButton="0" quotePrefix="0" xfId="0">
      <alignment wrapText="1"/>
    </xf>
    <xf numFmtId="0" fontId="31" fillId="0" borderId="20" pivotButton="0" quotePrefix="0" xfId="0"/>
    <xf numFmtId="0" fontId="1" fillId="2" borderId="3" applyAlignment="1" pivotButton="0" quotePrefix="0" xfId="0">
      <alignment horizontal="center" vertical="center" wrapText="1"/>
    </xf>
    <xf numFmtId="0" fontId="0" fillId="0" borderId="31" applyAlignment="1" pivotButton="0" quotePrefix="0" xfId="0">
      <alignment wrapText="1"/>
    </xf>
    <xf numFmtId="0" fontId="0" fillId="0" borderId="24" applyAlignment="1" pivotButton="0" quotePrefix="0" xfId="0">
      <alignment wrapText="1"/>
    </xf>
    <xf numFmtId="0" fontId="32" fillId="18" borderId="21" applyAlignment="1" pivotButton="0" quotePrefix="0" xfId="0">
      <alignment wrapText="1"/>
    </xf>
    <xf numFmtId="0" fontId="31" fillId="0" borderId="1" pivotButton="0" quotePrefix="0" xfId="0"/>
    <xf numFmtId="0" fontId="31" fillId="0" borderId="5" pivotButton="0" quotePrefix="0" xfId="0"/>
    <xf numFmtId="0" fontId="0" fillId="12" borderId="1" applyAlignment="1" pivotButton="0" quotePrefix="0" xfId="0">
      <alignment horizontal="center" wrapText="1"/>
    </xf>
    <xf numFmtId="0" fontId="10" fillId="10" borderId="25" pivotButton="0" quotePrefix="0" xfId="0"/>
    <xf numFmtId="0" fontId="10" fillId="10" borderId="26" applyAlignment="1" pivotButton="0" quotePrefix="0" xfId="0">
      <alignment horizontal="center" vertical="center"/>
    </xf>
    <xf numFmtId="0" fontId="10" fillId="10" borderId="27" applyAlignment="1" pivotButton="0" quotePrefix="0" xfId="0">
      <alignment horizontal="center" vertical="center"/>
    </xf>
    <xf numFmtId="0" fontId="15" fillId="19" borderId="0" pivotButton="0" quotePrefix="0" xfId="1"/>
    <xf numFmtId="0" fontId="21" fillId="0" borderId="1" pivotButton="0" quotePrefix="0" xfId="0"/>
    <xf numFmtId="0" fontId="14" fillId="6" borderId="42" applyAlignment="1" pivotButton="0" quotePrefix="0" xfId="0">
      <alignment horizontal="center" vertical="center"/>
    </xf>
    <xf numFmtId="9" fontId="14" fillId="6" borderId="42" applyAlignment="1" pivotButton="0" quotePrefix="0" xfId="0">
      <alignment horizontal="center" vertical="center"/>
    </xf>
    <xf numFmtId="0" fontId="0" fillId="12" borderId="1" applyAlignment="1" pivotButton="0" quotePrefix="0" xfId="0">
      <alignment horizontal="center" vertical="center"/>
    </xf>
    <xf numFmtId="0" fontId="3" fillId="12" borderId="1" applyAlignment="1" pivotButton="0" quotePrefix="0" xfId="0">
      <alignment horizontal="left" vertical="top" wrapText="1"/>
    </xf>
    <xf numFmtId="0" fontId="2" fillId="5" borderId="9" applyAlignment="1" pivotButton="0" quotePrefix="0" xfId="0">
      <alignment vertical="center" wrapText="1"/>
    </xf>
    <xf numFmtId="0" fontId="2" fillId="5" borderId="13" applyAlignment="1" pivotButton="0" quotePrefix="0" xfId="0">
      <alignment vertical="center" wrapText="1"/>
    </xf>
    <xf numFmtId="0" fontId="2" fillId="0" borderId="9" applyAlignment="1" pivotButton="0" quotePrefix="0" xfId="0">
      <alignment horizontal="left" vertical="center" wrapText="1"/>
    </xf>
    <xf numFmtId="0" fontId="2" fillId="5" borderId="1" applyAlignment="1" pivotButton="0" quotePrefix="0" xfId="0">
      <alignment vertical="center" wrapText="1"/>
    </xf>
    <xf numFmtId="0" fontId="2" fillId="5" borderId="45" applyAlignment="1" pivotButton="0" quotePrefix="0" xfId="0">
      <alignment vertical="center" wrapText="1"/>
    </xf>
    <xf numFmtId="0" fontId="2" fillId="5" borderId="26" applyAlignment="1" pivotButton="0" quotePrefix="0" xfId="0">
      <alignment vertical="center" wrapText="1"/>
    </xf>
    <xf numFmtId="0" fontId="2" fillId="30" borderId="13" applyAlignment="1" pivotButton="0" quotePrefix="0" xfId="0">
      <alignment vertical="center" wrapText="1"/>
    </xf>
    <xf numFmtId="0" fontId="2" fillId="30" borderId="9" applyAlignment="1" pivotButton="0" quotePrefix="0" xfId="0">
      <alignment vertical="center" wrapText="1"/>
    </xf>
    <xf numFmtId="0" fontId="2" fillId="31" borderId="13" applyAlignment="1" pivotButton="0" quotePrefix="0" xfId="0">
      <alignment vertical="center" wrapText="1"/>
    </xf>
    <xf numFmtId="0" fontId="2" fillId="31" borderId="9" applyAlignment="1" pivotButton="0" quotePrefix="0" xfId="0">
      <alignment vertical="center" wrapText="1"/>
    </xf>
    <xf numFmtId="0" fontId="2" fillId="31" borderId="1" applyAlignment="1" pivotButton="0" quotePrefix="0" xfId="0">
      <alignment vertical="center" wrapText="1"/>
    </xf>
    <xf numFmtId="0" fontId="2" fillId="31" borderId="9" applyAlignment="1" pivotButton="0" quotePrefix="0" xfId="0">
      <alignment horizontal="left" vertical="center" wrapText="1"/>
    </xf>
    <xf numFmtId="0" fontId="2" fillId="31" borderId="29" applyAlignment="1" pivotButton="0" quotePrefix="0" xfId="0">
      <alignment vertical="center" wrapText="1"/>
    </xf>
    <xf numFmtId="0" fontId="2" fillId="31" borderId="55" applyAlignment="1" pivotButton="0" quotePrefix="0" xfId="0">
      <alignment vertical="center" wrapText="1"/>
    </xf>
    <xf numFmtId="0" fontId="2" fillId="31" borderId="13" applyAlignment="1" pivotButton="0" quotePrefix="0" xfId="0">
      <alignment horizontal="left" vertical="center" wrapText="1"/>
    </xf>
    <xf numFmtId="0" fontId="2" fillId="31" borderId="9" applyAlignment="1" pivotButton="0" quotePrefix="0" xfId="0">
      <alignment wrapText="1"/>
    </xf>
    <xf numFmtId="0" fontId="2" fillId="31" borderId="14" applyAlignment="1" pivotButton="0" quotePrefix="0" xfId="0">
      <alignment vertical="center" wrapText="1"/>
    </xf>
    <xf numFmtId="0" fontId="2" fillId="31" borderId="12" applyAlignment="1" pivotButton="0" quotePrefix="0" xfId="0">
      <alignment vertical="center" wrapText="1"/>
    </xf>
    <xf numFmtId="0" fontId="3" fillId="31"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31" pivotButton="0" quotePrefix="0" xfId="0"/>
    <xf numFmtId="0" fontId="14" fillId="6" borderId="43" applyAlignment="1" pivotButton="0" quotePrefix="0" xfId="0">
      <alignment horizontal="center" vertical="center" wrapText="1"/>
    </xf>
    <xf numFmtId="9" fontId="14" fillId="6" borderId="43" applyAlignment="1" pivotButton="0" quotePrefix="0" xfId="0">
      <alignment horizontal="center" vertical="center" wrapText="1"/>
    </xf>
    <xf numFmtId="0" fontId="28" fillId="16" borderId="62" applyAlignment="1" pivotButton="0" quotePrefix="0" xfId="0">
      <alignment horizontal="center" vertical="center" wrapText="1"/>
    </xf>
    <xf numFmtId="0" fontId="1" fillId="2" borderId="18" applyAlignment="1" pivotButton="0" quotePrefix="0" xfId="0">
      <alignment horizontal="center" vertical="center" wrapText="1"/>
    </xf>
    <xf numFmtId="0" fontId="1" fillId="2" borderId="2" applyAlignment="1" pivotButton="0" quotePrefix="0" xfId="0">
      <alignment horizontal="center" vertical="center" wrapText="1"/>
    </xf>
    <xf numFmtId="0" fontId="0" fillId="0" borderId="1" applyAlignment="1" pivotButton="0" quotePrefix="0" xfId="0">
      <alignment wrapText="1"/>
    </xf>
    <xf numFmtId="0" fontId="3" fillId="0" borderId="30" applyAlignment="1" pivotButton="0" quotePrefix="0" xfId="0">
      <alignment horizontal="left" vertical="center" wrapText="1"/>
    </xf>
    <xf numFmtId="0" fontId="2" fillId="0" borderId="29" applyAlignment="1" pivotButton="0" quotePrefix="0" xfId="0">
      <alignment vertical="center" wrapText="1"/>
    </xf>
    <xf numFmtId="0" fontId="2" fillId="0" borderId="30" applyAlignment="1" pivotButton="0" quotePrefix="0" xfId="0">
      <alignment vertical="center" wrapText="1"/>
    </xf>
    <xf numFmtId="0" fontId="0" fillId="0" borderId="12" applyAlignment="1" pivotButton="0" quotePrefix="0" xfId="0">
      <alignment wrapText="1"/>
    </xf>
    <xf numFmtId="0" fontId="0" fillId="0" borderId="24" applyAlignment="1" pivotButton="0" quotePrefix="0" xfId="0">
      <alignment vertical="center"/>
    </xf>
    <xf numFmtId="0" fontId="38" fillId="0" borderId="12" applyAlignment="1" pivotButton="0" quotePrefix="0" xfId="0">
      <alignment horizontal="left" vertical="center" wrapText="1" indent="1"/>
    </xf>
    <xf numFmtId="0" fontId="2" fillId="31" borderId="10" applyAlignment="1" pivotButton="0" quotePrefix="0" xfId="0">
      <alignment vertical="center" wrapText="1"/>
    </xf>
    <xf numFmtId="0" fontId="15" fillId="0" borderId="1" applyAlignment="1" pivotButton="0" quotePrefix="0" xfId="1">
      <alignment horizontal="center" vertical="center"/>
    </xf>
    <xf numFmtId="0" fontId="38" fillId="0" borderId="1" applyAlignment="1" pivotButton="0" quotePrefix="0" xfId="0">
      <alignment horizontal="left" vertical="center" wrapText="1"/>
    </xf>
    <xf numFmtId="0" fontId="15" fillId="0" borderId="30" applyAlignment="1" pivotButton="0" quotePrefix="0" xfId="1">
      <alignment horizontal="center" vertical="center"/>
    </xf>
    <xf numFmtId="0" fontId="2" fillId="0" borderId="20" applyAlignment="1" pivotButton="0" quotePrefix="0" xfId="0">
      <alignment vertical="center" wrapText="1"/>
    </xf>
    <xf numFmtId="0" fontId="15" fillId="0" borderId="20" applyAlignment="1" pivotButton="0" quotePrefix="0" xfId="1">
      <alignment vertical="center" wrapText="1"/>
    </xf>
    <xf numFmtId="0" fontId="2" fillId="5" borderId="14" applyAlignment="1" pivotButton="0" quotePrefix="0" xfId="0">
      <alignment vertical="center" wrapText="1"/>
    </xf>
    <xf numFmtId="0" fontId="2" fillId="0" borderId="12" applyAlignment="1" pivotButton="0" quotePrefix="0" xfId="0">
      <alignment horizontal="center" vertical="center" wrapText="1"/>
    </xf>
    <xf numFmtId="0" fontId="38" fillId="0" borderId="12" applyAlignment="1" pivotButton="0" quotePrefix="0" xfId="0">
      <alignment horizontal="left" vertical="center" wrapText="1"/>
    </xf>
    <xf numFmtId="0" fontId="2" fillId="0" borderId="1" applyAlignment="1" pivotButton="0" quotePrefix="0" xfId="0">
      <alignment horizontal="left" vertical="center" wrapText="1"/>
    </xf>
    <xf numFmtId="0" fontId="2" fillId="0" borderId="1" applyAlignment="1" pivotButton="0" quotePrefix="0" xfId="0">
      <alignment horizontal="left" wrapText="1"/>
    </xf>
    <xf numFmtId="0" fontId="21" fillId="0" borderId="1" applyAlignment="1" pivotButton="0" quotePrefix="0" xfId="0">
      <alignment wrapText="1"/>
    </xf>
    <xf numFmtId="0" fontId="21" fillId="0" borderId="1" applyAlignment="1" pivotButton="0" quotePrefix="0" xfId="0">
      <alignment vertical="center" wrapText="1"/>
    </xf>
    <xf numFmtId="0" fontId="2" fillId="0" borderId="9" applyAlignment="1" pivotButton="0" quotePrefix="0" xfId="0">
      <alignment wrapText="1"/>
    </xf>
    <xf numFmtId="0" fontId="2" fillId="0" borderId="8" applyAlignment="1" pivotButton="0" quotePrefix="0" xfId="0">
      <alignment wrapText="1"/>
    </xf>
    <xf numFmtId="0" fontId="33" fillId="0" borderId="8" applyAlignment="1" pivotButton="0" quotePrefix="0" xfId="0">
      <alignment wrapText="1"/>
    </xf>
    <xf numFmtId="0" fontId="39" fillId="0" borderId="1" applyAlignment="1" pivotButton="0" quotePrefix="0" xfId="0">
      <alignment wrapText="1"/>
    </xf>
    <xf numFmtId="0" fontId="37" fillId="21" borderId="68" applyAlignment="1" pivotButton="0" quotePrefix="0" xfId="0">
      <alignment wrapText="1"/>
    </xf>
    <xf numFmtId="0" fontId="37" fillId="21" borderId="69" applyAlignment="1" pivotButton="0" quotePrefix="0" xfId="0">
      <alignment wrapText="1"/>
    </xf>
    <xf numFmtId="0" fontId="37" fillId="21" borderId="70" applyAlignment="1" pivotButton="0" quotePrefix="0" xfId="0">
      <alignment wrapText="1"/>
    </xf>
    <xf numFmtId="0" fontId="37" fillId="21" borderId="71" applyAlignment="1" pivotButton="0" quotePrefix="0" xfId="0">
      <alignment wrapText="1"/>
    </xf>
    <xf numFmtId="0" fontId="34" fillId="0" borderId="1" applyAlignment="1" pivotButton="0" quotePrefix="0" xfId="0">
      <alignment wrapText="1"/>
    </xf>
    <xf numFmtId="0" fontId="34" fillId="22" borderId="1" applyAlignment="1" pivotButton="0" quotePrefix="0" xfId="0">
      <alignment wrapText="1"/>
    </xf>
    <xf numFmtId="0" fontId="34" fillId="23" borderId="1" applyAlignment="1" pivotButton="0" quotePrefix="0" xfId="0">
      <alignment wrapText="1"/>
    </xf>
    <xf numFmtId="0" fontId="34" fillId="24" borderId="1" applyAlignment="1" pivotButton="0" quotePrefix="0" xfId="0">
      <alignment wrapText="1"/>
    </xf>
    <xf numFmtId="0" fontId="34" fillId="31" borderId="1" applyAlignment="1" pivotButton="0" quotePrefix="0" xfId="0">
      <alignment wrapText="1"/>
    </xf>
    <xf numFmtId="0" fontId="34" fillId="14" borderId="1" applyAlignment="1" pivotButton="0" quotePrefix="0" xfId="0">
      <alignment wrapText="1"/>
    </xf>
    <xf numFmtId="0" fontId="34" fillId="25" borderId="1" applyAlignment="1" pivotButton="0" quotePrefix="0" xfId="0">
      <alignment wrapText="1"/>
    </xf>
    <xf numFmtId="0" fontId="34" fillId="26" borderId="1" applyAlignment="1" pivotButton="0" quotePrefix="0" xfId="0">
      <alignment wrapText="1"/>
    </xf>
    <xf numFmtId="0" fontId="34" fillId="27" borderId="1" applyAlignment="1" pivotButton="0" quotePrefix="0" xfId="0">
      <alignment wrapText="1"/>
    </xf>
    <xf numFmtId="0" fontId="34" fillId="28" borderId="1" applyAlignment="1" pivotButton="0" quotePrefix="0" xfId="0">
      <alignment wrapText="1"/>
    </xf>
    <xf numFmtId="0" fontId="34" fillId="29" borderId="1" applyAlignment="1" pivotButton="0" quotePrefix="0" xfId="0">
      <alignment wrapText="1"/>
    </xf>
    <xf numFmtId="0" fontId="39" fillId="24" borderId="1" applyAlignment="1" pivotButton="0" quotePrefix="0" xfId="0">
      <alignment wrapText="1"/>
    </xf>
    <xf numFmtId="0" fontId="39" fillId="32" borderId="1" applyAlignment="1" pivotButton="0" quotePrefix="0" xfId="0">
      <alignment wrapText="1"/>
    </xf>
    <xf numFmtId="0" fontId="39" fillId="33" borderId="1" applyAlignment="1" pivotButton="0" quotePrefix="0" xfId="0">
      <alignment wrapText="1"/>
    </xf>
    <xf numFmtId="0" fontId="34" fillId="0" borderId="29" applyAlignment="1" pivotButton="0" quotePrefix="0" xfId="0">
      <alignment wrapText="1"/>
    </xf>
    <xf numFmtId="0" fontId="34" fillId="22" borderId="30" applyAlignment="1" pivotButton="0" quotePrefix="0" xfId="0">
      <alignment wrapText="1"/>
    </xf>
    <xf numFmtId="0" fontId="34" fillId="0" borderId="30" applyAlignment="1" pivotButton="0" quotePrefix="0" xfId="0">
      <alignment wrapText="1"/>
    </xf>
    <xf numFmtId="0" fontId="34" fillId="0" borderId="31" applyAlignment="1" pivotButton="0" quotePrefix="0" xfId="0">
      <alignment wrapText="1"/>
    </xf>
    <xf numFmtId="0" fontId="34" fillId="0" borderId="13" applyAlignment="1" pivotButton="0" quotePrefix="0" xfId="0">
      <alignment wrapText="1"/>
    </xf>
    <xf numFmtId="0" fontId="34" fillId="0" borderId="20" applyAlignment="1" pivotButton="0" quotePrefix="0" xfId="0">
      <alignment wrapText="1"/>
    </xf>
    <xf numFmtId="0" fontId="34" fillId="0" borderId="14" applyAlignment="1" pivotButton="0" quotePrefix="0" xfId="0">
      <alignment wrapText="1"/>
    </xf>
    <xf numFmtId="0" fontId="39" fillId="33" borderId="12" applyAlignment="1" pivotButton="0" quotePrefix="0" xfId="0">
      <alignment wrapText="1"/>
    </xf>
    <xf numFmtId="0" fontId="34" fillId="0" borderId="12" applyAlignment="1" pivotButton="0" quotePrefix="0" xfId="0">
      <alignment wrapText="1"/>
    </xf>
    <xf numFmtId="0" fontId="0" fillId="0" borderId="26" applyAlignment="1" pivotButton="0" quotePrefix="0" xfId="0">
      <alignment vertical="center" wrapText="1"/>
    </xf>
    <xf numFmtId="0" fontId="3" fillId="0" borderId="5" applyAlignment="1" pivotButton="0" quotePrefix="0" xfId="0">
      <alignment horizontal="left" vertical="center" wrapText="1"/>
    </xf>
    <xf numFmtId="0" fontId="3" fillId="0" borderId="1" applyAlignment="1" pivotButton="0" quotePrefix="0" xfId="0">
      <alignment vertical="center"/>
    </xf>
    <xf numFmtId="0" fontId="3" fillId="0" borderId="5" applyAlignment="1" pivotButton="0" quotePrefix="0" xfId="0">
      <alignment vertical="center" wrapText="1"/>
    </xf>
    <xf numFmtId="0" fontId="3" fillId="0" borderId="53" applyAlignment="1" pivotButton="0" quotePrefix="0" xfId="0">
      <alignment vertical="top" wrapText="1"/>
    </xf>
    <xf numFmtId="0" fontId="0" fillId="0" borderId="1" applyAlignment="1" pivotButton="0" quotePrefix="0" xfId="0">
      <alignment vertical="top"/>
    </xf>
    <xf numFmtId="0" fontId="1" fillId="12" borderId="4" applyAlignment="1" pivotButton="0" quotePrefix="0" xfId="0">
      <alignment horizontal="center" vertical="center"/>
    </xf>
    <xf numFmtId="0" fontId="40" fillId="12" borderId="4" applyAlignment="1" pivotButton="0" quotePrefix="0" xfId="0">
      <alignment horizontal="center" vertical="center"/>
    </xf>
    <xf numFmtId="0" fontId="19" fillId="0" borderId="4" applyAlignment="1" pivotButton="0" quotePrefix="0" xfId="0">
      <alignment horizontal="center" vertical="center"/>
    </xf>
    <xf numFmtId="0" fontId="3" fillId="0" borderId="72" applyAlignment="1" pivotButton="0" quotePrefix="0" xfId="0">
      <alignment horizontal="center" vertical="center"/>
    </xf>
    <xf numFmtId="0" fontId="3" fillId="0" borderId="55" applyAlignment="1" pivotButton="0" quotePrefix="0" xfId="0">
      <alignment horizontal="left" vertical="center" wrapText="1"/>
    </xf>
    <xf numFmtId="0" fontId="3" fillId="0" borderId="31" applyAlignment="1" pivotButton="0" quotePrefix="0" xfId="0">
      <alignment horizontal="left" vertical="center" wrapText="1"/>
    </xf>
    <xf numFmtId="0" fontId="3" fillId="0" borderId="9" applyAlignment="1" pivotButton="0" quotePrefix="0" xfId="0">
      <alignment horizontal="center" vertical="center"/>
    </xf>
    <xf numFmtId="0" fontId="3" fillId="0" borderId="9" applyAlignment="1" pivotButton="0" quotePrefix="0" xfId="0">
      <alignment horizontal="left" vertical="center" wrapText="1"/>
    </xf>
    <xf numFmtId="0" fontId="3" fillId="0" borderId="20" applyAlignment="1" pivotButton="0" quotePrefix="0" xfId="0">
      <alignment horizontal="left" vertical="center" wrapText="1"/>
    </xf>
    <xf numFmtId="0" fontId="3" fillId="31" borderId="9" applyAlignment="1" pivotButton="0" quotePrefix="0" xfId="0">
      <alignment horizontal="left" vertical="center" wrapText="1"/>
    </xf>
    <xf numFmtId="0" fontId="3" fillId="31" borderId="20" applyAlignment="1" pivotButton="0" quotePrefix="0" xfId="0">
      <alignment horizontal="left" vertical="center" wrapText="1"/>
    </xf>
    <xf numFmtId="0" fontId="3" fillId="31" borderId="19" applyAlignment="1" pivotButton="0" quotePrefix="0" xfId="0">
      <alignment horizontal="center" vertical="center"/>
    </xf>
    <xf numFmtId="0" fontId="3" fillId="31" borderId="14" applyAlignment="1" pivotButton="0" quotePrefix="0" xfId="0">
      <alignment vertical="center" wrapText="1"/>
    </xf>
    <xf numFmtId="0" fontId="3" fillId="0" borderId="8" applyAlignment="1" pivotButton="0" quotePrefix="0" xfId="0">
      <alignment horizontal="center" vertical="center"/>
    </xf>
    <xf numFmtId="0" fontId="3" fillId="0" borderId="9" applyAlignment="1" pivotButton="0" quotePrefix="0" xfId="0">
      <alignment vertical="center" wrapText="1"/>
    </xf>
    <xf numFmtId="0" fontId="3" fillId="0" borderId="20" applyAlignment="1" pivotButton="0" quotePrefix="0" xfId="0">
      <alignment vertical="center" wrapText="1"/>
    </xf>
    <xf numFmtId="0" fontId="3" fillId="0" borderId="9" applyAlignment="1" pivotButton="0" quotePrefix="0" xfId="0">
      <alignment vertical="center"/>
    </xf>
    <xf numFmtId="0" fontId="3" fillId="0" borderId="20" applyAlignment="1" pivotButton="0" quotePrefix="0" xfId="0">
      <alignment vertical="center"/>
    </xf>
    <xf numFmtId="0" fontId="41" fillId="0" borderId="20" applyAlignment="1" pivotButton="0" quotePrefix="0" xfId="0">
      <alignment vertical="center" wrapText="1"/>
    </xf>
    <xf numFmtId="0" fontId="3" fillId="0" borderId="13" applyAlignment="1" pivotButton="0" quotePrefix="0" xfId="0">
      <alignment vertical="center" wrapText="1"/>
    </xf>
    <xf numFmtId="0" fontId="3" fillId="0" borderId="19" applyAlignment="1" pivotButton="0" quotePrefix="0" xfId="0">
      <alignment horizontal="center" vertical="center"/>
    </xf>
    <xf numFmtId="0" fontId="3" fillId="0" borderId="14" applyAlignment="1" pivotButton="0" quotePrefix="0" xfId="0">
      <alignment vertical="center" wrapText="1"/>
    </xf>
    <xf numFmtId="0" fontId="3" fillId="0" borderId="12" applyAlignment="1" pivotButton="0" quotePrefix="0" xfId="0">
      <alignment vertical="center" wrapText="1"/>
    </xf>
    <xf numFmtId="0" fontId="41" fillId="0" borderId="24" applyAlignment="1" pivotButton="0" quotePrefix="0" xfId="0">
      <alignment vertical="center" wrapText="1"/>
    </xf>
    <xf numFmtId="0" fontId="3" fillId="31" borderId="12" applyAlignment="1" pivotButton="0" quotePrefix="0" xfId="0">
      <alignment vertical="center" wrapText="1"/>
    </xf>
    <xf numFmtId="0" fontId="41" fillId="31" borderId="58" applyAlignment="1" pivotButton="0" quotePrefix="0" xfId="0">
      <alignment vertical="center" wrapText="1"/>
    </xf>
    <xf numFmtId="0" fontId="0" fillId="12" borderId="1" applyAlignment="1" pivotButton="0" quotePrefix="0" xfId="0">
      <alignment vertical="center" wrapText="1"/>
    </xf>
    <xf numFmtId="0" fontId="2" fillId="20" borderId="1" applyAlignment="1" pivotButton="0" quotePrefix="0" xfId="0">
      <alignment wrapText="1"/>
    </xf>
    <xf numFmtId="0" fontId="0" fillId="12" borderId="0" applyAlignment="1" pivotButton="0" quotePrefix="0" xfId="0">
      <alignment horizontal="center" vertical="center"/>
    </xf>
    <xf numFmtId="0" fontId="42" fillId="12" borderId="0" applyAlignment="1" pivotButton="0" quotePrefix="0" xfId="0">
      <alignment horizontal="center" vertical="center" wrapText="1"/>
    </xf>
    <xf numFmtId="0" fontId="15" fillId="12" borderId="0" applyAlignment="1" pivotButton="0" quotePrefix="0" xfId="1">
      <alignment horizontal="center" vertical="center" wrapText="1"/>
    </xf>
    <xf numFmtId="0" fontId="42" fillId="12" borderId="0" applyAlignment="1" pivotButton="0" quotePrefix="0" xfId="0">
      <alignment vertical="center" wrapText="1"/>
    </xf>
    <xf numFmtId="0" fontId="15" fillId="12" borderId="0" applyAlignment="1" pivotButton="0" quotePrefix="0" xfId="1">
      <alignment vertical="center" wrapText="1"/>
    </xf>
    <xf numFmtId="0" fontId="11" fillId="7" borderId="66" applyAlignment="1" pivotButton="0" quotePrefix="0" xfId="0">
      <alignment horizontal="center" vertical="center"/>
    </xf>
    <xf numFmtId="0" fontId="11" fillId="17" borderId="66" applyAlignment="1" pivotButton="0" quotePrefix="0" xfId="0">
      <alignment horizontal="center" vertical="center"/>
    </xf>
    <xf numFmtId="0" fontId="15" fillId="7" borderId="73" pivotButton="0" quotePrefix="0" xfId="1"/>
    <xf numFmtId="0" fontId="11" fillId="7" borderId="74" applyAlignment="1" pivotButton="0" quotePrefix="0" xfId="0">
      <alignment horizontal="center" vertical="center"/>
    </xf>
    <xf numFmtId="0" fontId="11" fillId="7" borderId="75" applyAlignment="1" pivotButton="0" quotePrefix="0" xfId="0">
      <alignment horizontal="center" vertical="center"/>
    </xf>
    <xf numFmtId="0" fontId="15" fillId="7" borderId="76" pivotButton="0" quotePrefix="0" xfId="1"/>
    <xf numFmtId="0" fontId="11" fillId="7" borderId="67" applyAlignment="1" pivotButton="0" quotePrefix="0" xfId="0">
      <alignment horizontal="center" vertical="center"/>
    </xf>
    <xf numFmtId="0" fontId="15" fillId="17" borderId="76" pivotButton="0" quotePrefix="0" xfId="1"/>
    <xf numFmtId="0" fontId="11" fillId="17" borderId="67" applyAlignment="1" pivotButton="0" quotePrefix="0" xfId="0">
      <alignment horizontal="center" vertical="center"/>
    </xf>
    <xf numFmtId="0" fontId="15" fillId="7" borderId="77" pivotButton="0" quotePrefix="0" xfId="1"/>
    <xf numFmtId="0" fontId="11" fillId="7" borderId="78" applyAlignment="1" pivotButton="0" quotePrefix="0" xfId="0">
      <alignment horizontal="center" vertical="center"/>
    </xf>
    <xf numFmtId="0" fontId="11" fillId="7" borderId="79" applyAlignment="1" pivotButton="0" quotePrefix="0" xfId="0">
      <alignment horizontal="center" vertical="center"/>
    </xf>
    <xf numFmtId="0" fontId="0" fillId="0" borderId="80" applyAlignment="1" pivotButton="0" quotePrefix="0" xfId="0">
      <alignment vertical="center" wrapText="1"/>
    </xf>
    <xf numFmtId="0" fontId="0" fillId="0" borderId="5" applyAlignment="1" pivotButton="0" quotePrefix="0" xfId="0">
      <alignment vertical="center" wrapText="1"/>
    </xf>
    <xf numFmtId="0" fontId="2" fillId="0" borderId="1" applyAlignment="1" pivotButton="0" quotePrefix="0" xfId="0">
      <alignment wrapText="1"/>
    </xf>
    <xf numFmtId="0" fontId="2" fillId="24" borderId="9" applyAlignment="1" pivotButton="0" quotePrefix="0" xfId="0">
      <alignment wrapText="1"/>
    </xf>
    <xf numFmtId="0" fontId="31" fillId="24" borderId="9" applyAlignment="1" pivotButton="0" quotePrefix="0" xfId="0">
      <alignment wrapText="1"/>
    </xf>
    <xf numFmtId="0" fontId="2" fillId="0" borderId="5" applyAlignment="1" pivotButton="0" quotePrefix="0" xfId="0">
      <alignment wrapText="1"/>
    </xf>
    <xf numFmtId="0" fontId="2" fillId="24" borderId="8" applyAlignment="1" pivotButton="0" quotePrefix="0" xfId="0">
      <alignment wrapText="1"/>
    </xf>
    <xf numFmtId="0" fontId="31" fillId="24" borderId="8" applyAlignment="1" pivotButton="0" quotePrefix="0" xfId="0">
      <alignment wrapText="1"/>
    </xf>
    <xf numFmtId="0" fontId="3" fillId="0" borderId="66" applyAlignment="1" pivotButton="0" quotePrefix="0" xfId="0">
      <alignment vertical="top" wrapText="1"/>
    </xf>
    <xf numFmtId="0" fontId="0" fillId="0" borderId="66" pivotButton="0" quotePrefix="0" xfId="0"/>
    <xf numFmtId="0" fontId="3" fillId="0" borderId="26" applyAlignment="1" pivotButton="0" quotePrefix="0" xfId="0">
      <alignment vertical="top" wrapText="1"/>
    </xf>
    <xf numFmtId="0" fontId="2" fillId="34" borderId="14" applyAlignment="1" pivotButton="0" quotePrefix="0" xfId="0">
      <alignment vertical="center" wrapText="1"/>
    </xf>
    <xf numFmtId="0" fontId="2" fillId="34" borderId="12" applyAlignment="1" pivotButton="0" quotePrefix="0" xfId="0">
      <alignment horizontal="center" vertical="center" wrapText="1"/>
    </xf>
    <xf numFmtId="0" fontId="38" fillId="34" borderId="12" applyAlignment="1" pivotButton="0" quotePrefix="0" xfId="0">
      <alignment horizontal="left" vertical="center" wrapText="1"/>
    </xf>
    <xf numFmtId="0" fontId="2" fillId="34" borderId="61" applyAlignment="1" pivotButton="0" quotePrefix="0" xfId="0">
      <alignment horizontal="center" vertical="center" wrapText="1"/>
    </xf>
    <xf numFmtId="0" fontId="6" fillId="3" borderId="18" applyAlignment="1" pivotButton="0" quotePrefix="0" xfId="0">
      <alignment horizontal="center" vertical="center"/>
    </xf>
    <xf numFmtId="0" fontId="6" fillId="3" borderId="2" applyAlignment="1" pivotButton="0" quotePrefix="0" xfId="0">
      <alignment horizontal="center" vertical="center"/>
    </xf>
    <xf numFmtId="0" fontId="6" fillId="3" borderId="32" applyAlignment="1" pivotButton="0" quotePrefix="0" xfId="0">
      <alignment horizontal="center" vertical="center"/>
    </xf>
    <xf numFmtId="0" fontId="7" fillId="3" borderId="6" applyAlignment="1" pivotButton="0" quotePrefix="0" xfId="0">
      <alignment horizontal="center" vertical="center"/>
    </xf>
    <xf numFmtId="0" fontId="7" fillId="3" borderId="7" applyAlignment="1" pivotButton="0" quotePrefix="0" xfId="0">
      <alignment horizontal="center" vertical="center"/>
    </xf>
    <xf numFmtId="0" fontId="7" fillId="3" borderId="33" applyAlignment="1" pivotButton="0" quotePrefix="0" xfId="0">
      <alignment horizontal="center" vertical="center"/>
    </xf>
    <xf numFmtId="0" fontId="9" fillId="3" borderId="39" applyAlignment="1" pivotButton="0" quotePrefix="0" xfId="0">
      <alignment horizontal="center" vertical="center"/>
    </xf>
    <xf numFmtId="0" fontId="9" fillId="3" borderId="40" applyAlignment="1" pivotButton="0" quotePrefix="0" xfId="0">
      <alignment horizontal="center" vertical="center"/>
    </xf>
    <xf numFmtId="0" fontId="9" fillId="3" borderId="41" applyAlignment="1" pivotButton="0" quotePrefix="0" xfId="0">
      <alignment horizontal="center" vertical="center"/>
    </xf>
    <xf numFmtId="164" fontId="4" fillId="3" borderId="29" applyAlignment="1" pivotButton="0" quotePrefix="0" xfId="0">
      <alignment horizontal="left" vertical="center" wrapText="1"/>
    </xf>
    <xf numFmtId="164" fontId="4" fillId="3" borderId="30" applyAlignment="1" pivotButton="0" quotePrefix="0" xfId="0">
      <alignment horizontal="left" vertical="center" wrapText="1"/>
    </xf>
    <xf numFmtId="0" fontId="5" fillId="4" borderId="30" applyAlignment="1" pivotButton="0" quotePrefix="0" xfId="0">
      <alignment horizontal="center" vertical="center"/>
    </xf>
    <xf numFmtId="0" fontId="5" fillId="4" borderId="31" applyAlignment="1" pivotButton="0" quotePrefix="0" xfId="0">
      <alignment horizontal="center" vertical="center"/>
    </xf>
    <xf numFmtId="164" fontId="4" fillId="3" borderId="13" applyAlignment="1" pivotButton="0" quotePrefix="0" xfId="0">
      <alignment horizontal="left" vertical="center" wrapText="1"/>
    </xf>
    <xf numFmtId="164" fontId="4" fillId="3" borderId="1" applyAlignment="1" pivotButton="0" quotePrefix="0" xfId="0">
      <alignment horizontal="left" vertical="center" wrapText="1"/>
    </xf>
    <xf numFmtId="0" fontId="5" fillId="4" borderId="1" applyAlignment="1" pivotButton="0" quotePrefix="0" xfId="0">
      <alignment horizontal="center" vertical="center"/>
    </xf>
    <xf numFmtId="0" fontId="5" fillId="4" borderId="20" applyAlignment="1" pivotButton="0" quotePrefix="0" xfId="0">
      <alignment horizontal="center" vertical="center"/>
    </xf>
    <xf numFmtId="164" fontId="4" fillId="3" borderId="14" applyAlignment="1" pivotButton="0" quotePrefix="0" xfId="0">
      <alignment horizontal="left" vertical="center" wrapText="1"/>
    </xf>
    <xf numFmtId="164" fontId="4" fillId="3" borderId="12" applyAlignment="1" pivotButton="0" quotePrefix="0" xfId="0">
      <alignment horizontal="left" vertical="center" wrapText="1"/>
    </xf>
    <xf numFmtId="0" fontId="5" fillId="4" borderId="12" applyAlignment="1" pivotButton="0" quotePrefix="0" xfId="0">
      <alignment horizontal="center" vertical="center" wrapText="1"/>
    </xf>
    <xf numFmtId="0" fontId="5" fillId="4" borderId="24" applyAlignment="1" pivotButton="0" quotePrefix="0" xfId="0">
      <alignment horizontal="center" vertical="center" wrapText="1"/>
    </xf>
    <xf numFmtId="0" fontId="12" fillId="8" borderId="0" applyAlignment="1" pivotButton="0" quotePrefix="0" xfId="0">
      <alignment horizontal="center" vertical="center" wrapText="1"/>
    </xf>
    <xf numFmtId="0" fontId="12" fillId="8" borderId="42" applyAlignment="1" pivotButton="0" quotePrefix="0" xfId="0">
      <alignment horizontal="center" vertical="center" wrapText="1"/>
    </xf>
    <xf numFmtId="0" fontId="12" fillId="8" borderId="43" applyAlignment="1" pivotButton="0" quotePrefix="0" xfId="0">
      <alignment horizontal="center" vertical="center" wrapText="1"/>
    </xf>
    <xf numFmtId="0" fontId="12" fillId="8" borderId="44" applyAlignment="1" pivotButton="0" quotePrefix="0" xfId="0">
      <alignment horizontal="center" vertical="center" wrapText="1"/>
    </xf>
    <xf numFmtId="0" fontId="12" fillId="8" borderId="48" applyAlignment="1" pivotButton="0" quotePrefix="0" xfId="0">
      <alignment horizontal="center" vertical="center" wrapText="1"/>
    </xf>
    <xf numFmtId="0" fontId="12" fillId="8" borderId="49" applyAlignment="1" pivotButton="0" quotePrefix="0" xfId="0">
      <alignment horizontal="center" vertical="center" wrapText="1"/>
    </xf>
    <xf numFmtId="0" fontId="12" fillId="8" borderId="50" applyAlignment="1" pivotButton="0" quotePrefix="0" xfId="0">
      <alignment horizontal="center" vertical="center" wrapText="1"/>
    </xf>
    <xf numFmtId="0" fontId="12" fillId="8" borderId="51" applyAlignment="1" pivotButton="0" quotePrefix="0" xfId="0">
      <alignment horizontal="center" vertical="center" wrapText="1"/>
    </xf>
    <xf numFmtId="0" fontId="12" fillId="8" borderId="52" applyAlignment="1" pivotButton="0" quotePrefix="0" xfId="0">
      <alignment horizontal="center" vertical="center" wrapText="1"/>
    </xf>
    <xf numFmtId="0" fontId="0" fillId="0" borderId="27" applyAlignment="1" pivotButton="0" quotePrefix="0" xfId="0">
      <alignment horizontal="center" vertical="center" wrapText="1"/>
    </xf>
    <xf numFmtId="0" fontId="0" fillId="0" borderId="23" applyAlignment="1" pivotButton="0" quotePrefix="0" xfId="0">
      <alignment horizontal="center" vertical="center" wrapText="1"/>
    </xf>
    <xf numFmtId="0" fontId="12" fillId="8" borderId="63" applyAlignment="1" pivotButton="0" quotePrefix="0" xfId="0">
      <alignment horizontal="center" vertical="center" wrapText="1"/>
    </xf>
    <xf numFmtId="0" fontId="12" fillId="8" borderId="64"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20" applyAlignment="1" pivotButton="0" quotePrefix="0" xfId="0">
      <alignment horizontal="center" vertical="center" wrapText="1"/>
    </xf>
    <xf numFmtId="0" fontId="2" fillId="0" borderId="13"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1" applyAlignment="1" pivotButton="0" quotePrefix="0" xfId="0">
      <alignment horizontal="left" vertical="center" wrapText="1"/>
    </xf>
    <xf numFmtId="0" fontId="0" fillId="12" borderId="0" applyAlignment="1" pivotButton="0" quotePrefix="0" xfId="0">
      <alignment horizontal="center" vertical="center"/>
    </xf>
    <xf numFmtId="0" fontId="0" fillId="12" borderId="0" applyAlignment="1" pivotButton="0" quotePrefix="0" xfId="0">
      <alignment horizontal="center" vertical="center" wrapText="1"/>
    </xf>
    <xf numFmtId="0" fontId="8" fillId="4" borderId="1" applyAlignment="1" pivotButton="0" quotePrefix="0" xfId="0">
      <alignment horizontal="center" vertical="center" wrapText="1"/>
    </xf>
    <xf numFmtId="0" fontId="7" fillId="11" borderId="1" applyAlignment="1" pivotButton="0" quotePrefix="0" xfId="0">
      <alignment horizontal="center" vertical="center"/>
    </xf>
    <xf numFmtId="0" fontId="24" fillId="0" borderId="1" applyAlignment="1" pivotButton="0" quotePrefix="0" xfId="0">
      <alignment horizontal="center" vertical="center"/>
    </xf>
    <xf numFmtId="0" fontId="24" fillId="0" borderId="26" applyAlignment="1" pivotButton="0" quotePrefix="0" xfId="0">
      <alignment horizontal="center" vertical="center"/>
    </xf>
    <xf numFmtId="0" fontId="24" fillId="0" borderId="38" applyAlignment="1" pivotButton="0" quotePrefix="0" xfId="0">
      <alignment horizontal="center" vertical="center"/>
    </xf>
    <xf numFmtId="0" fontId="24" fillId="0" borderId="5" applyAlignment="1" pivotButton="0" quotePrefix="0" xfId="0">
      <alignment horizontal="center" vertical="center"/>
    </xf>
    <xf numFmtId="0" fontId="0" fillId="0" borderId="55" pivotButton="0" quotePrefix="0" xfId="0"/>
    <xf numFmtId="0" fontId="0" fillId="0" borderId="9" pivotButton="0" quotePrefix="0" xfId="0"/>
    <xf numFmtId="0" fontId="0" fillId="0" borderId="19" pivotButton="0" quotePrefix="0" xfId="0"/>
    <xf numFmtId="0" fontId="6" fillId="3" borderId="3" applyAlignment="1" pivotButton="0" quotePrefix="0" xfId="0">
      <alignment horizontal="center" vertical="center"/>
    </xf>
    <xf numFmtId="0" fontId="0" fillId="0" borderId="2" pivotButton="0" quotePrefix="0" xfId="0"/>
    <xf numFmtId="0" fontId="0" fillId="0" borderId="32" pivotButton="0" quotePrefix="0" xfId="0"/>
    <xf numFmtId="0" fontId="7" fillId="3" borderId="4" applyAlignment="1" pivotButton="0" quotePrefix="0" xfId="0">
      <alignment horizontal="center" vertical="center"/>
    </xf>
    <xf numFmtId="0" fontId="0" fillId="0" borderId="7" pivotButton="0" quotePrefix="0" xfId="0"/>
    <xf numFmtId="0" fontId="0" fillId="0" borderId="33" pivotButton="0" quotePrefix="0" xfId="0"/>
    <xf numFmtId="0" fontId="9" fillId="3" borderId="81" applyAlignment="1" pivotButton="0" quotePrefix="0" xfId="0">
      <alignment horizontal="center" vertical="center"/>
    </xf>
    <xf numFmtId="0" fontId="0" fillId="0" borderId="40" pivotButton="0" quotePrefix="0" xfId="0"/>
    <xf numFmtId="0" fontId="0" fillId="0" borderId="41" pivotButton="0" quotePrefix="0" xfId="0"/>
    <xf numFmtId="0" fontId="0" fillId="0" borderId="83" pivotButton="0" quotePrefix="0" xfId="0"/>
    <xf numFmtId="0" fontId="0" fillId="0" borderId="84" pivotButton="0" quotePrefix="0" xfId="0"/>
    <xf numFmtId="0" fontId="0" fillId="0" borderId="49" pivotButton="0" quotePrefix="0" xfId="0"/>
    <xf numFmtId="0" fontId="12" fillId="8" borderId="86" applyAlignment="1" pivotButton="0" quotePrefix="0" xfId="0">
      <alignment horizontal="center" vertical="center" wrapText="1"/>
    </xf>
    <xf numFmtId="0" fontId="0" fillId="0" borderId="50" pivotButton="0" quotePrefix="0" xfId="0"/>
    <xf numFmtId="0" fontId="0" fillId="0" borderId="51" pivotButton="0" quotePrefix="0" xfId="0"/>
    <xf numFmtId="0" fontId="0" fillId="0" borderId="52" pivotButton="0" quotePrefix="0" xfId="0"/>
    <xf numFmtId="0" fontId="0" fillId="0" borderId="64" pivotButton="0" quotePrefix="0" xfId="0"/>
    <xf numFmtId="0" fontId="0" fillId="0" borderId="24" applyAlignment="1" pivotButton="0" quotePrefix="0" xfId="0">
      <alignment horizontal="center" vertical="center" wrapText="1"/>
    </xf>
    <xf numFmtId="0" fontId="0" fillId="0" borderId="23" pivotButton="0" quotePrefix="0" xfId="0"/>
    <xf numFmtId="0" fontId="0" fillId="0" borderId="91" pivotButton="0" quotePrefix="0" xfId="0"/>
    <xf numFmtId="0" fontId="0" fillId="0" borderId="38" pivotButton="0" quotePrefix="0" xfId="0"/>
    <xf numFmtId="0" fontId="0" fillId="0" borderId="85" pivotButton="0" quotePrefix="0" xfId="0"/>
    <xf numFmtId="0" fontId="0" fillId="0" borderId="56" pivotButton="0" quotePrefix="0" xfId="0"/>
    <xf numFmtId="0" fontId="0" fillId="0" borderId="15" pivotButton="0" quotePrefix="0" xfId="0"/>
    <xf numFmtId="0" fontId="0" fillId="0" borderId="8" pivotButton="0" quotePrefix="0" xfId="0"/>
  </cellXfs>
  <cellStyles count="2">
    <cellStyle name="Normal" xfId="0" builtinId="0"/>
    <cellStyle name="Hyperlink" xfId="1" builtinId="8"/>
  </cellStyles>
  <dxfs count="1560">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lor rgb="FF9C5700"/>
      </font>
      <fill>
        <patternFill>
          <bgColor rgb="FFFFEB9C"/>
        </patternFill>
      </fill>
    </dxf>
    <dxf>
      <font>
        <color rgb="FF00610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9" tint="0.3999450666829432"/>
        </patternFill>
      </fill>
    </dxf>
    <dxf>
      <fill>
        <patternFill>
          <bgColor theme="3" tint="0.3999450666829432"/>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9C6500"/>
        <extend val="0"/>
      </font>
      <fill>
        <patternFill>
          <bgColor rgb="FFFFEB9C"/>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indexed="20"/>
        <extend val="0"/>
      </font>
      <fill>
        <patternFill>
          <bgColor indexed="45"/>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6500"/>
        <extend val="0"/>
      </font>
      <fill>
        <patternFill>
          <bgColor rgb="FFFFEB9C"/>
        </patternFill>
      </fill>
    </dxf>
    <dxf>
      <font>
        <color theme="3"/>
      </font>
      <fill>
        <patternFill>
          <bgColor theme="3" tint="0.5999633777886288"/>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6500"/>
        <extend val="0"/>
      </font>
      <fill>
        <patternFill>
          <bgColor rgb="FFFFEB9C"/>
        </patternFill>
      </fill>
    </dxf>
    <dxf>
      <font>
        <color theme="3"/>
      </font>
      <fill>
        <patternFill>
          <bgColor theme="3" tint="0.5999633777886288"/>
        </patternFill>
      </fill>
    </dxf>
    <dxf>
      <font>
        <color rgb="FFCC6600"/>
      </font>
      <fill>
        <patternFill>
          <bgColor rgb="FFFFFFCC"/>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6500"/>
        <extend val="0"/>
      </font>
      <fill>
        <patternFill>
          <bgColor rgb="FFFFEB9C"/>
        </patternFill>
      </fill>
    </dxf>
    <dxf>
      <font>
        <color theme="3"/>
      </font>
      <fill>
        <patternFill>
          <bgColor theme="3" tint="0.5999633777886288"/>
        </patternFill>
      </fill>
    </dxf>
    <dxf>
      <font>
        <color rgb="FFCC6600"/>
      </font>
      <fill>
        <patternFill>
          <bgColor rgb="FFFFFF66"/>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6500"/>
        <extend val="0"/>
      </font>
      <fill>
        <patternFill>
          <bgColor rgb="FFFFEB9C"/>
        </patternFill>
      </fill>
    </dxf>
    <dxf>
      <font>
        <color theme="3"/>
      </font>
      <fill>
        <patternFill>
          <bgColor theme="3" tint="0.5999633777886288"/>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6500"/>
        <extend val="0"/>
      </font>
      <fill>
        <patternFill>
          <bgColor rgb="FFFFEB9C"/>
        </patternFill>
      </fill>
    </dxf>
    <dxf>
      <font>
        <color theme="3"/>
      </font>
      <fill>
        <patternFill>
          <bgColor theme="3" tint="0.5999633777886288"/>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6500"/>
        <extend val="0"/>
      </font>
      <fill>
        <patternFill>
          <bgColor rgb="FFFFEB9C"/>
        </patternFill>
      </fill>
    </dxf>
    <dxf>
      <font>
        <color theme="3"/>
      </font>
      <fill>
        <patternFill>
          <bgColor theme="3" tint="0.5999633777886288"/>
        </patternFill>
      </fill>
    </dxf>
    <dxf>
      <font>
        <color rgb="FFCC6600"/>
      </font>
      <fill>
        <patternFill>
          <bgColor rgb="FFFFFFCC"/>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6500"/>
        <extend val="0"/>
      </font>
      <fill>
        <patternFill>
          <bgColor rgb="FFFFEB9C"/>
        </patternFill>
      </fill>
    </dxf>
    <dxf>
      <font>
        <color theme="3"/>
      </font>
      <fill>
        <patternFill>
          <bgColor theme="3" tint="0.5999633777886288"/>
        </patternFill>
      </fill>
    </dxf>
    <dxf>
      <font>
        <color rgb="FFCC6600"/>
      </font>
      <fill>
        <patternFill>
          <bgColor rgb="FFFFFF66"/>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6500"/>
        <extend val="0"/>
      </font>
      <fill>
        <patternFill>
          <bgColor rgb="FFFFEB9C"/>
        </patternFill>
      </fill>
    </dxf>
    <dxf>
      <font>
        <color theme="3"/>
      </font>
      <fill>
        <patternFill>
          <bgColor theme="3"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comments/comment1.xml><?xml version="1.0" encoding="utf-8"?>
<comments xmlns="http://schemas.openxmlformats.org/spreadsheetml/2006/main">
  <authors>
    <author>tc={D3FA6A0E-05A5-4D08-B216-02150F71CA8F}</author>
    <author>tc={6D19CD95-F6E3-41DC-9A66-98ED957B3160}</author>
    <author>tc={C710C5E3-05BF-4243-9473-57460A307E49}</author>
    <author>tc={A1B89314-AC09-4322-BB55-C6EEF0D027E6}</author>
    <author>tc={5B42A625-34F8-406B-83D5-A52F73E2A94C}</author>
    <author>Neha Bharti</author>
    <author>tc={F4F39155-E559-4342-B558-714962719DCD}</author>
    <author>tc={374377A1-1696-4723-AABD-A5C1547E008C}</author>
    <author>tc={E10F21FE-8788-459D-8E31-392596012331}</author>
    <author>tc={B9AF3BC2-F3A3-49C9-92F8-32B5DAD92116}</author>
    <author>tc={E151C51F-208C-46C0-98C4-9C1F46C515A4}</author>
    <author>tc={A4E4A5BE-E10E-4653-9429-AF6EC117DA4E}</author>
    <author>tc={A8D80FBF-519F-4E07-8879-80F1472B24BE}</author>
    <author>tc={76AA071C-99E2-419E-AC77-BB0E02411C98}</author>
    <author>tc={205D9FF6-4B77-47FB-8155-DAB3B275468B}</author>
    <author>tc={2B16C07F-8B40-4993-9104-41F4022D5EB8}</author>
    <author>tc={D8B390ED-CC1B-4911-BB00-CFF5BCD6FF43}</author>
    <author>tc={AA4DC05D-284C-43D6-8CDA-A6C09576BD51}</author>
    <author>tc={8F33ABDE-C868-4407-B374-1BA3EE2FB70E}</author>
    <author>tc={432C65C1-9163-4671-9FD5-D42983506FCB}</author>
    <author>tc={5291A5B4-8EEB-424F-841C-45653E0CDCDA}</author>
    <author>tc={13A08061-983F-430C-9158-3CF9FC5DE1DF}</author>
    <author>tc={45DC28DE-53B6-42DB-92CE-018AEDD5038F}</author>
    <author>tc={7FC27889-4EB5-4A8D-A426-7EA38CDA555D}</author>
    <author>tc={C41C8149-8C4B-4068-AF34-D84FA2480FBF}</author>
    <author>tc={63D3B46F-0A86-4959-A0D6-6490E320ECC0}</author>
    <author>tc={4B4ABCFF-1AD5-4418-A835-19A2622458A5}</author>
    <author>tc={B7369590-38E3-4EB1-8054-E39D76C19698}</author>
    <author>tc={2A3E7622-D307-45E2-B935-142280DC1EB8}</author>
    <author>tc={FAF1243C-E0F1-41BC-98EF-CD399ED4B2D0}</author>
  </authors>
  <commentList>
    <comment ref="D11" authorId="0" shapeId="0">
      <text>
        <t>[Threaded comment]
Your version of Excel allows you to read this threaded comment; however, any edits to it will get removed if the file is opened in a newer version of Excel. Learn more: https://go.microsoft.com/fwlink/?linkid=870924
Comment:
    Select the expression in one go, then map</t>
      </text>
    </comment>
    <comment ref="D12" authorId="1" shapeId="0">
      <text>
        <t>[Threaded comment]
Your version of Excel allows you to read this threaded comment; however, any edits to it will get removed if the file is opened in a newer version of Excel. Learn more: https://go.microsoft.com/fwlink/?linkid=870924
Comment:
    Map Value with ABS first, then select conversion</t>
      </text>
    </comment>
    <comment ref="D20" authorId="2" shapeId="0">
      <text>
        <t>[Threaded comment]
Your version of Excel allows you to read this threaded comment; however, any edits to it will get removed if the file is opened in a newer version of Excel. Learn more: https://go.microsoft.com/fwlink/?linkid=870924
Comment:
    Map Value first, then map another with ABS</t>
      </text>
    </comment>
    <comment ref="D22" authorId="3" shapeId="0">
      <text>
        <t>[Threaded comment]
Your version of Excel allows you to read this threaded comment; however, any edits to it will get removed if the file is opened in a newer version of Excel. Learn more: https://go.microsoft.com/fwlink/?linkid=870924
Comment:
    Map value with NEG, then apply ABS</t>
      </text>
    </comment>
    <comment ref="D23" authorId="4" shapeId="0">
      <text>
        <t>[Threaded comment]
Your version of Excel allows you to read this threaded comment; however, any edits to it will get removed if the file is opened in a newer version of Excel. Learn more: https://go.microsoft.com/fwlink/?linkid=870924
Comment:
    Select value, then Neg and ABS, then map to model.</t>
      </text>
    </comment>
    <comment ref="D26" authorId="5" shapeId="0">
      <text>
        <t>Neha Bharti:
Select the expression in one go, then map</t>
      </text>
    </comment>
    <comment ref="D27" authorId="5" shapeId="0">
      <text>
        <t>Neha Bharti:
Map value with conversion first, then apply contra</t>
      </text>
    </comment>
    <comment ref="D31" authorId="5" shapeId="0">
      <text>
        <t>Neha Bharti:
Select the expression in one go, then map</t>
      </text>
    </comment>
    <comment ref="D32" authorId="5" shapeId="0">
      <text>
        <t>Neha Bharti:
Map value with conversion first, then apply contra</t>
      </text>
    </comment>
    <comment ref="D42" authorId="6" shapeId="0">
      <text>
        <t>[Threaded comment]
Your version of Excel allows you to read this threaded comment; however, any edits to it will get removed if the file is opened in a newer version of Excel. Learn more: https://go.microsoft.com/fwlink/?linkid=870924
Comment:
    Map value with Contra then apply Abs</t>
      </text>
    </comment>
    <comment ref="D43" authorId="7" shapeId="0">
      <text>
        <t>[Threaded comment]
Your version of Excel allows you to read this threaded comment; however, any edits to it will get removed if the file is opened in a newer version of Excel. Learn more: https://go.microsoft.com/fwlink/?linkid=870924
Comment:
    Select value, then Neg and Contra, then map to model.</t>
      </text>
    </comment>
    <comment ref="D46" authorId="8" shapeId="0">
      <text>
        <t>[Threaded comment]
Your version of Excel allows you to read this threaded comment; however, any edits to it will get removed if the file is opened in a newer version of Excel. Learn more: https://go.microsoft.com/fwlink/?linkid=870924
Comment:
    Map value with conversion first, then apply contra</t>
      </text>
    </comment>
    <comment ref="D48" authorId="5" shapeId="0">
      <text>
        <t>Neha Bharti:
Select the expression in one go, then map</t>
      </text>
    </comment>
    <comment ref="D49" authorId="9" shapeId="0">
      <text>
        <t>[Threaded comment]
Your version of Excel allows you to read this threaded comment; however, any edits to it will get removed if the file is opened in a newer version of Excel. Learn more: https://go.microsoft.com/fwlink/?linkid=870924
Comment:
    Map Value with NEG first, then select conversion</t>
      </text>
    </comment>
    <comment ref="D52" authorId="10" shapeId="0">
      <text>
        <t>[Threaded comment]
Your version of Excel allows you to read this threaded comment; however, any edits to it will get removed if the file is opened in a newer version of Excel. Learn more: https://go.microsoft.com/fwlink/?linkid=870924
Comment:
    Map value with contra first, then apply NEG</t>
      </text>
    </comment>
    <comment ref="D53" authorId="11" shapeId="0">
      <text>
        <t>[Threaded comment]
Your version of Excel allows you to read this threaded comment; however, any edits to it will get removed if the file is opened in a newer version of Excel. Learn more: https://go.microsoft.com/fwlink/?linkid=870924
Comment:
    Map value with ABS, then apply NEG</t>
      </text>
    </comment>
    <comment ref="D57" authorId="12" shapeId="0">
      <text>
        <t>[Threaded comment]
Your version of Excel allows you to read this threaded comment; however, any edits to it will get removed if the file is opened in a newer version of Excel. Learn more: https://go.microsoft.com/fwlink/?linkid=870924
Comment:
    Map Value first, then map another with ABS</t>
      </text>
    </comment>
    <comment ref="D63" authorId="13" shapeId="0">
      <text>
        <t>[Threaded comment]
Your version of Excel allows you to read this threaded comment; however, any edits to it will get removed if the file is opened in a newer version of Excel. Learn more: https://go.microsoft.com/fwlink/?linkid=870924
Comment:
    Map value with conversion first, then apply NEG.</t>
      </text>
    </comment>
    <comment ref="D67" authorId="14" shapeId="0">
      <text>
        <t>[Threaded comment]
Your version of Excel allows you to read this threaded comment; however, any edits to it will get removed if the file is opened in a newer version of Excel. Learn more: https://go.microsoft.com/fwlink/?linkid=870924
Comment:
    Verified with both Divide and multiply</t>
      </text>
    </comment>
    <comment ref="D69" authorId="15" shapeId="0">
      <text>
        <t>[Threaded comment]
Your version of Excel allows you to read this threaded comment; however, any edits to it will get removed if the file is opened in a newer version of Excel. Learn more: https://go.microsoft.com/fwlink/?linkid=870924
Comment:
    Map value with multiply conversion first, then apply divide by conversion.</t>
      </text>
    </comment>
    <comment ref="D71" authorId="16" shapeId="0">
      <text>
        <t>[Threaded comment]
Your version of Excel allows you to read this threaded comment; however, any edits to it will get removed if the file is opened in a newer version of Excel. Learn more: https://go.microsoft.com/fwlink/?linkid=870924
Comment:
    Apply contra to value and map, then apply conversion</t>
      </text>
    </comment>
    <comment ref="D72" authorId="17" shapeId="0">
      <text>
        <t>[Threaded comment]
Your version of Excel allows you to read this threaded comment; however, any edits to it will get removed if the file is opened in a newer version of Excel. Learn more: https://go.microsoft.com/fwlink/?linkid=870924
Comment:
    Create expression in one go, then map</t>
      </text>
    </comment>
    <comment ref="D73" authorId="18" shapeId="0">
      <text>
        <t>[Threaded comment]
Your version of Excel allows you to read this threaded comment; however, any edits to it will get removed if the file is opened in a newer version of Excel. Learn more: https://go.microsoft.com/fwlink/?linkid=870924
Comment:
    Create expression in one go, then map to model</t>
      </text>
    </comment>
    <comment ref="D74" authorId="19" shapeId="0">
      <text>
        <t>[Threaded comment]
Your version of Excel allows you to read this threaded comment; however, any edits to it will get removed if the file is opened in a newer version of Excel. Learn more: https://go.microsoft.com/fwlink/?linkid=870924
Comment:
    Map value first, then apply ABS, then apply conversion</t>
      </text>
    </comment>
    <comment ref="D84" authorId="20" shapeId="0">
      <text>
        <t>[Threaded comment]
Your version of Excel allows you to read this threaded comment; however, any edits to it will get removed if the file is opened in a newer version of Excel. Learn more: https://go.microsoft.com/fwlink/?linkid=870924
Comment:
    Verified with both Divide and multiply</t>
      </text>
    </comment>
    <comment ref="D88" authorId="21" shapeId="0">
      <text>
        <t>[Threaded comment]
Your version of Excel allows you to read this threaded comment; however, any edits to it will get removed if the file is opened in a newer version of Excel. Learn more: https://go.microsoft.com/fwlink/?linkid=870924
Comment:
    Apply contra to value and map, then apply Unitscale</t>
      </text>
    </comment>
    <comment ref="D89" authorId="22" shapeId="0">
      <text>
        <t>[Threaded comment]
Your version of Excel allows you to read this threaded comment; however, any edits to it will get removed if the file is opened in a newer version of Excel. Learn more: https://go.microsoft.com/fwlink/?linkid=870924
Comment:
    Create expression in one go, then map</t>
      </text>
    </comment>
    <comment ref="D90" authorId="23" shapeId="0">
      <text>
        <t>[Threaded comment]
Your version of Excel allows you to read this threaded comment; however, any edits to it will get removed if the file is opened in a newer version of Excel. Learn more: https://go.microsoft.com/fwlink/?linkid=870924
Comment:
    Create expression in one go, then map to model</t>
      </text>
    </comment>
    <comment ref="D91" authorId="24" shapeId="0">
      <text>
        <t>[Threaded comment]
Your version of Excel allows you to read this threaded comment; however, any edits to it will get removed if the file is opened in a newer version of Excel. Learn more: https://go.microsoft.com/fwlink/?linkid=870924
Comment:
    Map value first, then apply ABS, then apply conversion</t>
      </text>
    </comment>
    <comment ref="D113" authorId="25" shapeId="0">
      <text>
        <t>[Threaded comment]
Your version of Excel allows you to read this threaded comment; however, any edits to it will get removed if the file is opened in a newer version of Excel. Learn more: https://go.microsoft.com/fwlink/?linkid=870924
Comment:
    Select value and map to cell. Apply ABS.
Selecrt 2nd value, apply contra and map.
Select 3rd value. apply NEG and map.
Apply NEG, then ABS.</t>
      </text>
    </comment>
    <comment ref="D116" authorId="26" shapeId="0">
      <text>
        <t>[Threaded comment]
Your version of Excel allows you to read this threaded comment; however, any edits to it will get removed if the file is opened in a newer version of Excel. Learn more: https://go.microsoft.com/fwlink/?linkid=870924
Comment:
    Select value apply contra, then map.
Select 2nd value and map.
Select 3rd value, apply ABS &amp; Conv 10, then map</t>
      </text>
    </comment>
    <comment ref="D117" authorId="27" shapeId="0">
      <text>
        <t>[Threaded comment]
Your version of Excel allows you to read this threaded comment; however, any edits to it will get removed if the file is opened in a newer version of Excel. Learn more: https://go.microsoft.com/fwlink/?linkid=870924
Comment:
    Select value apply contra, then map.
Select 2nd value and map.
Select 3rd value, apply NEG &amp; Conv 10, then map</t>
      </text>
    </comment>
    <comment ref="D118" authorId="28" shapeId="0">
      <text>
        <t>[Threaded comment]
Your version of Excel allows you to read this threaded comment; however, any edits to it will get removed if the file is opened in a newer version of Excel. Learn more: https://go.microsoft.com/fwlink/?linkid=870924
Comment:
    Select value, apply NEG, then map.
Select 2nd value, apply NEG, then map.</t>
      </text>
    </comment>
    <comment ref="D119" authorId="29" shapeId="0">
      <text>
        <t>[Threaded comment]
Your version of Excel allows you to read this threaded comment; however, any edits to it will get removed if the file is opened in a newer version of Excel. Learn more: https://go.microsoft.com/fwlink/?linkid=870924
Comment:
    Select value, apply ABS, then map.
Select 2nd value, apply ABS, then map.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AppData/Roaming/Microsoft/Downloads/Roles%20and%20Rights%20Sample.docx" TargetMode="External" Id="rId1"/></Relationships>
</file>

<file path=xl/worksheets/_rels/sheet7.xml.rels><Relationships xmlns="http://schemas.openxmlformats.org/package/2006/relationships"><Relationship Type="http://schemas.openxmlformats.org/officeDocument/2006/relationships/hyperlink" Target="https://github.com/abramenal/cypress-file-upload/issues/273" TargetMode="External" Id="rId1"/><Relationship Type="http://schemas.openxmlformats.org/officeDocument/2006/relationships/hyperlink" Target="https://github.com/abramenal/cypress-file-upload/issues/273" TargetMode="External" Id="rId2"/></Relationships>
</file>

<file path=xl/worksheets/_rels/sheet8.xml.rels><Relationships xmlns="http://schemas.openxmlformats.org/package/2006/relationships"><Relationship Type="http://schemas.openxmlformats.org/officeDocument/2006/relationships/hyperlink" Target="https://dev.azure.com/ITC-ProductPlatforms/Spreadsmart%20V2/_workitems/edit/78022" TargetMode="External" Id="rId1"/><Relationship Type="http://schemas.openxmlformats.org/officeDocument/2006/relationships/hyperlink" Target="../AppData/Roaming/Microsoft/Downloads/Currency%20List%20(2).xlsx" TargetMode="External" Id="rId2"/></Relationships>
</file>

<file path=xl/worksheets/_rels/sheet1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3.xml.rels><Relationships xmlns="http://schemas.openxmlformats.org/package/2006/relationships"><Relationship Type="http://schemas.openxmlformats.org/officeDocument/2006/relationships/hyperlink" Target="https://dev.azure.com/ITC-ProductPlatforms/Spreadsmart%20V2/_workitems/edit/88304" TargetMode="External" Id="rId1"/></Relationships>
</file>

<file path=xl/worksheets/_rels/sheet15.xml.rels><Relationships xmlns="http://schemas.openxmlformats.org/package/2006/relationships"><Relationship Type="http://schemas.openxmlformats.org/officeDocument/2006/relationships/hyperlink" Target="https://ssdevwebapps.evalueserve.com/qaq323/mapCustomer/BulkUpload" TargetMode="External" Id="rId1"/><Relationship Type="http://schemas.openxmlformats.org/officeDocument/2006/relationships/hyperlink" Target="https://ssdevwebapps.evalueserve.com/uatq323/item" TargetMode="External" Id="rId2"/></Relationships>
</file>

<file path=xl/worksheets/_rels/sheet17.xml.rels><Relationships xmlns="http://schemas.openxmlformats.org/package/2006/relationships"><Relationship Type="http://schemas.openxmlformats.org/officeDocument/2006/relationships/hyperlink" Target="https://ssdevwebapps.evalueserve.com/qaq323/admin/noteProcessingManagement" TargetMode="External" Id="rId1"/></Relationships>
</file>

<file path=xl/worksheets/_rels/sheet20.xml.rels><Relationships xmlns="http://schemas.openxmlformats.org/package/2006/relationships"><Relationship Type="http://schemas.openxmlformats.org/officeDocument/2006/relationships/hyperlink" Target="https://dev.azure.com/ITC-ProductPlatforms/Spreadsmart%20V2/_workitems/edit/78034" TargetMode="External" Id="rId1"/></Relationships>
</file>

<file path=xl/worksheets/_rels/sheet30.xml.rels><Relationships xmlns="http://schemas.openxmlformats.org/package/2006/relationships"><Relationship Type="http://schemas.openxmlformats.org/officeDocument/2006/relationships/hyperlink" Target="../AppData/Roaming/Microsoft/Downloads/Download-1.xlsx" TargetMode="External" Id="rId1"/></Relationships>
</file>

<file path=xl/worksheets/sheet1.xml><?xml version="1.0" encoding="utf-8"?>
<worksheet xmlns="http://schemas.openxmlformats.org/spreadsheetml/2006/main">
  <sheetPr>
    <outlinePr summaryBelow="1" summaryRight="1"/>
    <pageSetUpPr/>
  </sheetPr>
  <dimension ref="C2:I95"/>
  <sheetViews>
    <sheetView showGridLines="0" topLeftCell="A61" workbookViewId="0">
      <selection activeCell="I60" sqref="I60"/>
    </sheetView>
  </sheetViews>
  <sheetFormatPr baseColWidth="8" defaultRowHeight="15"/>
  <cols>
    <col width="31.28515625" customWidth="1" min="3" max="3"/>
    <col width="12.42578125" customWidth="1" min="4" max="4"/>
    <col width="14.7109375" customWidth="1" min="5" max="5"/>
    <col width="15" customWidth="1" min="6" max="6"/>
    <col width="12" customWidth="1" min="7" max="7"/>
    <col width="13" customWidth="1" min="8" max="8"/>
    <col width="11.7109375" customWidth="1" min="9" max="9"/>
  </cols>
  <sheetData>
    <row r="1" ht="15.75" customHeight="1" thickBot="1"/>
    <row r="2">
      <c r="C2" s="338" t="inlineStr">
        <is>
          <t>Project</t>
        </is>
      </c>
      <c r="D2" s="377" t="n"/>
      <c r="E2" s="340" t="inlineStr">
        <is>
          <t>Spreadsmart</t>
        </is>
      </c>
      <c r="F2" s="377" t="n"/>
    </row>
    <row r="3">
      <c r="C3" s="342" t="inlineStr">
        <is>
          <t>Project Manager</t>
        </is>
      </c>
      <c r="D3" s="378" t="n"/>
      <c r="E3" s="344" t="inlineStr">
        <is>
          <t>ManishkumarNanjibhai Buhecha</t>
        </is>
      </c>
      <c r="F3" s="378" t="n"/>
    </row>
    <row r="4" ht="15.75" customHeight="1" thickBot="1">
      <c r="C4" s="346" t="inlineStr">
        <is>
          <t>Test Team Members</t>
        </is>
      </c>
      <c r="D4" s="379" t="n"/>
      <c r="E4" s="348" t="inlineStr">
        <is>
          <t>Neha Bharti, Aswini, Anit, Archana</t>
        </is>
      </c>
      <c r="F4" s="379" t="n"/>
    </row>
    <row r="6" ht="15.75" customHeight="1" thickBot="1"/>
    <row r="7" ht="15.75" customHeight="1" thickBot="1">
      <c r="C7" s="380" t="inlineStr">
        <is>
          <t xml:space="preserve">Test Case Summary </t>
        </is>
      </c>
      <c r="D7" s="381" t="n"/>
      <c r="E7" s="381" t="n"/>
      <c r="F7" s="382" t="n"/>
    </row>
    <row r="8" ht="15.75" customHeight="1" thickBot="1">
      <c r="C8" s="30" t="inlineStr">
        <is>
          <t>Test Case Count</t>
        </is>
      </c>
      <c r="D8" s="383">
        <f>SUM(D10:D14)</f>
        <v/>
      </c>
      <c r="E8" s="384" t="n"/>
      <c r="F8" s="385" t="n"/>
    </row>
    <row r="9">
      <c r="C9" s="31" t="inlineStr">
        <is>
          <t>Total Executed Test Cases</t>
        </is>
      </c>
      <c r="D9" s="32" t="n"/>
      <c r="E9" s="32" t="inlineStr">
        <is>
          <t>Executed Tests</t>
        </is>
      </c>
      <c r="F9" s="39" t="inlineStr">
        <is>
          <t>Total Tests</t>
        </is>
      </c>
    </row>
    <row r="10">
      <c r="C10" s="33" t="inlineStr">
        <is>
          <t>Passed</t>
        </is>
      </c>
      <c r="D10" s="34">
        <f>SUM(E18:E45)</f>
        <v/>
      </c>
      <c r="E10" s="35">
        <f>IF(D10=0,,(D10/(D10+D11)))</f>
        <v/>
      </c>
      <c r="F10" s="40">
        <f>IF(D9=0,,(D10/D9))</f>
        <v/>
      </c>
    </row>
    <row r="11">
      <c r="C11" s="33" t="inlineStr">
        <is>
          <t>Failed</t>
        </is>
      </c>
      <c r="D11" s="34">
        <f>SUM(F18:F45)</f>
        <v/>
      </c>
      <c r="E11" s="35">
        <f>IF(D11=0,,(D11/(D10+D11)))</f>
        <v/>
      </c>
      <c r="F11" s="40">
        <f>IF(D9=0,,(D11/D9))</f>
        <v/>
      </c>
    </row>
    <row r="12">
      <c r="C12" s="33" t="inlineStr">
        <is>
          <t>Blocked</t>
        </is>
      </c>
      <c r="D12" s="34">
        <f>SUM(G18:G45)</f>
        <v/>
      </c>
      <c r="E12" s="35" t="n">
        <v>0</v>
      </c>
      <c r="F12" s="40" t="n">
        <v>0</v>
      </c>
    </row>
    <row r="13">
      <c r="C13" s="33" t="inlineStr">
        <is>
          <t>Pending</t>
        </is>
      </c>
      <c r="D13" s="34">
        <f>SUM(H18:H45)</f>
        <v/>
      </c>
      <c r="E13" s="35" t="n">
        <v>0</v>
      </c>
      <c r="F13" s="40" t="n">
        <v>0</v>
      </c>
    </row>
    <row r="14" ht="15.75" customHeight="1" thickBot="1">
      <c r="C14" s="36" t="inlineStr">
        <is>
          <t>Not Applicable</t>
        </is>
      </c>
      <c r="D14" s="41">
        <f>SUM(I18:I45)</f>
        <v/>
      </c>
      <c r="E14" s="42" t="n">
        <v>0</v>
      </c>
      <c r="F14" s="43" t="n">
        <v>0</v>
      </c>
    </row>
    <row r="15" ht="15.75" customHeight="1" thickBot="1"/>
    <row r="16">
      <c r="C16" s="386" t="inlineStr">
        <is>
          <t>Feature-wise Test Case Result</t>
        </is>
      </c>
      <c r="D16" s="387" t="n"/>
      <c r="E16" s="387" t="n"/>
      <c r="F16" s="387" t="n"/>
      <c r="G16" s="387" t="n"/>
      <c r="H16" s="387" t="n"/>
      <c r="I16" s="388" t="n"/>
    </row>
    <row r="17" ht="15.75" customHeight="1" thickBot="1">
      <c r="C17" s="61" t="inlineStr">
        <is>
          <t>Feature Name</t>
        </is>
      </c>
      <c r="D17" s="62" t="inlineStr">
        <is>
          <t>Total test cases</t>
        </is>
      </c>
      <c r="E17" s="62" t="inlineStr">
        <is>
          <t>PASS</t>
        </is>
      </c>
      <c r="F17" s="62" t="inlineStr">
        <is>
          <t>FAIL</t>
        </is>
      </c>
      <c r="G17" s="62" t="inlineStr">
        <is>
          <t>Blocked</t>
        </is>
      </c>
      <c r="H17" s="62" t="inlineStr">
        <is>
          <t>Pending</t>
        </is>
      </c>
      <c r="I17" s="63" t="inlineStr">
        <is>
          <t>NA</t>
        </is>
      </c>
    </row>
    <row r="18">
      <c r="C18" s="58" t="inlineStr">
        <is>
          <t>SSO Login</t>
        </is>
      </c>
      <c r="D18" s="45">
        <f>'SSO Login'!D3</f>
        <v/>
      </c>
      <c r="E18" s="45">
        <f>'SSO Login'!D4</f>
        <v/>
      </c>
      <c r="F18" s="45">
        <f>'SSO Login'!D5</f>
        <v/>
      </c>
      <c r="G18" s="45">
        <f>'SSO Login'!D6</f>
        <v/>
      </c>
      <c r="H18" s="45">
        <f>'SSO Login'!D7</f>
        <v/>
      </c>
      <c r="I18" s="46">
        <f>'SSO Login'!D8</f>
        <v/>
      </c>
    </row>
    <row r="19">
      <c r="C19" s="58" t="inlineStr">
        <is>
          <t>Login Screen</t>
        </is>
      </c>
      <c r="D19" s="45">
        <f>SUM('Login Screen'!D3)</f>
        <v/>
      </c>
      <c r="E19" s="45">
        <f>SUM('Login Screen'!D4)</f>
        <v/>
      </c>
      <c r="F19" s="45">
        <f>SUM('Login Screen'!D5)</f>
        <v/>
      </c>
      <c r="G19" s="45">
        <f>SUM('Login Screen'!D6)</f>
        <v/>
      </c>
      <c r="H19" s="45">
        <f>SUM('Login Screen'!D7)</f>
        <v/>
      </c>
      <c r="I19" s="46">
        <f>SUM('Login Screen'!D8)</f>
        <v/>
      </c>
    </row>
    <row r="20">
      <c r="C20" s="58" t="inlineStr">
        <is>
          <t>Security Test</t>
        </is>
      </c>
      <c r="D20" s="45">
        <f>'Security Test'!D4</f>
        <v/>
      </c>
      <c r="E20" s="45">
        <f>'Security Test'!D5</f>
        <v/>
      </c>
      <c r="F20" s="45">
        <f>'Security Test'!D6</f>
        <v/>
      </c>
      <c r="G20" s="45">
        <f>'Security Test'!D7</f>
        <v/>
      </c>
      <c r="H20" s="45">
        <f>'Security Test'!D8</f>
        <v/>
      </c>
      <c r="I20" s="45">
        <f>'Security Test'!D9</f>
        <v/>
      </c>
    </row>
    <row r="21">
      <c r="C21" s="59" t="inlineStr">
        <is>
          <t>Dashboard</t>
        </is>
      </c>
      <c r="D21" s="37">
        <f>SUM(Dashboard!D3)</f>
        <v/>
      </c>
      <c r="E21" s="37">
        <f>SUM(Dashboard!D4)</f>
        <v/>
      </c>
      <c r="F21" s="37">
        <f>SUM(Dashboard!D5)</f>
        <v/>
      </c>
      <c r="G21" s="37">
        <f>SUM(Dashboard!D6)</f>
        <v/>
      </c>
      <c r="H21" s="37">
        <f>SUM(Dashboard!D7)</f>
        <v/>
      </c>
      <c r="I21" s="44">
        <f>SUM(Dashboard!D8)</f>
        <v/>
      </c>
    </row>
    <row r="22">
      <c r="C22" s="59" t="inlineStr">
        <is>
          <t>Customer Screen</t>
        </is>
      </c>
      <c r="D22" s="37">
        <f>SUM('Customer Screen'!D3)</f>
        <v/>
      </c>
      <c r="E22" s="37">
        <f>SUM('Customer Screen'!D4)</f>
        <v/>
      </c>
      <c r="F22" s="37">
        <f>SUM('Customer Screen'!D5)</f>
        <v/>
      </c>
      <c r="G22" s="37">
        <f>SUM('Customer Screen'!D6)</f>
        <v/>
      </c>
      <c r="H22" s="37">
        <f>SUM('Customer Screen'!D7)</f>
        <v/>
      </c>
      <c r="I22" s="44">
        <f>SUM('Customer Screen'!D8)</f>
        <v/>
      </c>
    </row>
    <row r="23">
      <c r="C23" s="59" t="inlineStr">
        <is>
          <t>Item Creation</t>
        </is>
      </c>
      <c r="D23" s="37">
        <f>SUM('Item Creation'!D3)</f>
        <v/>
      </c>
      <c r="E23" s="37">
        <f>SUM('Item Creation'!D4)</f>
        <v/>
      </c>
      <c r="F23" s="37">
        <f>SUM('Item Creation'!D5)</f>
        <v/>
      </c>
      <c r="G23" s="37">
        <f>SUM('Item Creation'!D6)</f>
        <v/>
      </c>
      <c r="H23" s="37">
        <f>SUM('Item Creation'!D7)</f>
        <v/>
      </c>
      <c r="I23" s="44">
        <f>SUM('Item Creation'!D8)</f>
        <v/>
      </c>
    </row>
    <row r="24">
      <c r="C24" s="59" t="inlineStr">
        <is>
          <t>Spreading Screen_Pdf</t>
        </is>
      </c>
      <c r="D24" s="37">
        <f>SUM('Spreading Screen_Pdf File'!C3)</f>
        <v/>
      </c>
      <c r="E24" s="37">
        <f>SUM('Spreading Screen_Pdf File'!C4)</f>
        <v/>
      </c>
      <c r="F24" s="37">
        <f>SUM('Spreading Screen_Pdf File'!C5)</f>
        <v/>
      </c>
      <c r="G24" s="37">
        <f>SUM('Spreading Screen_Pdf File'!C6)</f>
        <v/>
      </c>
      <c r="H24" s="37">
        <f>SUM('Spreading Screen_Pdf File'!C7)</f>
        <v/>
      </c>
      <c r="I24" s="44">
        <f>SUM('Spreading Screen_Pdf File'!C8)</f>
        <v/>
      </c>
    </row>
    <row r="25">
      <c r="C25" s="59" t="inlineStr">
        <is>
          <t>Spreading Screen_Excel file</t>
        </is>
      </c>
      <c r="D25" s="37">
        <f>SUM('Spreading Screen_Excel File'!D3)</f>
        <v/>
      </c>
      <c r="E25" s="37">
        <f>SUM('Spreading Screen_Excel File'!D4)</f>
        <v/>
      </c>
      <c r="F25" s="37">
        <f>SUM('Spreading Screen_Excel File'!D5)</f>
        <v/>
      </c>
      <c r="G25" s="37">
        <f>SUM('Spreading Screen_Excel File'!D6)</f>
        <v/>
      </c>
      <c r="H25" s="37">
        <f>SUM('Spreading Screen_Excel File'!D7)</f>
        <v/>
      </c>
      <c r="I25" s="44">
        <f>SUM('Spreading Screen_Excel File'!D8)</f>
        <v/>
      </c>
    </row>
    <row r="26">
      <c r="C26" s="59" t="inlineStr">
        <is>
          <t>Expressions</t>
        </is>
      </c>
      <c r="D26" s="37">
        <f>'Expressions Verification'!D3</f>
        <v/>
      </c>
      <c r="E26" s="37">
        <f>'Expressions Verification'!D4</f>
        <v/>
      </c>
      <c r="F26" s="37">
        <f>'Expressions Verification'!D5</f>
        <v/>
      </c>
      <c r="G26" s="37">
        <f>'Expressions Verification'!D6</f>
        <v/>
      </c>
      <c r="H26" s="37">
        <f>'Expressions Verification'!D7</f>
        <v/>
      </c>
      <c r="I26" s="147">
        <f>'Expressions Verification'!D8</f>
        <v/>
      </c>
    </row>
    <row r="27">
      <c r="C27" s="59" t="inlineStr">
        <is>
          <t>Statement Export</t>
        </is>
      </c>
      <c r="D27" s="37">
        <f>'Statement Export'!D3</f>
        <v/>
      </c>
      <c r="E27" s="37">
        <f>'Statement Export'!D4</f>
        <v/>
      </c>
      <c r="F27" s="37">
        <f>'Statement Export'!D5</f>
        <v/>
      </c>
      <c r="G27" s="37">
        <f>'Statement Export'!D6</f>
        <v/>
      </c>
      <c r="H27" s="37">
        <f>'Statement Export'!D7</f>
        <v/>
      </c>
      <c r="I27" s="37">
        <f>'Statement Export'!D8</f>
        <v/>
      </c>
    </row>
    <row r="28">
      <c r="C28" s="59" t="inlineStr">
        <is>
          <t>Model Management</t>
        </is>
      </c>
      <c r="D28" s="37">
        <f>SUM('Model Management'!D3)</f>
        <v/>
      </c>
      <c r="E28" s="37">
        <f>SUM('Model Management'!D4)</f>
        <v/>
      </c>
      <c r="F28" s="37">
        <f>SUM('Model Management'!D5)</f>
        <v/>
      </c>
      <c r="G28" s="37">
        <f>SUM('Model Management'!D6)</f>
        <v/>
      </c>
      <c r="H28" s="37">
        <f>SUM('Model Management'!D7)</f>
        <v/>
      </c>
      <c r="I28" s="44">
        <f>SUM('Model Management'!D8)</f>
        <v/>
      </c>
    </row>
    <row r="29">
      <c r="C29" s="59" t="inlineStr">
        <is>
          <t>Clean Pdf</t>
        </is>
      </c>
      <c r="D29" s="37">
        <f>'Clean PDF'!D3</f>
        <v/>
      </c>
      <c r="E29" s="37">
        <f>'Clean PDF'!D4</f>
        <v/>
      </c>
      <c r="F29" s="37">
        <f>'Clean PDF'!D5</f>
        <v/>
      </c>
      <c r="G29" s="37">
        <f>'Clean PDF'!D6</f>
        <v/>
      </c>
      <c r="H29" s="37">
        <f>'Clean PDF'!D7</f>
        <v/>
      </c>
      <c r="I29" s="44">
        <f>'Clean PDF'!D8</f>
        <v/>
      </c>
    </row>
    <row r="30">
      <c r="C30" s="59" t="inlineStr">
        <is>
          <t>Split Pdf</t>
        </is>
      </c>
      <c r="D30" s="37">
        <f>'Split Pdf'!D3</f>
        <v/>
      </c>
      <c r="E30" s="37">
        <f>'Split Pdf'!D4</f>
        <v/>
      </c>
      <c r="F30" s="37">
        <f>'Split Pdf'!D5</f>
        <v/>
      </c>
      <c r="G30" s="37">
        <f>'Split Pdf'!D6</f>
        <v/>
      </c>
      <c r="H30" s="37">
        <f>'Split Pdf'!D7</f>
        <v/>
      </c>
      <c r="I30" s="44">
        <f>'Split Pdf'!D8</f>
        <v/>
      </c>
    </row>
    <row r="31">
      <c r="C31" s="59" t="inlineStr">
        <is>
          <t>Reporting</t>
        </is>
      </c>
      <c r="D31" s="37">
        <f>SUM(Reporting!D3)</f>
        <v/>
      </c>
      <c r="E31" s="37">
        <f>SUM(Reporting!D4)</f>
        <v/>
      </c>
      <c r="F31" s="37">
        <f>SUM(Reporting!D5)</f>
        <v/>
      </c>
      <c r="G31" s="37">
        <f>SUM(Reporting!D6)</f>
        <v/>
      </c>
      <c r="H31" s="37">
        <f>SUM(Reporting!D7)</f>
        <v/>
      </c>
      <c r="I31" s="44">
        <f>SUM(Reporting!D8)</f>
        <v/>
      </c>
    </row>
    <row r="32">
      <c r="C32" s="59" t="inlineStr">
        <is>
          <t>Admin Screen</t>
        </is>
      </c>
      <c r="D32" s="37">
        <f>SUM('Admin Screen'!D3)</f>
        <v/>
      </c>
      <c r="E32" s="37">
        <f>SUM('Admin Screen'!D4)</f>
        <v/>
      </c>
      <c r="F32" s="37">
        <f>SUM('Admin Screen'!D5)</f>
        <v/>
      </c>
      <c r="G32" s="37">
        <f>SUM('Admin Screen'!D6)</f>
        <v/>
      </c>
      <c r="H32" s="37">
        <f>SUM('Admin Screen'!D7)</f>
        <v/>
      </c>
      <c r="I32" s="44">
        <f>SUM('Admin Screen'!D8)</f>
        <v/>
      </c>
    </row>
    <row r="33">
      <c r="C33" s="59" t="inlineStr">
        <is>
          <t>Customer Zone</t>
        </is>
      </c>
      <c r="D33" s="37">
        <f>SUM('Customer Zone'!D3)</f>
        <v/>
      </c>
      <c r="E33" s="37">
        <f>SUM('Customer Zone'!D4)</f>
        <v/>
      </c>
      <c r="F33" s="37">
        <f>SUM('Customer Zone'!D5)</f>
        <v/>
      </c>
      <c r="G33" s="37">
        <f>SUM('Customer Zone'!D6)</f>
        <v/>
      </c>
      <c r="H33" s="37">
        <f>SUM('Customer Zone'!D7)</f>
        <v/>
      </c>
      <c r="I33" s="44">
        <f>SUM('Customer Zone'!D8)</f>
        <v/>
      </c>
    </row>
    <row r="34">
      <c r="C34" s="59" t="inlineStr">
        <is>
          <t>Currency Conversion</t>
        </is>
      </c>
      <c r="D34" s="37">
        <f>'Currency Conversion'!D3</f>
        <v/>
      </c>
      <c r="E34" s="37">
        <f>'Currency Conversion'!D4</f>
        <v/>
      </c>
      <c r="F34" s="37">
        <f>'Currency Conversion'!D5</f>
        <v/>
      </c>
      <c r="G34" s="37">
        <f>'Currency Conversion'!D6</f>
        <v/>
      </c>
      <c r="H34" s="37">
        <f>'Currency Conversion'!D7</f>
        <v/>
      </c>
      <c r="I34" s="44">
        <f>'Currency Conversion'!D8</f>
        <v/>
      </c>
    </row>
    <row r="35">
      <c r="C35" s="59" t="inlineStr">
        <is>
          <t>AIML Training</t>
        </is>
      </c>
      <c r="D35" s="37">
        <f>SUM('AIML Training'!D3)</f>
        <v/>
      </c>
      <c r="E35" s="37">
        <f>SUM('AIML Training'!D4)</f>
        <v/>
      </c>
      <c r="F35" s="37">
        <f>SUM('AIML Training'!D5)</f>
        <v/>
      </c>
      <c r="G35" s="37">
        <f>SUM('AIML Training'!D6)</f>
        <v/>
      </c>
      <c r="H35" s="37">
        <f>SUM('AIML Training'!D7)</f>
        <v/>
      </c>
      <c r="I35" s="44">
        <f>SUM('AIML Training'!D8)</f>
        <v/>
      </c>
    </row>
    <row r="36">
      <c r="C36" s="59" t="inlineStr">
        <is>
          <t>Notes Processing</t>
        </is>
      </c>
      <c r="D36" s="37">
        <f>SUM('Notes Processing'!D3)</f>
        <v/>
      </c>
      <c r="E36" s="37">
        <f>SUM('Notes Processing'!D4)</f>
        <v/>
      </c>
      <c r="F36" s="37">
        <f>SUM('Notes Processing'!D5)</f>
        <v/>
      </c>
      <c r="G36" s="37">
        <f>SUM('Notes Processing'!D6)</f>
        <v/>
      </c>
      <c r="H36" s="37">
        <f>SUM('Notes Processing'!D7)</f>
        <v/>
      </c>
      <c r="I36" s="44">
        <f>SUM('Notes Processing'!D8)</f>
        <v/>
      </c>
    </row>
    <row r="37">
      <c r="C37" s="59" t="inlineStr">
        <is>
          <t>Maker Checker</t>
        </is>
      </c>
      <c r="D37" s="37">
        <f>SUM('Maker Checker'!D3)</f>
        <v/>
      </c>
      <c r="E37" s="37">
        <f>SUM('Maker Checker'!D4)</f>
        <v/>
      </c>
      <c r="F37" s="37">
        <f>SUM('Maker Checker'!D5)</f>
        <v/>
      </c>
      <c r="G37" s="37">
        <f>SUM('Maker Checker'!D6)</f>
        <v/>
      </c>
      <c r="H37" s="37">
        <f>SUM('Maker Checker'!D7)</f>
        <v/>
      </c>
      <c r="I37" s="44">
        <f>SUM('Maker Checker'!D8)</f>
        <v/>
      </c>
    </row>
    <row r="38">
      <c r="C38" s="59" t="inlineStr">
        <is>
          <t>Taxonomy</t>
        </is>
      </c>
      <c r="D38" s="37">
        <f>SUM(Taxonomy!D3)</f>
        <v/>
      </c>
      <c r="E38" s="37">
        <f>SUM(Taxonomy!D4)</f>
        <v/>
      </c>
      <c r="F38" s="37">
        <f>SUM(Taxonomy!D5)</f>
        <v/>
      </c>
      <c r="G38" s="37">
        <f>SUM(Taxonomy!D6)</f>
        <v/>
      </c>
      <c r="H38" s="37">
        <f>SUM(Taxonomy!D7)</f>
        <v/>
      </c>
      <c r="I38" s="44">
        <f>SUM(Taxonomy!D8)</f>
        <v/>
      </c>
    </row>
    <row r="39">
      <c r="C39" s="59" t="inlineStr">
        <is>
          <t>Exclusion</t>
        </is>
      </c>
      <c r="D39" s="37">
        <f>SUM(Exclusion!D3)</f>
        <v/>
      </c>
      <c r="E39" s="37">
        <f>SUM(Exclusion!D4)</f>
        <v/>
      </c>
      <c r="F39" s="37">
        <f>SUM(Exclusion!D5)</f>
        <v/>
      </c>
      <c r="G39" s="37">
        <f>SUM(Exclusion!D6)</f>
        <v/>
      </c>
      <c r="H39" s="37">
        <f>SUM(Exclusion!D7)</f>
        <v/>
      </c>
      <c r="I39" s="44">
        <f>SUM(Exclusion!D8)</f>
        <v/>
      </c>
    </row>
    <row r="40">
      <c r="C40" s="64" t="inlineStr">
        <is>
          <t>Autofill Matrix</t>
        </is>
      </c>
      <c r="D40" s="37">
        <f>'Autofill Matrix'!D3</f>
        <v/>
      </c>
      <c r="E40" s="37">
        <f>'Autofill Matrix'!D4</f>
        <v/>
      </c>
      <c r="F40" s="37">
        <f>'Autofill Matrix'!D5</f>
        <v/>
      </c>
      <c r="G40" s="37">
        <f>'Autofill Matrix'!D6</f>
        <v/>
      </c>
      <c r="H40" s="37">
        <f>'Autofill Matrix'!D7</f>
        <v/>
      </c>
      <c r="I40" s="37">
        <f>'Autofill Matrix'!D8</f>
        <v/>
      </c>
    </row>
    <row r="41">
      <c r="C41" s="64" t="inlineStr">
        <is>
          <t>Document Classification</t>
        </is>
      </c>
      <c r="D41" s="37">
        <f>'Document Classification'!D4</f>
        <v/>
      </c>
      <c r="E41" s="37">
        <f>'Document Classification'!D5</f>
        <v/>
      </c>
      <c r="F41" s="37">
        <f>'Document Classification'!D6</f>
        <v/>
      </c>
      <c r="G41" s="37">
        <f>'Document Classification'!D7</f>
        <v/>
      </c>
      <c r="H41" s="37">
        <f>'Document Classification'!D8</f>
        <v/>
      </c>
      <c r="I41" s="44">
        <f>'Document Classification'!D9</f>
        <v/>
      </c>
    </row>
    <row r="42">
      <c r="C42" s="64" t="inlineStr">
        <is>
          <t>Notes Processing-L2</t>
        </is>
      </c>
      <c r="D42" s="37">
        <f>'Notes Processing-L2'!D4</f>
        <v/>
      </c>
      <c r="E42" s="37">
        <f>'Notes Processing-L2'!D5</f>
        <v/>
      </c>
      <c r="F42" s="37">
        <f>'Notes Processing-L2'!D6</f>
        <v/>
      </c>
      <c r="G42" s="37">
        <f>'Notes Processing-L2'!D7</f>
        <v/>
      </c>
      <c r="H42" s="37">
        <f>'Notes Processing-L2'!D8</f>
        <v/>
      </c>
      <c r="I42" s="44">
        <f>'Notes Processing-L2'!D9</f>
        <v/>
      </c>
    </row>
    <row r="43">
      <c r="C43" s="64" t="inlineStr">
        <is>
          <t>NAICS</t>
        </is>
      </c>
      <c r="D43" s="37">
        <f>NAICS!D4</f>
        <v/>
      </c>
      <c r="E43" s="37">
        <f>NAICS!D5</f>
        <v/>
      </c>
      <c r="F43" s="37">
        <f>NAICS!D6</f>
        <v/>
      </c>
      <c r="G43" s="37">
        <f>NAICS!D7</f>
        <v/>
      </c>
      <c r="H43" s="37">
        <f>NAICS!D8</f>
        <v/>
      </c>
      <c r="I43" s="44">
        <f>NAICS!D9</f>
        <v/>
      </c>
    </row>
    <row r="44">
      <c r="C44" s="64" t="inlineStr">
        <is>
          <t>Covenant</t>
        </is>
      </c>
      <c r="D44" s="37">
        <f>#REF!</f>
        <v/>
      </c>
      <c r="E44" s="37">
        <f>#REF!</f>
        <v/>
      </c>
      <c r="F44" s="37">
        <f>#REF!</f>
        <v/>
      </c>
      <c r="G44" s="37">
        <f>#REF!</f>
        <v/>
      </c>
      <c r="H44" s="37">
        <f>#REF!</f>
        <v/>
      </c>
      <c r="I44" s="44">
        <f>#REF!</f>
        <v/>
      </c>
    </row>
    <row r="45" ht="15.75" customHeight="1" thickBot="1">
      <c r="C45" s="60" t="inlineStr">
        <is>
          <t>Complex Scenarios</t>
        </is>
      </c>
      <c r="D45" s="65">
        <f>SUM('Negative Scenarios'!D3)</f>
        <v/>
      </c>
      <c r="E45" s="65">
        <f>SUM('Negative Scenarios'!D4)</f>
        <v/>
      </c>
      <c r="F45" s="65">
        <f>SUM('Negative Scenarios'!D5)</f>
        <v/>
      </c>
      <c r="G45" s="65">
        <f>SUM('Negative Scenarios'!D6)</f>
        <v/>
      </c>
      <c r="H45" s="65">
        <f>SUM('Negative Scenarios'!D7)</f>
        <v/>
      </c>
      <c r="I45" s="66">
        <f>SUM('Negative Scenarios'!D8)</f>
        <v/>
      </c>
    </row>
    <row r="48">
      <c r="C48" s="166" t="inlineStr">
        <is>
          <t>SpreadSmart Automation</t>
        </is>
      </c>
    </row>
    <row r="49" ht="15.75" customHeight="1" thickBot="1"/>
    <row r="50">
      <c r="C50" s="338" t="inlineStr">
        <is>
          <t>Project</t>
        </is>
      </c>
      <c r="D50" s="377" t="n"/>
      <c r="E50" s="340" t="inlineStr">
        <is>
          <t>Spreadsmart</t>
        </is>
      </c>
      <c r="F50" s="377" t="n"/>
    </row>
    <row r="51">
      <c r="C51" s="342" t="inlineStr">
        <is>
          <t>Project Manager</t>
        </is>
      </c>
      <c r="D51" s="378" t="n"/>
      <c r="E51" s="344" t="inlineStr">
        <is>
          <t>ManishkumarNanjibhai Buhecha</t>
        </is>
      </c>
      <c r="F51" s="378" t="n"/>
    </row>
    <row r="52" ht="15.75" customHeight="1" thickBot="1">
      <c r="C52" s="346" t="inlineStr">
        <is>
          <t>Automation Test Team Members</t>
        </is>
      </c>
      <c r="D52" s="379" t="n"/>
      <c r="E52" s="348" t="inlineStr">
        <is>
          <t>Preeti Kumari, Neha Bharti</t>
        </is>
      </c>
      <c r="F52" s="379" t="n"/>
    </row>
    <row r="54" ht="15.75" customHeight="1" thickBot="1"/>
    <row r="55" ht="15.75" customHeight="1" thickBot="1">
      <c r="C55" s="380" t="inlineStr">
        <is>
          <t xml:space="preserve">Test Case Summary </t>
        </is>
      </c>
      <c r="D55" s="381" t="n"/>
      <c r="E55" s="381" t="n"/>
      <c r="F55" s="382" t="n"/>
    </row>
    <row r="56" ht="15.75" customHeight="1" thickBot="1">
      <c r="C56" s="30" t="inlineStr">
        <is>
          <t>Test Case Count</t>
        </is>
      </c>
      <c r="D56" s="383">
        <f>SUM(D58:D62)</f>
        <v/>
      </c>
      <c r="E56" s="384" t="n"/>
      <c r="F56" s="385" t="n"/>
    </row>
    <row r="57">
      <c r="C57" s="31" t="inlineStr">
        <is>
          <t>Total Executed Test Cases</t>
        </is>
      </c>
      <c r="D57" s="32" t="n"/>
      <c r="E57" s="32" t="inlineStr">
        <is>
          <t>Executed Tests</t>
        </is>
      </c>
      <c r="F57" s="39" t="inlineStr">
        <is>
          <t>Total Tests</t>
        </is>
      </c>
    </row>
    <row r="58">
      <c r="C58" s="33" t="inlineStr">
        <is>
          <t>Passed</t>
        </is>
      </c>
      <c r="D58" s="34">
        <f>SUM(E66:E95)</f>
        <v/>
      </c>
      <c r="E58" s="35">
        <f>IF(D58=0,,(D58/(D58+D59)))</f>
        <v/>
      </c>
      <c r="F58" s="40">
        <f>IF(D57=0,,(D58/D57))</f>
        <v/>
      </c>
    </row>
    <row r="59">
      <c r="C59" s="33" t="inlineStr">
        <is>
          <t>Failed</t>
        </is>
      </c>
      <c r="D59" s="34">
        <f>SUM(F66:F95)</f>
        <v/>
      </c>
      <c r="E59" s="35">
        <f>IF(D59=0,,(D59/(D58+D59)))</f>
        <v/>
      </c>
      <c r="F59" s="40">
        <f>IF(D57=0,,(D59/D57))</f>
        <v/>
      </c>
    </row>
    <row r="60">
      <c r="C60" s="33" t="inlineStr">
        <is>
          <t>Blocked</t>
        </is>
      </c>
      <c r="D60" s="34">
        <f>SUM(G66:G95)</f>
        <v/>
      </c>
      <c r="E60" s="35" t="n">
        <v>0</v>
      </c>
      <c r="F60" s="40" t="n">
        <v>0</v>
      </c>
    </row>
    <row r="61">
      <c r="C61" s="33" t="inlineStr">
        <is>
          <t>Pending</t>
        </is>
      </c>
      <c r="D61" s="34">
        <f>SUM(H66:H95)</f>
        <v/>
      </c>
      <c r="E61" s="35" t="n">
        <v>0</v>
      </c>
      <c r="F61" s="40" t="n">
        <v>0</v>
      </c>
    </row>
    <row r="62" ht="15.75" customHeight="1" thickBot="1">
      <c r="C62" s="36" t="inlineStr">
        <is>
          <t>Not Applicable</t>
        </is>
      </c>
      <c r="D62" s="41">
        <f>SUM(I66:I95)</f>
        <v/>
      </c>
      <c r="E62" s="42" t="n">
        <v>0</v>
      </c>
      <c r="F62" s="43" t="n">
        <v>0</v>
      </c>
    </row>
    <row r="63" ht="15.75" customHeight="1" thickBot="1"/>
    <row r="64">
      <c r="C64" s="386" t="inlineStr">
        <is>
          <t>Feature-wise Test Case Result</t>
        </is>
      </c>
      <c r="D64" s="387" t="n"/>
      <c r="E64" s="387" t="n"/>
      <c r="F64" s="387" t="n"/>
      <c r="G64" s="387" t="n"/>
      <c r="H64" s="387" t="n"/>
      <c r="I64" s="388" t="n"/>
    </row>
    <row r="65">
      <c r="C65" s="177" t="inlineStr">
        <is>
          <t>Feature Name</t>
        </is>
      </c>
      <c r="D65" s="178" t="inlineStr">
        <is>
          <t>Total test cases</t>
        </is>
      </c>
      <c r="E65" s="178" t="inlineStr">
        <is>
          <t>PASS</t>
        </is>
      </c>
      <c r="F65" s="178" t="inlineStr">
        <is>
          <t>FAIL</t>
        </is>
      </c>
      <c r="G65" s="178" t="inlineStr">
        <is>
          <t>Blocked</t>
        </is>
      </c>
      <c r="H65" s="178" t="inlineStr">
        <is>
          <t>Pending</t>
        </is>
      </c>
      <c r="I65" s="179" t="inlineStr">
        <is>
          <t>NA</t>
        </is>
      </c>
    </row>
    <row r="66">
      <c r="C66" s="304" t="inlineStr">
        <is>
          <t>SSO Login</t>
        </is>
      </c>
      <c r="D66" s="305">
        <f>'SSO Login'!D3</f>
        <v/>
      </c>
      <c r="E66" s="305">
        <f>'SSO Login'!G4</f>
        <v/>
      </c>
      <c r="F66" s="305">
        <f>'SSO Login'!G5</f>
        <v/>
      </c>
      <c r="G66" s="305">
        <f>'SSO Login'!G6</f>
        <v/>
      </c>
      <c r="H66" s="305">
        <f>'SSO Login'!G7</f>
        <v/>
      </c>
      <c r="I66" s="306">
        <f>'SSO Login'!G8</f>
        <v/>
      </c>
    </row>
    <row r="67">
      <c r="C67" s="307" t="inlineStr">
        <is>
          <t>Login Screen</t>
        </is>
      </c>
      <c r="D67" s="302">
        <f>SUM('Login Screen'!D3)</f>
        <v/>
      </c>
      <c r="E67" s="302">
        <f>SUM('Login Screen'!G4)</f>
        <v/>
      </c>
      <c r="F67" s="302">
        <f>SUM('Login Screen'!G5)</f>
        <v/>
      </c>
      <c r="G67" s="302">
        <f>SUM('Login Screen'!G6)</f>
        <v/>
      </c>
      <c r="H67" s="302">
        <f>SUM('Login Screen'!G7)</f>
        <v/>
      </c>
      <c r="I67" s="308">
        <f>SUM('Login Screen'!G8)</f>
        <v/>
      </c>
    </row>
    <row r="68">
      <c r="C68" s="307" t="inlineStr">
        <is>
          <t>Security Test</t>
        </is>
      </c>
      <c r="D68" s="302">
        <f>'Security Test'!D4</f>
        <v/>
      </c>
      <c r="E68" s="302">
        <f>'Security Test'!G5</f>
        <v/>
      </c>
      <c r="F68" s="302">
        <f>'Security Test'!G6</f>
        <v/>
      </c>
      <c r="G68" s="302">
        <f>'Security Test'!G7</f>
        <v/>
      </c>
      <c r="H68" s="302">
        <f>'Security Test'!G8</f>
        <v/>
      </c>
      <c r="I68" s="308">
        <f>'Security Test'!G9</f>
        <v/>
      </c>
    </row>
    <row r="69">
      <c r="C69" s="307" t="inlineStr">
        <is>
          <t>Dashboard</t>
        </is>
      </c>
      <c r="D69" s="302">
        <f>SUM(Dashboard!D3)</f>
        <v/>
      </c>
      <c r="E69" s="302">
        <f>SUM(Dashboard!G4)</f>
        <v/>
      </c>
      <c r="F69" s="302">
        <f>SUM(Dashboard!G5)</f>
        <v/>
      </c>
      <c r="G69" s="302">
        <f>SUM(Dashboard!G6)</f>
        <v/>
      </c>
      <c r="H69" s="302">
        <f>SUM(Dashboard!G7)</f>
        <v/>
      </c>
      <c r="I69" s="308">
        <f>SUM(Dashboard!G8)</f>
        <v/>
      </c>
    </row>
    <row r="70">
      <c r="C70" s="307" t="inlineStr">
        <is>
          <t>Customer Screen</t>
        </is>
      </c>
      <c r="D70" s="302">
        <f>SUM('Customer Screen'!D3)</f>
        <v/>
      </c>
      <c r="E70" s="302">
        <f>SUM('Customer Screen'!G4)</f>
        <v/>
      </c>
      <c r="F70" s="302">
        <f>SUM('Customer Screen'!G5)</f>
        <v/>
      </c>
      <c r="G70" s="302">
        <f>SUM('Customer Screen'!G6)</f>
        <v/>
      </c>
      <c r="H70" s="302">
        <f>SUM('Customer Screen'!G7)</f>
        <v/>
      </c>
      <c r="I70" s="308">
        <f>SUM('Customer Screen'!G8)</f>
        <v/>
      </c>
    </row>
    <row r="71">
      <c r="C71" s="307" t="inlineStr">
        <is>
          <t>Item Creation</t>
        </is>
      </c>
      <c r="D71" s="302">
        <f>SUM('Item Creation'!D3)</f>
        <v/>
      </c>
      <c r="E71" s="302">
        <f>SUM('Item Creation'!G4)</f>
        <v/>
      </c>
      <c r="F71" s="302">
        <f>SUM('Item Creation'!G5)</f>
        <v/>
      </c>
      <c r="G71" s="302">
        <f>SUM('Item Creation'!G6)</f>
        <v/>
      </c>
      <c r="H71" s="302">
        <f>SUM('Item Creation'!G7)</f>
        <v/>
      </c>
      <c r="I71" s="308">
        <f>SUM('Item Creation'!G8)</f>
        <v/>
      </c>
    </row>
    <row r="72">
      <c r="C72" s="307" t="inlineStr">
        <is>
          <t>Spreading Screen_Pdf</t>
        </is>
      </c>
      <c r="D72" s="302">
        <f>SUM('Spreading Screen_Pdf File'!C3)</f>
        <v/>
      </c>
      <c r="E72" s="302">
        <f>SUM('Spreading Screen_Pdf File'!F4)</f>
        <v/>
      </c>
      <c r="F72" s="302">
        <f>SUM('Spreading Screen_Pdf File'!F5)</f>
        <v/>
      </c>
      <c r="G72" s="302">
        <f>SUM('Spreading Screen_Pdf File'!F6)</f>
        <v/>
      </c>
      <c r="H72" s="302">
        <f>SUM('Spreading Screen_Pdf File'!F7)</f>
        <v/>
      </c>
      <c r="I72" s="308">
        <f>SUM('Spreading Screen_Pdf File'!F8)</f>
        <v/>
      </c>
    </row>
    <row r="73">
      <c r="C73" s="309" t="inlineStr">
        <is>
          <t>Spreading Screen_Excel file</t>
        </is>
      </c>
      <c r="D73" s="303">
        <f>SUM('Spreading Screen_Excel File'!D3)</f>
        <v/>
      </c>
      <c r="E73" s="303">
        <f>SUM('Spreading Screen_Excel File'!G4)</f>
        <v/>
      </c>
      <c r="F73" s="303">
        <f>SUM('Spreading Screen_Excel File'!G5)</f>
        <v/>
      </c>
      <c r="G73" s="303">
        <f>SUM('Spreading Screen_Excel File'!G6)</f>
        <v/>
      </c>
      <c r="H73" s="303">
        <f>SUM('Spreading Screen_Excel File'!G7)</f>
        <v/>
      </c>
      <c r="I73" s="310">
        <f>SUM('Spreading Screen_Excel File'!D3)</f>
        <v/>
      </c>
    </row>
    <row r="74">
      <c r="C74" s="307" t="inlineStr">
        <is>
          <t>Expressions</t>
        </is>
      </c>
      <c r="D74" s="302">
        <f>'Expressions Verification'!D3</f>
        <v/>
      </c>
      <c r="E74" s="302">
        <f>'Expressions Verification'!G4</f>
        <v/>
      </c>
      <c r="F74" s="302">
        <f>'Expressions Verification'!G5</f>
        <v/>
      </c>
      <c r="G74" s="302">
        <f>'Expressions Verification'!G6</f>
        <v/>
      </c>
      <c r="H74" s="302">
        <f>'Expressions Verification'!G7</f>
        <v/>
      </c>
      <c r="I74" s="308">
        <f>'Expressions Verification'!G8</f>
        <v/>
      </c>
    </row>
    <row r="75">
      <c r="C75" s="307" t="inlineStr">
        <is>
          <t>Statement Export</t>
        </is>
      </c>
      <c r="D75" s="302">
        <f>'Statement Export'!D3</f>
        <v/>
      </c>
      <c r="E75" s="302">
        <f>'Statement Export'!G4</f>
        <v/>
      </c>
      <c r="F75" s="302">
        <f>'Statement Export'!G5</f>
        <v/>
      </c>
      <c r="G75" s="302">
        <f>'Statement Export'!G6</f>
        <v/>
      </c>
      <c r="H75" s="302">
        <f>'Statement Export'!G7</f>
        <v/>
      </c>
      <c r="I75" s="308">
        <f>'Statement Export'!G8</f>
        <v/>
      </c>
    </row>
    <row r="76">
      <c r="C76" s="307" t="inlineStr">
        <is>
          <t>Model Management</t>
        </is>
      </c>
      <c r="D76" s="302">
        <f>SUM('Model Management'!D3)</f>
        <v/>
      </c>
      <c r="E76" s="302">
        <f>SUM('Model Management'!G4)</f>
        <v/>
      </c>
      <c r="F76" s="302">
        <f>SUM('Model Management'!G5)</f>
        <v/>
      </c>
      <c r="G76" s="302">
        <f>SUM('Model Management'!G6)</f>
        <v/>
      </c>
      <c r="H76" s="302">
        <f>SUM('Model Management'!G7)</f>
        <v/>
      </c>
      <c r="I76" s="308">
        <f>SUM('Model Management'!G8)</f>
        <v/>
      </c>
    </row>
    <row r="77">
      <c r="C77" s="307" t="inlineStr">
        <is>
          <t>Clean Pdf</t>
        </is>
      </c>
      <c r="D77" s="302">
        <f>'Clean PDF'!D3</f>
        <v/>
      </c>
      <c r="E77" s="302">
        <f>'Clean PDF'!G4</f>
        <v/>
      </c>
      <c r="F77" s="302">
        <f>'Clean PDF'!G5</f>
        <v/>
      </c>
      <c r="G77" s="302">
        <f>'Clean PDF'!G6</f>
        <v/>
      </c>
      <c r="H77" s="302">
        <f>'Clean PDF'!G7</f>
        <v/>
      </c>
      <c r="I77" s="308">
        <f>'Clean PDF'!G8</f>
        <v/>
      </c>
    </row>
    <row r="78">
      <c r="C78" s="307" t="inlineStr">
        <is>
          <t>Split Pdf</t>
        </is>
      </c>
      <c r="D78" s="302">
        <f>'Split Pdf'!D3</f>
        <v/>
      </c>
      <c r="E78" s="302">
        <f>'Split Pdf'!G4</f>
        <v/>
      </c>
      <c r="F78" s="302">
        <f>'Split Pdf'!G5</f>
        <v/>
      </c>
      <c r="G78" s="302">
        <f>'Split Pdf'!G6</f>
        <v/>
      </c>
      <c r="H78" s="302">
        <f>'Split Pdf'!G7</f>
        <v/>
      </c>
      <c r="I78" s="308">
        <f>'Split Pdf'!G8</f>
        <v/>
      </c>
    </row>
    <row r="79">
      <c r="C79" s="307" t="inlineStr">
        <is>
          <t>Bulk Upload</t>
        </is>
      </c>
      <c r="D79" s="302">
        <f>' Bulk Upload'!D3</f>
        <v/>
      </c>
      <c r="E79" s="302">
        <f>' Bulk Upload'!G4</f>
        <v/>
      </c>
      <c r="F79" s="302">
        <f>' Bulk Upload'!G5</f>
        <v/>
      </c>
      <c r="G79" s="302">
        <f>' Bulk Upload'!G6</f>
        <v/>
      </c>
      <c r="H79" s="302">
        <f>' Bulk Upload'!G7</f>
        <v/>
      </c>
      <c r="I79" s="308">
        <f>' Bulk Upload'!G8</f>
        <v/>
      </c>
    </row>
    <row r="80">
      <c r="C80" s="307" t="inlineStr">
        <is>
          <t>Reporting</t>
        </is>
      </c>
      <c r="D80" s="302">
        <f>SUM(Reporting!D3)</f>
        <v/>
      </c>
      <c r="E80" s="302">
        <f>SUM(Reporting!G4)</f>
        <v/>
      </c>
      <c r="F80" s="302">
        <f>SUM(Reporting!G5)</f>
        <v/>
      </c>
      <c r="G80" s="302">
        <f>SUM(Reporting!G6)</f>
        <v/>
      </c>
      <c r="H80" s="302">
        <f>SUM(Reporting!G7)</f>
        <v/>
      </c>
      <c r="I80" s="308">
        <f>SUM(Reporting!G8)</f>
        <v/>
      </c>
    </row>
    <row r="81">
      <c r="C81" s="307" t="inlineStr">
        <is>
          <t>Admin Screen</t>
        </is>
      </c>
      <c r="D81" s="302">
        <f>SUM('Admin Screen'!D3)</f>
        <v/>
      </c>
      <c r="E81" s="302">
        <f>SUM('Admin Screen'!G4)</f>
        <v/>
      </c>
      <c r="F81" s="302">
        <f>SUM('Admin Screen'!G5)</f>
        <v/>
      </c>
      <c r="G81" s="302">
        <f>SUM('Admin Screen'!G6)</f>
        <v/>
      </c>
      <c r="H81" s="302">
        <f>SUM('Admin Screen'!G7)</f>
        <v/>
      </c>
      <c r="I81" s="308">
        <f>SUM('Admin Screen'!G8)</f>
        <v/>
      </c>
    </row>
    <row r="82">
      <c r="C82" s="307" t="inlineStr">
        <is>
          <t>Customer Zone</t>
        </is>
      </c>
      <c r="D82" s="302">
        <f>SUM('Customer Zone'!D3)</f>
        <v/>
      </c>
      <c r="E82" s="302">
        <f>SUM('Customer Zone'!G4)</f>
        <v/>
      </c>
      <c r="F82" s="302">
        <f>SUM('Customer Zone'!G5)</f>
        <v/>
      </c>
      <c r="G82" s="302">
        <f>SUM('Customer Zone'!G6)</f>
        <v/>
      </c>
      <c r="H82" s="302">
        <f>SUM('Customer Zone'!G7)</f>
        <v/>
      </c>
      <c r="I82" s="308">
        <f>SUM('Customer Zone'!G8)</f>
        <v/>
      </c>
    </row>
    <row r="83">
      <c r="C83" s="307" t="inlineStr">
        <is>
          <t>Currency Conversion</t>
        </is>
      </c>
      <c r="D83" s="302">
        <f>'Currency Conversion'!D3</f>
        <v/>
      </c>
      <c r="E83" s="302">
        <f>'Currency Conversion'!G4</f>
        <v/>
      </c>
      <c r="F83" s="302">
        <f>'Currency Conversion'!G5</f>
        <v/>
      </c>
      <c r="G83" s="302">
        <f>'Currency Conversion'!G6</f>
        <v/>
      </c>
      <c r="H83" s="302">
        <f>'Currency Conversion'!G7</f>
        <v/>
      </c>
      <c r="I83" s="308">
        <f>'Currency Conversion'!G8</f>
        <v/>
      </c>
    </row>
    <row r="84">
      <c r="C84" s="307" t="inlineStr">
        <is>
          <t>AIML Training</t>
        </is>
      </c>
      <c r="D84" s="302">
        <f>SUM('AIML Training'!D3)</f>
        <v/>
      </c>
      <c r="E84" s="302">
        <f>SUM('AIML Training'!G4)</f>
        <v/>
      </c>
      <c r="F84" s="302">
        <f>SUM('AIML Training'!G5)</f>
        <v/>
      </c>
      <c r="G84" s="302">
        <f>SUM('AIML Training'!G6)</f>
        <v/>
      </c>
      <c r="H84" s="302">
        <f>SUM('AIML Training'!G7)</f>
        <v/>
      </c>
      <c r="I84" s="308">
        <f>SUM('AIML Training'!G8)</f>
        <v/>
      </c>
    </row>
    <row r="85">
      <c r="C85" s="307" t="inlineStr">
        <is>
          <t>Notes Processing</t>
        </is>
      </c>
      <c r="D85" s="302">
        <f>SUM('Notes Processing'!D3)</f>
        <v/>
      </c>
      <c r="E85" s="302">
        <f>SUM('Notes Processing'!G4)</f>
        <v/>
      </c>
      <c r="F85" s="302">
        <f>SUM('Notes Processing'!G5)</f>
        <v/>
      </c>
      <c r="G85" s="302">
        <f>SUM('Notes Processing'!G6)</f>
        <v/>
      </c>
      <c r="H85" s="302">
        <f>SUM('Notes Processing'!G7)</f>
        <v/>
      </c>
      <c r="I85" s="308">
        <f>SUM('Notes Processing'!G8)</f>
        <v/>
      </c>
    </row>
    <row r="86">
      <c r="C86" s="307" t="inlineStr">
        <is>
          <t>Maker Checker</t>
        </is>
      </c>
      <c r="D86" s="302">
        <f>SUM('Maker Checker'!D3)</f>
        <v/>
      </c>
      <c r="E86" s="302">
        <f>SUM('Maker Checker'!G4)</f>
        <v/>
      </c>
      <c r="F86" s="302">
        <f>SUM('Maker Checker'!G5)</f>
        <v/>
      </c>
      <c r="G86" s="302">
        <f>SUM('Maker Checker'!G6)</f>
        <v/>
      </c>
      <c r="H86" s="302">
        <f>SUM('Maker Checker'!G7)</f>
        <v/>
      </c>
      <c r="I86" s="308">
        <f>SUM('Maker Checker'!G8)</f>
        <v/>
      </c>
    </row>
    <row r="87">
      <c r="C87" s="307" t="inlineStr">
        <is>
          <t>Taxonomy</t>
        </is>
      </c>
      <c r="D87" s="302">
        <f>SUM(Taxonomy!D3)</f>
        <v/>
      </c>
      <c r="E87" s="302">
        <f>SUM(Taxonomy!G4)</f>
        <v/>
      </c>
      <c r="F87" s="302">
        <f>SUM(Taxonomy!G5)</f>
        <v/>
      </c>
      <c r="G87" s="302">
        <f>SUM(Taxonomy!G6)</f>
        <v/>
      </c>
      <c r="H87" s="302">
        <f>SUM(Taxonomy!G7)</f>
        <v/>
      </c>
      <c r="I87" s="308">
        <f>SUM(Taxonomy!G8)</f>
        <v/>
      </c>
    </row>
    <row r="88">
      <c r="C88" s="307" t="inlineStr">
        <is>
          <t>Exclusion</t>
        </is>
      </c>
      <c r="D88" s="302">
        <f>SUM(Exclusion!D3)</f>
        <v/>
      </c>
      <c r="E88" s="302">
        <f>SUM(Exclusion!G4)</f>
        <v/>
      </c>
      <c r="F88" s="302">
        <f>SUM(Exclusion!G5)</f>
        <v/>
      </c>
      <c r="G88" s="302">
        <f>SUM(Exclusion!G6)</f>
        <v/>
      </c>
      <c r="H88" s="302">
        <f>SUM(Exclusion!G7)</f>
        <v/>
      </c>
      <c r="I88" s="308">
        <f>SUM(Exclusion!G8)</f>
        <v/>
      </c>
    </row>
    <row r="89">
      <c r="C89" s="307" t="inlineStr">
        <is>
          <t>Autofill Matrix</t>
        </is>
      </c>
      <c r="D89" s="302">
        <f>'Autofill Matrix'!D3</f>
        <v/>
      </c>
      <c r="E89" s="302">
        <f>'Autofill Matrix'!G4</f>
        <v/>
      </c>
      <c r="F89" s="302">
        <f>'Autofill Matrix'!G5</f>
        <v/>
      </c>
      <c r="G89" s="302">
        <f>'Autofill Matrix'!G6</f>
        <v/>
      </c>
      <c r="H89" s="302">
        <f>'Autofill Matrix'!G7</f>
        <v/>
      </c>
      <c r="I89" s="308">
        <f>'Autofill Matrix'!G8</f>
        <v/>
      </c>
    </row>
    <row r="90">
      <c r="C90" s="307" t="inlineStr">
        <is>
          <t>Document Classification</t>
        </is>
      </c>
      <c r="D90" s="302">
        <f>'Document Classification'!D4</f>
        <v/>
      </c>
      <c r="E90" s="302">
        <f>'Document Classification'!G5</f>
        <v/>
      </c>
      <c r="F90" s="302">
        <f>'Document Classification'!G6</f>
        <v/>
      </c>
      <c r="G90" s="302">
        <f>'Document Classification'!G7</f>
        <v/>
      </c>
      <c r="H90" s="302">
        <f>'Document Classification'!G8</f>
        <v/>
      </c>
      <c r="I90" s="308">
        <f>'Document Classification'!G9</f>
        <v/>
      </c>
    </row>
    <row r="91">
      <c r="C91" s="307" t="inlineStr">
        <is>
          <t>Notes Processing-L2</t>
        </is>
      </c>
      <c r="D91" s="302">
        <f>'Notes Processing-L2'!D4</f>
        <v/>
      </c>
      <c r="E91" s="302">
        <f>'Notes Processing-L2'!G5</f>
        <v/>
      </c>
      <c r="F91" s="302">
        <f>'Notes Processing-L2'!G6</f>
        <v/>
      </c>
      <c r="G91" s="302">
        <f>'Notes Processing-L2'!G7</f>
        <v/>
      </c>
      <c r="H91" s="302">
        <f>'Notes Processing-L2'!G8</f>
        <v/>
      </c>
      <c r="I91" s="308">
        <f>'Notes Processing-L2'!G9</f>
        <v/>
      </c>
    </row>
    <row r="92">
      <c r="C92" s="307" t="inlineStr">
        <is>
          <t>NAICS</t>
        </is>
      </c>
      <c r="D92" s="302">
        <f>NAICS!D4</f>
        <v/>
      </c>
      <c r="E92" s="302">
        <f>NAICS!G5</f>
        <v/>
      </c>
      <c r="F92" s="302">
        <f>NAICS!G6</f>
        <v/>
      </c>
      <c r="G92" s="302">
        <f>NAICS!G7</f>
        <v/>
      </c>
      <c r="H92" s="302">
        <f>NAICS!G8</f>
        <v/>
      </c>
      <c r="I92" s="308">
        <f>NAICS!G9</f>
        <v/>
      </c>
    </row>
    <row r="93">
      <c r="C93" s="307" t="inlineStr">
        <is>
          <t>Covenant</t>
        </is>
      </c>
      <c r="D93" s="302">
        <f>#REF!</f>
        <v/>
      </c>
      <c r="E93" s="302">
        <f>#REF!</f>
        <v/>
      </c>
      <c r="F93" s="302">
        <f>#REF!</f>
        <v/>
      </c>
      <c r="G93" s="302">
        <f>#REF!</f>
        <v/>
      </c>
      <c r="H93" s="302">
        <f>#REF!</f>
        <v/>
      </c>
      <c r="I93" s="308">
        <f>#REF!</f>
        <v/>
      </c>
    </row>
    <row r="94">
      <c r="C94" s="307" t="inlineStr">
        <is>
          <t>Complex Scenarios</t>
        </is>
      </c>
      <c r="D94" s="302">
        <f>SUM('Negative Scenarios'!D3)</f>
        <v/>
      </c>
      <c r="E94" s="302">
        <f>SUM('Negative Scenarios'!G4)</f>
        <v/>
      </c>
      <c r="F94" s="302">
        <f>SUM('Negative Scenarios'!G5)</f>
        <v/>
      </c>
      <c r="G94" s="302">
        <f>SUM('Negative Scenarios'!G6)</f>
        <v/>
      </c>
      <c r="H94" s="302">
        <f>SUM('Negative Scenarios'!G7)</f>
        <v/>
      </c>
      <c r="I94" s="308">
        <f>SUM('Negative Scenarios'!G8)</f>
        <v/>
      </c>
    </row>
    <row r="95">
      <c r="C95" s="311" t="inlineStr">
        <is>
          <t>Global To Child</t>
        </is>
      </c>
      <c r="D95" s="312">
        <f>SUM('Global To Child'!D3)</f>
        <v/>
      </c>
      <c r="E95" s="312">
        <f>SUM('Global To Child'!G4)</f>
        <v/>
      </c>
      <c r="F95" s="312">
        <f>SUM('Global To Child'!G5)</f>
        <v/>
      </c>
      <c r="G95" s="312">
        <f>SUM('Global To Child'!G6)</f>
        <v/>
      </c>
      <c r="H95" s="312">
        <f>SUM('Global To Child'!G7)</f>
        <v/>
      </c>
      <c r="I95" s="313">
        <f>SUM('Global To Child'!G8)</f>
        <v/>
      </c>
    </row>
  </sheetData>
  <mergeCells count="18">
    <mergeCell ref="E50:F50"/>
    <mergeCell ref="E4:F4"/>
    <mergeCell ref="E51:F51"/>
    <mergeCell ref="C2:D2"/>
    <mergeCell ref="C64:I64"/>
    <mergeCell ref="E2:F2"/>
    <mergeCell ref="C51:D51"/>
    <mergeCell ref="D56:F56"/>
    <mergeCell ref="C7:F7"/>
    <mergeCell ref="C50:D50"/>
    <mergeCell ref="E52:F52"/>
    <mergeCell ref="C16:I16"/>
    <mergeCell ref="C52:D52"/>
    <mergeCell ref="D8:F8"/>
    <mergeCell ref="C3:D3"/>
    <mergeCell ref="C55:F55"/>
    <mergeCell ref="E3:F3"/>
    <mergeCell ref="C4:D4"/>
  </mergeCells>
  <conditionalFormatting sqref="C10:C14">
    <cfRule type="cellIs" priority="35" operator="equal" dxfId="1527" stopIfTrue="1">
      <formula>"NA"</formula>
    </cfRule>
    <cfRule type="cellIs" priority="36" operator="equal" dxfId="22" stopIfTrue="1">
      <formula>"On Hold"</formula>
    </cfRule>
    <cfRule type="cellIs" priority="37" operator="equal" dxfId="10" stopIfTrue="1">
      <formula>"Failed"</formula>
    </cfRule>
    <cfRule type="cellIs" priority="38" operator="equal" dxfId="9" stopIfTrue="1">
      <formula>"Passed"</formula>
    </cfRule>
  </conditionalFormatting>
  <conditionalFormatting sqref="C12:C13">
    <cfRule type="cellIs" priority="30" operator="equal" dxfId="1537" stopIfTrue="1">
      <formula>"Pending"</formula>
    </cfRule>
    <cfRule type="cellIs" priority="31" operator="equal" dxfId="1527" stopIfTrue="1">
      <formula>"NA"</formula>
    </cfRule>
    <cfRule type="cellIs" priority="32" operator="equal" dxfId="22" stopIfTrue="1">
      <formula>"Blocked"</formula>
    </cfRule>
    <cfRule type="cellIs" priority="33" operator="equal" dxfId="10" stopIfTrue="1">
      <formula>"Failed"</formula>
    </cfRule>
    <cfRule type="cellIs" priority="34" operator="equal" dxfId="9" stopIfTrue="1">
      <formula>"Passed"</formula>
    </cfRule>
  </conditionalFormatting>
  <conditionalFormatting sqref="C13">
    <cfRule type="cellIs" priority="25" operator="equal" dxfId="1532" stopIfTrue="1">
      <formula>"Pending"</formula>
    </cfRule>
    <cfRule type="cellIs" priority="26" operator="equal" dxfId="1527" stopIfTrue="1">
      <formula>"NA"</formula>
    </cfRule>
    <cfRule type="cellIs" priority="27" operator="equal" dxfId="22" stopIfTrue="1">
      <formula>"Blocked"</formula>
    </cfRule>
    <cfRule type="cellIs" priority="28" operator="equal" dxfId="10" stopIfTrue="1">
      <formula>"Failed"</formula>
    </cfRule>
    <cfRule type="cellIs" priority="29" operator="equal" dxfId="9" stopIfTrue="1">
      <formula>"Passed"</formula>
    </cfRule>
  </conditionalFormatting>
  <conditionalFormatting sqref="C14">
    <cfRule type="cellIs" priority="39" operator="equal" dxfId="1527" stopIfTrue="1">
      <formula>"Not Applicable"</formula>
    </cfRule>
    <cfRule type="cellIs" priority="40" operator="equal" dxfId="22" stopIfTrue="1">
      <formula>"On Hold"</formula>
    </cfRule>
    <cfRule type="cellIs" priority="41" operator="equal" dxfId="10" stopIfTrue="1">
      <formula>"Failed"</formula>
    </cfRule>
    <cfRule type="cellIs" priority="42" operator="equal" dxfId="9" stopIfTrue="1">
      <formula>"Passed"</formula>
    </cfRule>
  </conditionalFormatting>
  <conditionalFormatting sqref="C58:C62">
    <cfRule type="cellIs" priority="13" operator="equal" dxfId="1527" stopIfTrue="1">
      <formula>"NA"</formula>
    </cfRule>
    <cfRule type="cellIs" priority="14" operator="equal" dxfId="22" stopIfTrue="1">
      <formula>"On Hold"</formula>
    </cfRule>
    <cfRule type="cellIs" priority="15" operator="equal" dxfId="10" stopIfTrue="1">
      <formula>"Failed"</formula>
    </cfRule>
    <cfRule type="cellIs" priority="16" operator="equal" dxfId="9" stopIfTrue="1">
      <formula>"Passed"</formula>
    </cfRule>
  </conditionalFormatting>
  <conditionalFormatting sqref="C60:C61">
    <cfRule type="cellIs" priority="8" operator="equal" dxfId="1537" stopIfTrue="1">
      <formula>"Pending"</formula>
    </cfRule>
    <cfRule type="cellIs" priority="9" operator="equal" dxfId="1527" stopIfTrue="1">
      <formula>"NA"</formula>
    </cfRule>
    <cfRule type="cellIs" priority="10" operator="equal" dxfId="22" stopIfTrue="1">
      <formula>"Blocked"</formula>
    </cfRule>
    <cfRule type="cellIs" priority="11" operator="equal" dxfId="10" stopIfTrue="1">
      <formula>"Failed"</formula>
    </cfRule>
    <cfRule type="cellIs" priority="12" operator="equal" dxfId="9" stopIfTrue="1">
      <formula>"Passed"</formula>
    </cfRule>
  </conditionalFormatting>
  <conditionalFormatting sqref="C61">
    <cfRule type="cellIs" priority="3" operator="equal" dxfId="1532" stopIfTrue="1">
      <formula>"Pending"</formula>
    </cfRule>
    <cfRule type="cellIs" priority="4" operator="equal" dxfId="1527" stopIfTrue="1">
      <formula>"NA"</formula>
    </cfRule>
    <cfRule type="cellIs" priority="5" operator="equal" dxfId="22" stopIfTrue="1">
      <formula>"Blocked"</formula>
    </cfRule>
    <cfRule type="cellIs" priority="6" operator="equal" dxfId="10" stopIfTrue="1">
      <formula>"Failed"</formula>
    </cfRule>
    <cfRule type="cellIs" priority="7" operator="equal" dxfId="9" stopIfTrue="1">
      <formula>"Passed"</formula>
    </cfRule>
  </conditionalFormatting>
  <conditionalFormatting sqref="C62">
    <cfRule type="cellIs" priority="17" operator="equal" dxfId="1527" stopIfTrue="1">
      <formula>"Not Applicable"</formula>
    </cfRule>
    <cfRule type="cellIs" priority="18" operator="equal" dxfId="22" stopIfTrue="1">
      <formula>"On Hold"</formula>
    </cfRule>
    <cfRule type="cellIs" priority="19" operator="equal" dxfId="10" stopIfTrue="1">
      <formula>"Failed"</formula>
    </cfRule>
    <cfRule type="cellIs" priority="20" operator="equal" dxfId="9" stopIfTrue="1">
      <formula>"Passed"</formula>
    </cfRule>
  </conditionalFormatting>
  <conditionalFormatting sqref="D10:D11">
    <cfRule type="cellIs" priority="23" operator="equal" dxfId="9" stopIfTrue="1">
      <formula>"Passed"</formula>
    </cfRule>
  </conditionalFormatting>
  <conditionalFormatting sqref="D12:D14">
    <cfRule type="cellIs" priority="44" operator="equal" dxfId="10" stopIfTrue="1">
      <formula>"Failed"</formula>
    </cfRule>
  </conditionalFormatting>
  <conditionalFormatting sqref="D58:D59">
    <cfRule type="cellIs" priority="1" operator="equal" dxfId="9" stopIfTrue="1">
      <formula>"Passed"</formula>
    </cfRule>
  </conditionalFormatting>
  <conditionalFormatting sqref="D60:D62">
    <cfRule type="cellIs" priority="22" operator="equal" dxfId="10" stopIfTrue="1">
      <formula>"Failed"</formula>
    </cfRule>
  </conditionalFormatting>
  <conditionalFormatting sqref="E10:F14">
    <cfRule type="cellIs" priority="24" operator="equal" dxfId="9" stopIfTrue="1">
      <formula>1</formula>
    </cfRule>
  </conditionalFormatting>
  <conditionalFormatting sqref="E58:F62">
    <cfRule type="cellIs" priority="2" operator="equal" dxfId="9" stopIfTrue="1">
      <formula>1</formula>
    </cfRule>
  </conditionalFormatting>
  <hyperlinks>
    <hyperlink ref="C18" location="'SSO Login'!A1" display="SSO Login"/>
    <hyperlink ref="C19" location="'Login Screen'!A1" display="Login Screen"/>
    <hyperlink ref="C20" location="'Security Test'!A1" display="Security Test"/>
    <hyperlink ref="C21" location="Dashboard!A1" display="Dashboard"/>
    <hyperlink ref="C22" location="'Customer Screen'!A1" display="Customer Screen"/>
    <hyperlink ref="C23" location="'Item Creation'!A1" display="Item Creation"/>
    <hyperlink ref="C24" location="'Spreading Screen_Pdf File'!A1" display="Spreading Screen_Pdf"/>
    <hyperlink ref="C25" location="'Spreading Screen_Excel File'!A1" display="Spreading Screen_Excel file"/>
    <hyperlink ref="C26" location="'Expressions Verification'!A1" display="Expressions"/>
    <hyperlink ref="C27" location="'Statement Export'!A1" display="Statement Export"/>
    <hyperlink ref="C28" location="'Model Management'!A1" display="Model Management"/>
    <hyperlink ref="C29" location="'Clean PDF'!A1" display="Clean Pdf"/>
    <hyperlink ref="C30" location="'Split Pdf'!A1" display="Split Pdf"/>
    <hyperlink ref="C31" location="Reporting!A1" display="Reporting"/>
    <hyperlink ref="C32" location="'Admin Screen'!A1" display="Admin Screen"/>
    <hyperlink ref="C33" location="'Customer Zone'!A1" display="Customer Zone"/>
    <hyperlink ref="C34" location="'Currency Conversion'!A1" display="Currency Conversion"/>
    <hyperlink ref="C35" location="'AIML Training'!A1" display="AIML Training"/>
    <hyperlink ref="C36" location="'Notes Processing'!A1" display="Notes Processing"/>
    <hyperlink ref="C37" location="'Maker Checker'!A1" display="Maker Checker"/>
    <hyperlink ref="C38" location="Taxonomy!A1" display="Taxonomy"/>
    <hyperlink ref="C39" location="Exclusion!A1" display="Exclusion"/>
    <hyperlink ref="C40" location="'Autofill Matrix'!A1" display="Autofill Matrix"/>
    <hyperlink ref="C41" location="'Document Classification'!A1" display="Document Classification"/>
    <hyperlink ref="C42" location="'Notes Processing-L2'!A1" display="Notes Processing-L2"/>
    <hyperlink ref="C43" location="NAICS!A1" display="NAICS"/>
    <hyperlink ref="C44" location="Covenant!A1" display="Covenant"/>
    <hyperlink ref="C45" location="'Negative Scenarios'!A1" display="Complex Scenarios"/>
    <hyperlink ref="C66" location="'SSO Login'!A1" display="SSO Login"/>
    <hyperlink ref="C67" location="'Login Screen'!A1" display="Login Screen"/>
    <hyperlink ref="C68" location="'Security Test'!A1" display="Security Test"/>
    <hyperlink ref="C69" location="Dashboard!A1" display="Dashboard"/>
    <hyperlink ref="C70" location="'Customer Screen'!A1" display="Customer Screen"/>
    <hyperlink ref="C71" location="'Item Creation'!A1" display="Item Creation"/>
    <hyperlink ref="C72" location="'Spreading Screen_Pdf File'!A1" display="Spreading Screen_Pdf"/>
    <hyperlink ref="C73" location="'Spreading Screen_Excel File'!A1" display="Spreading Screen_Excel file"/>
    <hyperlink ref="C74" location="'Expressions Verification'!A1" display="Expressions"/>
    <hyperlink ref="C75" location="'Statement Export'!A1" display="Statement Export"/>
    <hyperlink ref="C76" location="'Model Management'!A1" display="Model Management"/>
    <hyperlink ref="C77" location="'Clean PDF'!A1" display="Clean Pdf"/>
    <hyperlink ref="C78" location="'Split Pdf'!A1" display="Split Pdf"/>
    <hyperlink ref="C79" location="' Bulk Upload'!A1" display="Bulk Upload"/>
    <hyperlink ref="C80" location="Reporting!A1" display="Reporting"/>
    <hyperlink ref="C81" location="'Admin Screen'!A1" display="Admin Screen"/>
    <hyperlink ref="C82" location="'Customer Zone'!A1" display="Customer Zone"/>
    <hyperlink ref="C83" location="'Currency Conversion'!A1" display="Currency Conversion"/>
    <hyperlink ref="C84" location="'AIML Training'!A1" display="AIML Training"/>
    <hyperlink ref="C85" location="'Notes Processing'!A1" display="Notes Processing"/>
    <hyperlink ref="C86" location="'Maker Checker'!A1" display="Maker Checker"/>
    <hyperlink ref="C87" location="Taxonomy!A1" display="Taxonomy"/>
    <hyperlink ref="C88" location="Exclusion!A1" display="Exclusion"/>
    <hyperlink ref="C89" location="'Autofill Matrix'!A1" display="Autofill Matrix"/>
    <hyperlink ref="C90" location="'Document Classification'!A1" display="Document Classification"/>
    <hyperlink ref="C91" location="'Notes Processing-L2'!A1" display="Notes Processing-L2"/>
    <hyperlink ref="C92" location="NAICS!A1" display="NAICS"/>
    <hyperlink ref="C93" location="Covenant!A1" display="Covenant"/>
    <hyperlink ref="C94" location="'Negative Scenarios'!A1" display="Complex Scenarios"/>
    <hyperlink ref="C95" location="'Global To Child'!A1" display="Global To Child"/>
  </hyperlink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B2:J36"/>
  <sheetViews>
    <sheetView showGridLines="0" workbookViewId="0">
      <selection activeCell="G8" sqref="G8"/>
    </sheetView>
  </sheetViews>
  <sheetFormatPr baseColWidth="8" defaultRowHeight="15"/>
  <cols>
    <col width="5" customWidth="1" min="1" max="1"/>
    <col width="12.7109375" customWidth="1" min="2" max="2"/>
    <col width="25.85546875" customWidth="1" style="6" min="3" max="3"/>
    <col width="47.85546875" customWidth="1" style="4" min="4" max="4"/>
    <col width="44.7109375" customWidth="1" style="6" min="5" max="5"/>
    <col width="14.5703125" customWidth="1" min="7" max="7"/>
    <col width="28.28515625" customWidth="1" min="8" max="8"/>
    <col width="23.140625" customWidth="1" min="9" max="9"/>
    <col width="14.5703125" customWidth="1" min="10"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COUNTIF(F9:F34,"Passed")</f>
        <v/>
      </c>
      <c r="E4" s="53">
        <f>IF(D4=0,,(D4/(D4+D5)))</f>
        <v/>
      </c>
      <c r="F4" s="51">
        <f>IF(D3=0,,(D4/D3))</f>
        <v/>
      </c>
      <c r="G4" s="156">
        <f>COUNTIF(H10:H493,"Done")</f>
        <v/>
      </c>
    </row>
    <row r="5" ht="15.75" customHeight="1" thickBot="1">
      <c r="B5" s="350" t="inlineStr">
        <is>
          <t>Failed</t>
        </is>
      </c>
      <c r="D5" s="52">
        <f>COUNTIF(F9:F139,"Failed")</f>
        <v/>
      </c>
      <c r="E5" s="53">
        <f>IF(D5=0,,(D5/(D5+D6)))</f>
        <v/>
      </c>
      <c r="F5" s="51">
        <f>IF(D3=0,,(D5/D3))</f>
        <v/>
      </c>
      <c r="G5" s="52">
        <f>COUNTIF(H10:H493,"Failed")</f>
        <v/>
      </c>
    </row>
    <row r="6" ht="15.75" customHeight="1" thickBot="1">
      <c r="B6" s="350" t="inlineStr">
        <is>
          <t>Blocked</t>
        </is>
      </c>
      <c r="D6" s="52">
        <f>COUNTIF(F9:F139,"Blocked")</f>
        <v/>
      </c>
      <c r="E6" s="53">
        <f>IF(D6=0,,(D6/(D6+D7)))</f>
        <v/>
      </c>
      <c r="F6" s="51">
        <f>IF(D3=0,,(D6/D3))</f>
        <v/>
      </c>
      <c r="G6" s="52">
        <f>COUNTIF(H10:H493,"Blocked")</f>
        <v/>
      </c>
    </row>
    <row r="7" ht="15.75" customHeight="1" thickBot="1">
      <c r="B7" s="350" t="inlineStr">
        <is>
          <t>Pending</t>
        </is>
      </c>
      <c r="D7" s="52">
        <f>COUNTIF(F9:F139,"Pending")</f>
        <v/>
      </c>
      <c r="E7" s="53">
        <f>IF(D7=0,,(D7/(D7+D8)))</f>
        <v/>
      </c>
      <c r="F7" s="51">
        <f>IF(D3=0,,(D7/D3))</f>
        <v/>
      </c>
      <c r="G7" s="52">
        <f>COUNTIF(H10:H493,"Pending")</f>
        <v/>
      </c>
    </row>
    <row r="8" ht="15.75" customHeight="1" thickBot="1">
      <c r="B8" s="350" t="inlineStr">
        <is>
          <t>Not Applicable</t>
        </is>
      </c>
      <c r="D8" s="52">
        <f>COUNTIF(F10:F139,"NA")</f>
        <v/>
      </c>
      <c r="E8" s="53">
        <f>IF(D8=0,,(D8/(D8+D9)))</f>
        <v/>
      </c>
      <c r="F8" s="51">
        <f>IF(D3=0,,(D8/D3))</f>
        <v/>
      </c>
      <c r="G8" s="52">
        <f>COUNTIF(H10:H493,"Out of Scope")</f>
        <v/>
      </c>
    </row>
    <row r="9" ht="15.75" customHeight="1" thickBot="1">
      <c r="B9" s="22" t="inlineStr">
        <is>
          <t>S.No.</t>
        </is>
      </c>
      <c r="C9" s="1" t="inlineStr">
        <is>
          <t>Module/Sub-Module</t>
        </is>
      </c>
      <c r="D9" s="170" t="inlineStr">
        <is>
          <t>Test Steps</t>
        </is>
      </c>
      <c r="E9" s="2" t="inlineStr">
        <is>
          <t>Expected Results</t>
        </is>
      </c>
      <c r="F9" s="2" t="inlineStr">
        <is>
          <t>Result</t>
        </is>
      </c>
      <c r="G9" s="2" t="inlineStr">
        <is>
          <t>Bug ID</t>
        </is>
      </c>
      <c r="H9" s="2" t="inlineStr">
        <is>
          <t>Automation Status</t>
        </is>
      </c>
      <c r="I9" s="2" t="inlineStr">
        <is>
          <t>Mapped Scripts</t>
        </is>
      </c>
      <c r="J9" s="2" t="inlineStr">
        <is>
          <t>Comments</t>
        </is>
      </c>
    </row>
    <row r="10" ht="51" customHeight="1">
      <c r="B10" s="214" t="inlineStr">
        <is>
          <t>SSOLogin_001</t>
        </is>
      </c>
      <c r="C10" s="215" t="inlineStr">
        <is>
          <t>Login Page</t>
        </is>
      </c>
      <c r="D10" s="215" t="inlineStr">
        <is>
          <t>Open the Spreadsmart URL as a registered user and verify that the sign-in page is displayed with Email and Password fields.</t>
        </is>
      </c>
      <c r="E10" s="215" t="inlineStr">
        <is>
          <t>The sign-in page should be displayed, and the user should be able to proceed with valid credentials.</t>
        </is>
      </c>
      <c r="F10" s="80" t="inlineStr">
        <is>
          <t>NA</t>
        </is>
      </c>
      <c r="G10" s="128" t="n"/>
      <c r="H10" s="80" t="inlineStr">
        <is>
          <t>Out of Scope</t>
        </is>
      </c>
      <c r="I10" s="128" t="n"/>
      <c r="J10" s="206" t="n"/>
    </row>
    <row r="11" ht="36" customHeight="1">
      <c r="B11" s="129" t="inlineStr">
        <is>
          <t>SSOLogin_002</t>
        </is>
      </c>
      <c r="C11" s="14" t="inlineStr">
        <is>
          <t>Login - New User</t>
        </is>
      </c>
      <c r="D11" s="14" t="inlineStr">
        <is>
          <t>Click the "Login with SSO" button on the login page.</t>
        </is>
      </c>
      <c r="E11" s="14" t="inlineStr">
        <is>
          <t>The button should be clickable.</t>
        </is>
      </c>
      <c r="F11" s="366" t="inlineStr">
        <is>
          <t>NA</t>
        </is>
      </c>
      <c r="G11" s="3" t="n"/>
      <c r="H11" s="366" t="inlineStr">
        <is>
          <t>Out of Scope</t>
        </is>
      </c>
      <c r="I11" s="3" t="n"/>
      <c r="J11" s="55" t="n"/>
    </row>
    <row r="12" ht="36" customHeight="1">
      <c r="B12" s="129" t="inlineStr">
        <is>
          <t>SSOLogin_003</t>
        </is>
      </c>
      <c r="C12" s="14" t="inlineStr">
        <is>
          <t>Login - Existing User</t>
        </is>
      </c>
      <c r="D12" s="14" t="inlineStr">
        <is>
          <t>Sign in with valid credentials for an existing user.</t>
        </is>
      </c>
      <c r="E12" s="14" t="inlineStr">
        <is>
          <t>The user should be able to navigate to the page available for the assigned role.</t>
        </is>
      </c>
      <c r="F12" s="366" t="inlineStr">
        <is>
          <t>NA</t>
        </is>
      </c>
      <c r="G12" s="3" t="n"/>
      <c r="H12" s="366" t="inlineStr">
        <is>
          <t>Out of Scope</t>
        </is>
      </c>
      <c r="I12" s="3" t="n"/>
      <c r="J12" s="55" t="n"/>
    </row>
    <row r="13" ht="51" customHeight="1">
      <c r="B13" s="129" t="inlineStr">
        <is>
          <t>SSOLogin_004</t>
        </is>
      </c>
      <c r="C13" s="14" t="inlineStr">
        <is>
          <t>Login - Invalid User</t>
        </is>
      </c>
      <c r="D13" s="14" t="inlineStr">
        <is>
          <t>Attempt to sign in with invalid user credentials and observe the validation message.</t>
        </is>
      </c>
      <c r="E13" s="14" t="inlineStr">
        <is>
          <t>A validation message should be displayed indicating that the username or password is invalid.</t>
        </is>
      </c>
      <c r="F13" s="366" t="inlineStr">
        <is>
          <t>NA</t>
        </is>
      </c>
      <c r="G13" s="3" t="n"/>
      <c r="H13" s="366" t="inlineStr">
        <is>
          <t>Out of Scope</t>
        </is>
      </c>
      <c r="I13" s="3" t="n"/>
      <c r="J13" s="55" t="n"/>
    </row>
    <row r="14" ht="51" customHeight="1">
      <c r="B14" s="129" t="inlineStr">
        <is>
          <t>SSOLogin_005</t>
        </is>
      </c>
      <c r="C14" s="14" t="inlineStr">
        <is>
          <t>Login - Rejected User</t>
        </is>
      </c>
      <c r="D14" s="14" t="inlineStr">
        <is>
          <t>Attempt to sign in with a rejected user account and verify the validation message.</t>
        </is>
      </c>
      <c r="E14" s="14" t="inlineStr">
        <is>
          <t>The user should not be able to sign in and should receive the message "Your account has not been approved."</t>
        </is>
      </c>
      <c r="F14" s="366" t="inlineStr">
        <is>
          <t>NA</t>
        </is>
      </c>
      <c r="G14" s="3" t="n"/>
      <c r="H14" s="366" t="inlineStr">
        <is>
          <t>Out of Scope</t>
        </is>
      </c>
      <c r="I14" s="3" t="n"/>
      <c r="J14" s="55" t="n"/>
    </row>
    <row r="15" ht="51" customHeight="1">
      <c r="B15" s="129" t="inlineStr">
        <is>
          <t>SSOLogin_006</t>
        </is>
      </c>
      <c r="C15" s="14" t="inlineStr">
        <is>
          <t>Login - Inactive User</t>
        </is>
      </c>
      <c r="D15" s="14" t="inlineStr">
        <is>
          <t>Attempt to sign in with an inactive user account and verify the validation message.</t>
        </is>
      </c>
      <c r="E15" s="14" t="inlineStr">
        <is>
          <t>The user should not be able to sign in and should receive the message "Your account has not been approved."</t>
        </is>
      </c>
      <c r="F15" s="366" t="inlineStr">
        <is>
          <t>NA</t>
        </is>
      </c>
      <c r="G15" s="3" t="n"/>
      <c r="H15" s="366" t="inlineStr">
        <is>
          <t>Out of Scope</t>
        </is>
      </c>
      <c r="I15" s="3" t="n"/>
      <c r="J15" s="55" t="n"/>
    </row>
    <row r="16" ht="36" customHeight="1">
      <c r="B16" s="129" t="inlineStr">
        <is>
          <t>SSOLogin_007</t>
        </is>
      </c>
      <c r="C16" s="14" t="inlineStr">
        <is>
          <t>Login - Incorrect Password</t>
        </is>
      </c>
      <c r="D16" s="14" t="inlineStr">
        <is>
          <t>Attempt to sign in with an incorrect password and observe the response.</t>
        </is>
      </c>
      <c r="E16" s="14" t="inlineStr">
        <is>
          <t>A validation message should be displayed during sign-in.</t>
        </is>
      </c>
      <c r="F16" s="366" t="inlineStr">
        <is>
          <t>NA</t>
        </is>
      </c>
      <c r="G16" s="3" t="n"/>
      <c r="H16" s="366" t="inlineStr">
        <is>
          <t>Out of Scope</t>
        </is>
      </c>
      <c r="I16" s="3" t="n"/>
      <c r="J16" s="55" t="n"/>
    </row>
    <row r="17" ht="51" customHeight="1">
      <c r="B17" s="129" t="inlineStr">
        <is>
          <t>SSOLogin_008</t>
        </is>
      </c>
      <c r="C17" s="14" t="inlineStr">
        <is>
          <t>Login - Invalid Domain</t>
        </is>
      </c>
      <c r="D17" s="14" t="inlineStr">
        <is>
          <t>Attempt to register with an unsupported email domain.</t>
        </is>
      </c>
      <c r="E17" s="14" t="inlineStr">
        <is>
          <t>A message should be displayed indicating that email IDs from this domain are not supported.</t>
        </is>
      </c>
      <c r="F17" s="366" t="inlineStr">
        <is>
          <t>NA</t>
        </is>
      </c>
      <c r="G17" s="3" t="inlineStr">
        <is>
          <t>Message is different</t>
        </is>
      </c>
      <c r="H17" s="366" t="inlineStr">
        <is>
          <t>Out of Scope</t>
        </is>
      </c>
      <c r="I17" s="3" t="n"/>
      <c r="J17" s="55" t="n"/>
    </row>
    <row r="18" ht="36" customHeight="1">
      <c r="B18" s="129" t="inlineStr">
        <is>
          <t>SSOLogin_009</t>
        </is>
      </c>
      <c r="C18" s="14" t="inlineStr">
        <is>
          <t>Login - Cross Browser</t>
        </is>
      </c>
      <c r="D18" s="14" t="inlineStr">
        <is>
          <t>Verify the login flow in different browsers (Chrome and Microsoft Edge).</t>
        </is>
      </c>
      <c r="E18" s="14" t="inlineStr">
        <is>
          <t>Login should work in all supported browsers.</t>
        </is>
      </c>
      <c r="F18" s="366" t="inlineStr">
        <is>
          <t>NA</t>
        </is>
      </c>
      <c r="G18" s="3" t="n"/>
      <c r="H18" s="366" t="inlineStr">
        <is>
          <t>Out of Scope</t>
        </is>
      </c>
      <c r="I18" s="3" t="n"/>
      <c r="J18" s="55" t="n"/>
    </row>
    <row r="19" ht="36" customHeight="1">
      <c r="B19" s="129" t="inlineStr">
        <is>
          <t>SSOLogin_010</t>
        </is>
      </c>
      <c r="C19" s="14" t="inlineStr">
        <is>
          <t>Login - Close Tab</t>
        </is>
      </c>
      <c r="D19" s="14" t="inlineStr">
        <is>
          <t>Close the Spreadsmart window, then reopen the login URL.</t>
        </is>
      </c>
      <c r="E19" s="14" t="inlineStr">
        <is>
          <t>The user should be able to navigate to the page available for the assigned role.</t>
        </is>
      </c>
      <c r="F19" s="366" t="inlineStr">
        <is>
          <t>NA</t>
        </is>
      </c>
      <c r="G19" s="3" t="n"/>
      <c r="H19" s="366" t="inlineStr">
        <is>
          <t>Out of Scope</t>
        </is>
      </c>
      <c r="I19" s="3" t="n"/>
      <c r="J19" s="55" t="n"/>
    </row>
    <row r="20" ht="51" customHeight="1">
      <c r="B20" s="129" t="inlineStr">
        <is>
          <t>SSOLogin_011</t>
        </is>
      </c>
      <c r="C20" s="14" t="inlineStr">
        <is>
          <t>Duplicate Tab</t>
        </is>
      </c>
      <c r="D20" s="14" t="inlineStr">
        <is>
          <t>Duplicate an already opened application tab and observe the new tab.</t>
        </is>
      </c>
      <c r="E20" s="14" t="inlineStr">
        <is>
          <t>The Spreadsmart application should open in the duplicated tab with the same user session.</t>
        </is>
      </c>
      <c r="F20" s="366" t="inlineStr">
        <is>
          <t>NA</t>
        </is>
      </c>
      <c r="G20" s="3" t="n"/>
      <c r="H20" s="366" t="inlineStr">
        <is>
          <t>Out of Scope</t>
        </is>
      </c>
      <c r="I20" s="3" t="n"/>
      <c r="J20" s="55" t="n"/>
    </row>
    <row r="21" ht="36" customHeight="1">
      <c r="B21" s="129" t="inlineStr">
        <is>
          <t>SSOLogin_012</t>
        </is>
      </c>
      <c r="C21" s="14" t="inlineStr">
        <is>
          <t>Copy URL</t>
        </is>
      </c>
      <c r="D21" s="14" t="inlineStr">
        <is>
          <t>Sign in to the application, copy the URL, and paste it into a second tab.</t>
        </is>
      </c>
      <c r="E21" s="14" t="inlineStr">
        <is>
          <t>The sign-in page should be displayed to the user.</t>
        </is>
      </c>
      <c r="F21" s="366" t="inlineStr">
        <is>
          <t>NA</t>
        </is>
      </c>
      <c r="G21" s="3" t="n"/>
      <c r="H21" s="366" t="inlineStr">
        <is>
          <t>Out of Scope</t>
        </is>
      </c>
      <c r="I21" s="3" t="n"/>
      <c r="J21" s="55" t="n"/>
    </row>
    <row r="22" ht="36" customHeight="1">
      <c r="B22" s="129" t="inlineStr">
        <is>
          <t>SSOLogin_013</t>
        </is>
      </c>
      <c r="C22" s="14" t="inlineStr">
        <is>
          <t>Login - Admin</t>
        </is>
      </c>
      <c r="D22" s="14" t="inlineStr">
        <is>
          <t>Sign in with a user who has the Admin role and verify the landing screen.</t>
        </is>
      </c>
      <c r="E22" s="14" t="inlineStr">
        <is>
          <t>The user should be able to sign in and view all options available to the Admin role.</t>
        </is>
      </c>
      <c r="F22" s="366" t="inlineStr">
        <is>
          <t>NA</t>
        </is>
      </c>
      <c r="G22" s="109" t="n"/>
      <c r="H22" s="366" t="inlineStr">
        <is>
          <t>Out of Scope</t>
        </is>
      </c>
      <c r="I22" s="109" t="n"/>
      <c r="J22" s="110" t="n"/>
    </row>
    <row r="23" ht="51" customHeight="1">
      <c r="B23" s="129" t="inlineStr">
        <is>
          <t>SSOLogin_014</t>
        </is>
      </c>
      <c r="C23" s="14" t="inlineStr">
        <is>
          <t>Login - Analyst</t>
        </is>
      </c>
      <c r="D23" s="14" t="inlineStr">
        <is>
          <t>Sign in with a user who has the Analyst role and verify the landing screen.</t>
        </is>
      </c>
      <c r="E23" s="14" t="inlineStr">
        <is>
          <t>The user should be able to sign in and view all options available to the Analyst role.</t>
        </is>
      </c>
      <c r="F23" s="366" t="inlineStr">
        <is>
          <t>NA</t>
        </is>
      </c>
      <c r="G23" s="109" t="n"/>
      <c r="H23" s="366" t="inlineStr">
        <is>
          <t>Out of Scope</t>
        </is>
      </c>
      <c r="I23" s="109" t="n"/>
      <c r="J23" s="110" t="n"/>
    </row>
    <row r="24" ht="51" customHeight="1">
      <c r="B24" s="129" t="inlineStr">
        <is>
          <t>SSOLogin_015</t>
        </is>
      </c>
      <c r="C24" s="14" t="inlineStr">
        <is>
          <t>Login - Global Manager</t>
        </is>
      </c>
      <c r="D24" s="14" t="inlineStr">
        <is>
          <t>Sign in with a user who has the Global Manager role and verify the landing screen.</t>
        </is>
      </c>
      <c r="E24" s="14" t="inlineStr">
        <is>
          <t>The user should be able to sign in and view all options available to the Global Manager role.</t>
        </is>
      </c>
      <c r="F24" s="366" t="inlineStr">
        <is>
          <t>NA</t>
        </is>
      </c>
      <c r="G24" s="109" t="n"/>
      <c r="H24" s="366" t="inlineStr">
        <is>
          <t>Out of Scope</t>
        </is>
      </c>
      <c r="I24" s="109" t="n"/>
      <c r="J24" s="110" t="n"/>
    </row>
    <row r="25" ht="51" customHeight="1">
      <c r="B25" s="129" t="inlineStr">
        <is>
          <t>SSOLogin_016</t>
        </is>
      </c>
      <c r="C25" s="14" t="inlineStr">
        <is>
          <t>Login - Manager</t>
        </is>
      </c>
      <c r="D25" s="14" t="inlineStr">
        <is>
          <t>Sign in with a user who has the Manager role and verify the landing screen.</t>
        </is>
      </c>
      <c r="E25" s="14" t="inlineStr">
        <is>
          <t>The user should be able to sign in and view all options available to the Manager role.</t>
        </is>
      </c>
      <c r="F25" s="366" t="inlineStr">
        <is>
          <t>NA</t>
        </is>
      </c>
      <c r="G25" s="109" t="n"/>
      <c r="H25" s="366" t="inlineStr">
        <is>
          <t>Out of Scope</t>
        </is>
      </c>
      <c r="I25" s="109" t="n"/>
      <c r="J25" s="110" t="n"/>
    </row>
    <row r="26" ht="36" customHeight="1">
      <c r="B26" s="129" t="inlineStr">
        <is>
          <t>SSOLogin_017</t>
        </is>
      </c>
      <c r="C26" s="14" t="inlineStr">
        <is>
          <t>Logout Button</t>
        </is>
      </c>
      <c r="D26" s="14" t="inlineStr">
        <is>
          <t>After signing in to Spreadsmart, click the Logout button.</t>
        </is>
      </c>
      <c r="E26" s="14" t="inlineStr">
        <is>
          <t>The user should be logged out and redirected to the sign-in page.</t>
        </is>
      </c>
      <c r="F26" s="366" t="inlineStr">
        <is>
          <t>NA</t>
        </is>
      </c>
      <c r="G26" s="3" t="n"/>
      <c r="H26" s="366" t="inlineStr">
        <is>
          <t>Out of Scope</t>
        </is>
      </c>
      <c r="I26" s="3" t="n"/>
      <c r="J26" s="55" t="n"/>
    </row>
    <row r="27" ht="51" customHeight="1">
      <c r="B27" s="129" t="inlineStr">
        <is>
          <t>SSOLogin_018</t>
        </is>
      </c>
      <c r="C27" s="14" t="inlineStr">
        <is>
          <t>Logout Page</t>
        </is>
      </c>
      <c r="D27" s="14" t="inlineStr">
        <is>
          <t>After logout, verify that the user must enter credentials again to sign in.</t>
        </is>
      </c>
      <c r="E27" s="14" t="inlineStr">
        <is>
          <t>The sign-in page should be displayed, and the user should be prompted to enter credentials again.</t>
        </is>
      </c>
      <c r="F27" s="366" t="inlineStr">
        <is>
          <t>NA</t>
        </is>
      </c>
      <c r="G27" s="3" t="n"/>
      <c r="H27" s="366" t="inlineStr">
        <is>
          <t>Out of Scope</t>
        </is>
      </c>
      <c r="I27" s="3" t="n"/>
      <c r="J27" s="55" t="n"/>
    </row>
    <row r="28" ht="36" customHeight="1">
      <c r="B28" s="129" t="inlineStr">
        <is>
          <t>SSOLogin_019</t>
        </is>
      </c>
      <c r="C28" s="14" t="inlineStr">
        <is>
          <t>Logout - Admin</t>
        </is>
      </c>
      <c r="D28" s="14" t="inlineStr">
        <is>
          <t>Sign in with an Admin user, then click the Logout button and observe the behavior.</t>
        </is>
      </c>
      <c r="E28" s="14" t="inlineStr">
        <is>
          <t>The Admin user should be able to log out successfully.</t>
        </is>
      </c>
      <c r="F28" s="366" t="inlineStr">
        <is>
          <t>NA</t>
        </is>
      </c>
      <c r="G28" s="3" t="n"/>
      <c r="H28" s="366" t="inlineStr">
        <is>
          <t>Out of Scope</t>
        </is>
      </c>
      <c r="I28" s="3" t="n"/>
      <c r="J28" s="55" t="n"/>
    </row>
    <row r="29" ht="36" customHeight="1">
      <c r="B29" s="129" t="inlineStr">
        <is>
          <t>SSOLogin_020</t>
        </is>
      </c>
      <c r="C29" s="14" t="inlineStr">
        <is>
          <t>Logout - Analyst</t>
        </is>
      </c>
      <c r="D29" s="14" t="inlineStr">
        <is>
          <t>Sign in with an Analyst user, then click the Logout button and observe the behavior.</t>
        </is>
      </c>
      <c r="E29" s="14" t="inlineStr">
        <is>
          <t>The Analyst user should be able to log out successfully.</t>
        </is>
      </c>
      <c r="F29" s="366" t="inlineStr">
        <is>
          <t>NA</t>
        </is>
      </c>
      <c r="G29" s="3" t="n"/>
      <c r="H29" s="366" t="inlineStr">
        <is>
          <t>Out of Scope</t>
        </is>
      </c>
      <c r="I29" s="3" t="n"/>
      <c r="J29" s="55" t="n"/>
    </row>
    <row r="30" ht="36" customHeight="1">
      <c r="B30" s="129" t="inlineStr">
        <is>
          <t>SSOLogin_021</t>
        </is>
      </c>
      <c r="C30" s="14" t="inlineStr">
        <is>
          <t>Logout - Global Manager</t>
        </is>
      </c>
      <c r="D30" s="14" t="inlineStr">
        <is>
          <t>Sign in with a Global Manager user, then click the Logout button and observe the behavior.</t>
        </is>
      </c>
      <c r="E30" s="14" t="inlineStr">
        <is>
          <t>The Global Manager user should be able to log out successfully.</t>
        </is>
      </c>
      <c r="F30" s="366" t="inlineStr">
        <is>
          <t>NA</t>
        </is>
      </c>
      <c r="G30" s="3" t="n"/>
      <c r="H30" s="366" t="inlineStr">
        <is>
          <t>Out of Scope</t>
        </is>
      </c>
      <c r="I30" s="3" t="n"/>
      <c r="J30" s="55" t="n"/>
    </row>
    <row r="31" ht="36" customHeight="1">
      <c r="B31" s="129" t="inlineStr">
        <is>
          <t>SSOLogin_022</t>
        </is>
      </c>
      <c r="C31" s="14" t="inlineStr">
        <is>
          <t>Logout - Manager</t>
        </is>
      </c>
      <c r="D31" s="14" t="inlineStr">
        <is>
          <t>Sign in with a Manager user, then click the Logout button and observe the behavior.</t>
        </is>
      </c>
      <c r="E31" s="14" t="inlineStr">
        <is>
          <t>The Manager user should be able to log out successfully.</t>
        </is>
      </c>
      <c r="F31" s="366" t="inlineStr">
        <is>
          <t>NA</t>
        </is>
      </c>
      <c r="G31" s="3" t="n"/>
      <c r="H31" s="366" t="inlineStr">
        <is>
          <t>Out of Scope</t>
        </is>
      </c>
      <c r="I31" s="3" t="n"/>
      <c r="J31" s="55" t="n"/>
    </row>
    <row r="32" ht="36" customHeight="1">
      <c r="B32" s="129" t="inlineStr">
        <is>
          <t>SSOLogin_023</t>
        </is>
      </c>
      <c r="C32" s="14" t="inlineStr">
        <is>
          <t>Logout - Sign In Again</t>
        </is>
      </c>
      <c r="D32" s="14" t="inlineStr">
        <is>
          <t>Verify that the user can log out and then sign in again.</t>
        </is>
      </c>
      <c r="E32" s="14" t="inlineStr">
        <is>
          <t>The user should be able to sign in again after logging out.</t>
        </is>
      </c>
      <c r="F32" s="366" t="inlineStr">
        <is>
          <t>NA</t>
        </is>
      </c>
      <c r="G32" s="3" t="n"/>
      <c r="H32" s="366" t="inlineStr">
        <is>
          <t>Out of Scope</t>
        </is>
      </c>
      <c r="I32" s="3" t="n"/>
      <c r="J32" s="55" t="n"/>
    </row>
    <row r="33" ht="51" customHeight="1">
      <c r="B33" s="129" t="inlineStr">
        <is>
          <t>SSOLogin_024</t>
        </is>
      </c>
      <c r="C33" s="14" t="inlineStr">
        <is>
          <t>Logout - Another User</t>
        </is>
      </c>
      <c r="D33" s="14" t="inlineStr">
        <is>
          <t>Log out with one user, sign in with another user, and then log out again.</t>
        </is>
      </c>
      <c r="E33" s="14" t="inlineStr">
        <is>
          <t>The first user should be logged out successfully. The second user should be able to sign in and log out successfully.</t>
        </is>
      </c>
      <c r="F33" s="366" t="inlineStr">
        <is>
          <t>NA</t>
        </is>
      </c>
      <c r="G33" s="3" t="n"/>
      <c r="H33" s="366" t="inlineStr">
        <is>
          <t>Out of Scope</t>
        </is>
      </c>
      <c r="I33" s="3" t="n"/>
      <c r="J33" s="55" t="n"/>
    </row>
    <row r="34" ht="51" customHeight="1">
      <c r="B34" s="129" t="inlineStr">
        <is>
          <t>SSOLogin_025</t>
        </is>
      </c>
      <c r="C34" s="14" t="inlineStr">
        <is>
          <t>Logout - Session Expiry</t>
        </is>
      </c>
      <c r="D34" s="14" t="inlineStr">
        <is>
          <t>Keep the screen idle until the user session expires and the user is logged out automatically. Then attempt to sign in again.</t>
        </is>
      </c>
      <c r="E34" s="14" t="inlineStr">
        <is>
          <t>The user should be logged out automatically after session expiry and should be able to sign in again.</t>
        </is>
      </c>
      <c r="F34" s="366" t="inlineStr">
        <is>
          <t>NA</t>
        </is>
      </c>
      <c r="G34" s="3" t="n"/>
      <c r="H34" s="366" t="inlineStr">
        <is>
          <t>Out of Scope</t>
        </is>
      </c>
      <c r="I34" s="3" t="n"/>
      <c r="J34" s="55" t="n"/>
    </row>
    <row r="35" ht="36" customHeight="1">
      <c r="B35" s="129" t="inlineStr">
        <is>
          <t>SSOLogin_026</t>
        </is>
      </c>
      <c r="C35" s="14" t="inlineStr">
        <is>
          <t>Logout - Cross Browser</t>
        </is>
      </c>
      <c r="D35" s="14" t="inlineStr">
        <is>
          <t>Verify the logout flow in different browsers (Chrome and Microsoft Edge).</t>
        </is>
      </c>
      <c r="E35" s="14" t="inlineStr">
        <is>
          <t>Logout and sign-in should work in all supported browsers.</t>
        </is>
      </c>
      <c r="F35" s="366" t="inlineStr">
        <is>
          <t>NA</t>
        </is>
      </c>
      <c r="G35" s="3" t="n"/>
      <c r="H35" s="366" t="inlineStr">
        <is>
          <t>Out of Scope</t>
        </is>
      </c>
      <c r="I35" s="3" t="n"/>
      <c r="J35" s="55" t="n"/>
    </row>
    <row r="36" ht="36" customHeight="1" thickBot="1">
      <c r="B36" s="130" t="inlineStr">
        <is>
          <t>SSOLogin_027</t>
        </is>
      </c>
      <c r="C36" s="132" t="inlineStr">
        <is>
          <t>Login Page</t>
        </is>
      </c>
      <c r="D36" s="216" t="inlineStr">
        <is>
          <t>Verify the behavior when the screen becomes blank during SSO login.</t>
        </is>
      </c>
      <c r="E36" s="132" t="inlineStr">
        <is>
          <t>Login should complete successfully.</t>
        </is>
      </c>
      <c r="F36" s="155" t="inlineStr">
        <is>
          <t>NA</t>
        </is>
      </c>
      <c r="G36" s="21" t="n">
        <v>136306</v>
      </c>
      <c r="H36" s="155" t="inlineStr">
        <is>
          <t>Out of Scope</t>
        </is>
      </c>
      <c r="I36" s="21" t="n"/>
      <c r="J36" s="56" t="inlineStr">
        <is>
          <t>[Needs QA Review: original wording ambiguous]</t>
        </is>
      </c>
    </row>
  </sheetData>
  <mergeCells count="7">
    <mergeCell ref="B6:C6"/>
    <mergeCell ref="B7:C7"/>
    <mergeCell ref="B2:F2"/>
    <mergeCell ref="B3:C3"/>
    <mergeCell ref="B5:C5"/>
    <mergeCell ref="B8:C8"/>
    <mergeCell ref="B4:C4"/>
  </mergeCells>
  <conditionalFormatting sqref="D3">
    <cfRule type="expression" priority="85" dxfId="51" stopIfTrue="1">
      <formula>AND(COUNTIF($A$8:$A$8, D3)+COUNTIF(#REF!, D3)&gt;1,NOT(ISBLANK(D3)))</formula>
    </cfRule>
  </conditionalFormatting>
  <conditionalFormatting sqref="D4">
    <cfRule type="cellIs" priority="77" operator="lessThan" dxfId="10" stopIfTrue="1">
      <formula>1</formula>
    </cfRule>
  </conditionalFormatting>
  <conditionalFormatting sqref="D4:D8">
    <cfRule type="cellIs" priority="72" operator="greaterThan" dxfId="9" stopIfTrue="1">
      <formula>0</formula>
    </cfRule>
    <cfRule type="cellIs" priority="73" operator="greaterThan" dxfId="9" stopIfTrue="1">
      <formula>1</formula>
    </cfRule>
    <cfRule type="cellIs" priority="74" operator="greaterThan" dxfId="10" stopIfTrue="1">
      <formula>0</formula>
    </cfRule>
    <cfRule type="cellIs" priority="75" operator="greaterThan" dxfId="10" stopIfTrue="1">
      <formula>1</formula>
    </cfRule>
    <cfRule type="cellIs" priority="76" operator="equal" dxfId="9" stopIfTrue="1">
      <formula>$C$3</formula>
    </cfRule>
  </conditionalFormatting>
  <conditionalFormatting sqref="D5">
    <cfRule type="cellIs" priority="37" operator="lessThan" dxfId="10" stopIfTrue="1">
      <formula>1</formula>
    </cfRule>
  </conditionalFormatting>
  <conditionalFormatting sqref="D5:E8">
    <cfRule type="cellIs" priority="41" operator="lessThan" dxfId="10" stopIfTrue="1">
      <formula>1</formula>
    </cfRule>
  </conditionalFormatting>
  <conditionalFormatting sqref="E4">
    <cfRule type="cellIs" priority="67" operator="equal" dxfId="9" stopIfTrue="1">
      <formula>1</formula>
    </cfRule>
    <cfRule type="cellIs" priority="68" operator="lessThan" dxfId="10" stopIfTrue="1">
      <formula>1</formula>
    </cfRule>
  </conditionalFormatting>
  <conditionalFormatting sqref="E5:E8">
    <cfRule type="cellIs" priority="38" operator="equal" dxfId="9" stopIfTrue="1">
      <formula>1</formula>
    </cfRule>
    <cfRule type="cellIs" priority="39" operator="lessThan" dxfId="10" stopIfTrue="1">
      <formula>1</formula>
    </cfRule>
    <cfRule type="cellIs" priority="40" operator="equal" dxfId="9" stopIfTrue="1">
      <formula>1</formula>
    </cfRule>
  </conditionalFormatting>
  <conditionalFormatting sqref="E4:F4">
    <cfRule type="cellIs" priority="63" operator="equal" dxfId="9" stopIfTrue="1">
      <formula>1</formula>
    </cfRule>
    <cfRule type="cellIs" priority="64" operator="lessThan" dxfId="10" stopIfTrue="1">
      <formula>1</formula>
    </cfRule>
  </conditionalFormatting>
  <conditionalFormatting sqref="F4">
    <cfRule type="cellIs" priority="61" operator="equal" dxfId="9" stopIfTrue="1">
      <formula>1</formula>
    </cfRule>
    <cfRule type="cellIs" priority="62" operator="lessThan" dxfId="10" stopIfTrue="1">
      <formula>1</formula>
    </cfRule>
  </conditionalFormatting>
  <conditionalFormatting sqref="F5">
    <cfRule type="cellIs" priority="57" operator="greaterThan" dxfId="10" stopIfTrue="1">
      <formula>0</formula>
    </cfRule>
    <cfRule type="cellIs" priority="58" operator="equal" dxfId="9" stopIfTrue="1">
      <formula>0</formula>
    </cfRule>
    <cfRule type="cellIs" priority="59" operator="greaterThan" dxfId="10" stopIfTrue="1">
      <formula>0</formula>
    </cfRule>
    <cfRule type="cellIs" priority="60" operator="equal" dxfId="9" stopIfTrue="1">
      <formula>0</formula>
    </cfRule>
  </conditionalFormatting>
  <conditionalFormatting sqref="F6">
    <cfRule type="cellIs" priority="55" operator="equal" dxfId="9" stopIfTrue="1">
      <formula>0</formula>
    </cfRule>
    <cfRule type="cellIs" priority="56" operator="greaterThan" dxfId="22" stopIfTrue="1">
      <formula>0</formula>
    </cfRule>
  </conditionalFormatting>
  <conditionalFormatting sqref="F6:F7">
    <cfRule type="cellIs" priority="51" operator="equal" dxfId="9" stopIfTrue="1">
      <formula>0</formula>
    </cfRule>
    <cfRule type="cellIs" priority="52" operator="greaterThan" dxfId="22" stopIfTrue="1">
      <formula>0</formula>
    </cfRule>
  </conditionalFormatting>
  <conditionalFormatting sqref="F7:F8">
    <cfRule type="cellIs" priority="47" operator="equal" dxfId="9" stopIfTrue="1">
      <formula>0</formula>
    </cfRule>
    <cfRule type="cellIs" priority="48" operator="greaterThan" dxfId="22" stopIfTrue="1">
      <formula>0</formula>
    </cfRule>
  </conditionalFormatting>
  <conditionalFormatting sqref="F8">
    <cfRule type="cellIs" priority="45" operator="equal" dxfId="9" stopIfTrue="1">
      <formula>0</formula>
    </cfRule>
    <cfRule type="cellIs" priority="46" operator="greaterThan" dxfId="22" stopIfTrue="1">
      <formula>0</formula>
    </cfRule>
  </conditionalFormatting>
  <conditionalFormatting sqref="F10:F36">
    <cfRule type="cellIs" priority="78" operator="equal" dxfId="6" stopIfTrue="1">
      <formula>"NA"</formula>
    </cfRule>
    <cfRule type="cellIs" priority="79" operator="equal" dxfId="5" stopIfTrue="1">
      <formula>"Blocked"</formula>
    </cfRule>
    <cfRule type="cellIs" priority="80" operator="equal" dxfId="4" stopIfTrue="1">
      <formula>"Pending"</formula>
    </cfRule>
    <cfRule type="cellIs" priority="81" operator="equal" dxfId="0" stopIfTrue="1">
      <formula>"Passed"</formula>
    </cfRule>
    <cfRule type="cellIs" priority="82" operator="equal" dxfId="1" stopIfTrue="1">
      <formula>"Failed"</formula>
    </cfRule>
    <cfRule type="cellIs" priority="83" operator="equal" dxfId="1" stopIfTrue="1">
      <formula>"Fail"</formula>
    </cfRule>
    <cfRule type="cellIs" priority="84" operator="equal" dxfId="0" stopIfTrue="1">
      <formula>"Pass"</formula>
    </cfRule>
  </conditionalFormatting>
  <conditionalFormatting sqref="G5:G8">
    <cfRule type="cellIs" priority="1" operator="lessThan" dxfId="10" stopIfTrue="1">
      <formula>1</formula>
    </cfRule>
    <cfRule type="cellIs" priority="2" operator="greaterThan" dxfId="9" stopIfTrue="1">
      <formula>0</formula>
    </cfRule>
    <cfRule type="cellIs" priority="3" operator="greaterThan" dxfId="9" stopIfTrue="1">
      <formula>1</formula>
    </cfRule>
    <cfRule type="cellIs" priority="4" operator="greaterThan" dxfId="10" stopIfTrue="1">
      <formula>0</formula>
    </cfRule>
    <cfRule type="cellIs" priority="5" operator="greaterThan" dxfId="10" stopIfTrue="1">
      <formula>1</formula>
    </cfRule>
    <cfRule type="cellIs" priority="6" operator="equal" dxfId="9" stopIfTrue="1">
      <formula>$C$3</formula>
    </cfRule>
  </conditionalFormatting>
  <conditionalFormatting sqref="H10:H36">
    <cfRule type="cellIs" priority="7" operator="equal" dxfId="0">
      <formula>"Done"</formula>
    </cfRule>
    <cfRule type="cellIs" priority="8" operator="equal" dxfId="7">
      <formula>"Pending"</formula>
    </cfRule>
    <cfRule type="cellIs" priority="9" operator="equal" dxfId="6" stopIfTrue="1">
      <formula>"NA"</formula>
    </cfRule>
    <cfRule type="cellIs" priority="10" operator="equal" dxfId="5" stopIfTrue="1">
      <formula>"Blocked"</formula>
    </cfRule>
    <cfRule type="cellIs" priority="11" operator="equal" dxfId="4" stopIfTrue="1">
      <formula>"Pending"</formula>
    </cfRule>
    <cfRule type="cellIs" priority="12" operator="equal" dxfId="0" stopIfTrue="1">
      <formula>"Passed"</formula>
    </cfRule>
    <cfRule type="cellIs" priority="13" operator="equal" dxfId="1" stopIfTrue="1">
      <formula>"Failed"</formula>
    </cfRule>
    <cfRule type="cellIs" priority="14" operator="equal" dxfId="1" stopIfTrue="1">
      <formula>"Fail"</formula>
    </cfRule>
    <cfRule type="cellIs" priority="15" operator="equal" dxfId="0" stopIfTrue="1">
      <formula>"Pass"</formula>
    </cfRule>
  </conditionalFormatting>
  <dataValidations count="2">
    <dataValidation sqref="F10:F36" showDropDown="0" showInputMessage="1" showErrorMessage="1" allowBlank="1" type="list">
      <formula1>"Passed,Failed,Blocked,Pending,NA"</formula1>
    </dataValidation>
    <dataValidation sqref="H10:H36"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J23"/>
  <sheetViews>
    <sheetView showGridLines="0" workbookViewId="0">
      <selection activeCell="G7" sqref="G7"/>
    </sheetView>
  </sheetViews>
  <sheetFormatPr baseColWidth="8" defaultRowHeight="15"/>
  <cols>
    <col width="5" customWidth="1" min="1" max="1"/>
    <col width="27.5703125" customWidth="1" min="3" max="3"/>
    <col width="44.7109375" customWidth="1" min="4" max="5"/>
    <col width="13.85546875" customWidth="1" min="7" max="7"/>
    <col width="21.140625" customWidth="1" min="8" max="8"/>
    <col width="13.85546875" customWidth="1" min="9"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COUNTIF(F10:F98,"Passed")</f>
        <v/>
      </c>
      <c r="E4" s="53">
        <f>IF(D4=0,,(D4/(D4+D5)))</f>
        <v/>
      </c>
      <c r="F4" s="51">
        <f>IF(D3=0,,(D4/D3))</f>
        <v/>
      </c>
      <c r="G4" s="156">
        <f>COUNTIF(H10:H493,"Done")</f>
        <v/>
      </c>
    </row>
    <row r="5" ht="15.75" customHeight="1" thickBot="1">
      <c r="B5" s="350" t="inlineStr">
        <is>
          <t>Failed</t>
        </is>
      </c>
      <c r="D5" s="52">
        <f>COUNTIF(F10:F98,"Failed")</f>
        <v/>
      </c>
      <c r="E5" s="53">
        <f>IF(D5=0,,(D5/(D5+D6)))</f>
        <v/>
      </c>
      <c r="F5" s="51">
        <f>IF(D3=0,,(D5/D3))</f>
        <v/>
      </c>
      <c r="G5" s="52">
        <f>COUNTIF(H10:H493,"Failed")</f>
        <v/>
      </c>
    </row>
    <row r="6" ht="15.75" customHeight="1" thickBot="1">
      <c r="B6" s="350" t="inlineStr">
        <is>
          <t>Blocked</t>
        </is>
      </c>
      <c r="D6" s="52">
        <f>COUNTIF(F10:F98,"Blocked")</f>
        <v/>
      </c>
      <c r="E6" s="53">
        <f>IF(D6=0,,(D6/(D6+D7)))</f>
        <v/>
      </c>
      <c r="F6" s="51">
        <f>IF(D3=0,,(D6/D3))</f>
        <v/>
      </c>
      <c r="G6" s="52">
        <f>COUNTIF(H10:H493,"Blocked")</f>
        <v/>
      </c>
    </row>
    <row r="7" ht="15.75" customHeight="1" thickBot="1">
      <c r="B7" s="350" t="inlineStr">
        <is>
          <t>Pending</t>
        </is>
      </c>
      <c r="D7" s="52">
        <f>COUNTIF(F10:F98,"Pending")</f>
        <v/>
      </c>
      <c r="E7" s="53">
        <f>IF(D7=0,,(D7/(D7+D8)))</f>
        <v/>
      </c>
      <c r="F7" s="51">
        <f>IF(D3=0,,(D7/D3))</f>
        <v/>
      </c>
      <c r="G7" s="52">
        <f>COUNTIF(H10:H493,"Pending")</f>
        <v/>
      </c>
    </row>
    <row r="8" ht="15.75" customHeight="1" thickBot="1">
      <c r="B8" s="350" t="inlineStr">
        <is>
          <t>Not Applicable</t>
        </is>
      </c>
      <c r="D8" s="52">
        <f>COUNTIF(F10:F98,"NA")</f>
        <v/>
      </c>
      <c r="E8" s="53">
        <f>IF(D8=0,,(D8/(D8+D9)))</f>
        <v/>
      </c>
      <c r="F8" s="51">
        <f>IF(D3=0,,(D8/D3))</f>
        <v/>
      </c>
      <c r="G8" s="52">
        <f>COUNTIF(H10:H493,"Out of Scope")</f>
        <v/>
      </c>
    </row>
    <row r="9" ht="15.75" customHeight="1" thickBot="1">
      <c r="B9" s="2" t="inlineStr">
        <is>
          <t>S.No.</t>
        </is>
      </c>
      <c r="C9" s="2" t="inlineStr">
        <is>
          <t>Module/Sub-Module</t>
        </is>
      </c>
      <c r="D9" s="1" t="inlineStr">
        <is>
          <t>Test Steps</t>
        </is>
      </c>
      <c r="E9" s="22" t="inlineStr">
        <is>
          <t>Expected Results</t>
        </is>
      </c>
      <c r="F9" s="2" t="inlineStr">
        <is>
          <t>Result</t>
        </is>
      </c>
      <c r="G9" s="2" t="inlineStr">
        <is>
          <t>Bug ID</t>
        </is>
      </c>
      <c r="H9" s="2" t="inlineStr">
        <is>
          <t>Automation Status</t>
        </is>
      </c>
      <c r="I9" s="2" t="inlineStr">
        <is>
          <t>Mapped Scripts</t>
        </is>
      </c>
      <c r="J9" s="2" t="inlineStr">
        <is>
          <t>Comments</t>
        </is>
      </c>
    </row>
    <row r="10" ht="24" customHeight="1">
      <c r="B10" s="214" t="inlineStr">
        <is>
          <t>Login_001</t>
        </is>
      </c>
      <c r="C10" s="215" t="inlineStr">
        <is>
          <t>Register Screen</t>
        </is>
      </c>
      <c r="D10" s="215" t="inlineStr">
        <is>
          <t>Click the "Register here" link on the login page.</t>
        </is>
      </c>
      <c r="E10" s="215" t="inlineStr">
        <is>
          <t>The Register Now page should open, and the cursor should be placed in the First Name field.</t>
        </is>
      </c>
      <c r="F10" s="80" t="inlineStr">
        <is>
          <t>Passed</t>
        </is>
      </c>
      <c r="G10" s="128" t="n"/>
      <c r="H10" s="80" t="inlineStr">
        <is>
          <t>Pending</t>
        </is>
      </c>
      <c r="I10" s="128" t="n"/>
      <c r="J10" s="206" t="n">
        <v>0.25</v>
      </c>
    </row>
    <row r="11" ht="24" customHeight="1">
      <c r="B11" s="129" t="inlineStr">
        <is>
          <t>Login_002</t>
        </is>
      </c>
      <c r="C11" s="14" t="inlineStr">
        <is>
          <t>Register Screen</t>
        </is>
      </c>
      <c r="D11" s="14" t="inlineStr">
        <is>
          <t>Enter alphabetic, numeric, and alphanumeric values in the First Name and Last Name fields.</t>
        </is>
      </c>
      <c r="E11" s="14" t="inlineStr">
        <is>
          <t>The entered values should be displayed in the fields.</t>
        </is>
      </c>
      <c r="F11" s="366" t="inlineStr">
        <is>
          <t>Passed</t>
        </is>
      </c>
      <c r="G11" s="3" t="n"/>
      <c r="H11" s="366" t="inlineStr">
        <is>
          <t>Pending</t>
        </is>
      </c>
      <c r="I11" s="3" t="n"/>
      <c r="J11" s="55" t="n">
        <v>0.25</v>
      </c>
    </row>
    <row r="12">
      <c r="B12" s="129" t="inlineStr">
        <is>
          <t>Login_003</t>
        </is>
      </c>
      <c r="C12" s="14" t="inlineStr">
        <is>
          <t>Register Screen</t>
        </is>
      </c>
      <c r="D12" s="14" t="inlineStr">
        <is>
          <t>Enter an email ID in the required format.</t>
        </is>
      </c>
      <c r="E12" s="14" t="inlineStr">
        <is>
          <t>A valid email ID format should be accepted.</t>
        </is>
      </c>
      <c r="F12" s="366" t="inlineStr">
        <is>
          <t>Passed</t>
        </is>
      </c>
      <c r="G12" s="3" t="n"/>
      <c r="H12" s="366" t="inlineStr">
        <is>
          <t>Pending</t>
        </is>
      </c>
      <c r="I12" s="3" t="n"/>
      <c r="J12" s="55" t="n">
        <v>0.25</v>
      </c>
    </row>
    <row r="13">
      <c r="B13" s="129" t="inlineStr">
        <is>
          <t>Login_004</t>
        </is>
      </c>
      <c r="C13" s="14" t="inlineStr">
        <is>
          <t>Register Screen</t>
        </is>
      </c>
      <c r="D13" s="14" t="inlineStr">
        <is>
          <t>Enter a Windows user ID in the User ID field.</t>
        </is>
      </c>
      <c r="E13" s="14" t="inlineStr">
        <is>
          <t>The user should be able to enter the User ID.</t>
        </is>
      </c>
      <c r="F13" s="366" t="inlineStr">
        <is>
          <t>Passed</t>
        </is>
      </c>
      <c r="G13" s="3" t="n"/>
      <c r="H13" s="366" t="inlineStr">
        <is>
          <t>Pending</t>
        </is>
      </c>
      <c r="I13" s="3" t="n"/>
      <c r="J13" s="55" t="n">
        <v>0.25</v>
      </c>
    </row>
    <row r="14" ht="36" customHeight="1">
      <c r="B14" s="129" t="inlineStr">
        <is>
          <t>Login_005</t>
        </is>
      </c>
      <c r="C14" s="14" t="inlineStr">
        <is>
          <t>Register Screen</t>
        </is>
      </c>
      <c r="D14" s="14" t="inlineStr">
        <is>
          <t>Enter a password with at least 8 characters, including one special character, one uppercase letter, one lowercase letter, and one number. Then enter the same value in the Confirm Password field.</t>
        </is>
      </c>
      <c r="E14" s="14" t="inlineStr">
        <is>
          <t>The password should meet the validation rules, and the values entered in the Password and Confirm Password fields should be masked.</t>
        </is>
      </c>
      <c r="F14" s="366" t="inlineStr">
        <is>
          <t>Passed</t>
        </is>
      </c>
      <c r="G14" s="3" t="n"/>
      <c r="H14" s="366" t="inlineStr">
        <is>
          <t>Pending</t>
        </is>
      </c>
      <c r="I14" s="3" t="n"/>
      <c r="J14" s="55" t="n">
        <v>0.5</v>
      </c>
    </row>
    <row r="15" ht="24" customHeight="1">
      <c r="B15" s="129" t="inlineStr">
        <is>
          <t>Login_006</t>
        </is>
      </c>
      <c r="C15" s="14" t="inlineStr">
        <is>
          <t>Register Screen</t>
        </is>
      </c>
      <c r="D15" s="14" t="inlineStr">
        <is>
          <t>Click the "Register Now" button.</t>
        </is>
      </c>
      <c r="E15" s="14" t="inlineStr">
        <is>
          <t>A "User Registered Successfully" pop-up should be displayed.</t>
        </is>
      </c>
      <c r="F15" s="366" t="inlineStr">
        <is>
          <t>Passed</t>
        </is>
      </c>
      <c r="G15" s="3" t="n"/>
      <c r="H15" s="366" t="inlineStr">
        <is>
          <t>Pending</t>
        </is>
      </c>
      <c r="I15" s="3" t="n"/>
      <c r="J15" s="55" t="n">
        <v>0.25</v>
      </c>
    </row>
    <row r="16" ht="35.25" customHeight="1">
      <c r="B16" s="129" t="inlineStr">
        <is>
          <t>Login_007</t>
        </is>
      </c>
      <c r="C16" s="14" t="inlineStr">
        <is>
          <t>Login Screen</t>
        </is>
      </c>
      <c r="D16" s="14" t="inlineStr">
        <is>
          <t>After the user is approved, click the "Windows Login" button to proceed.</t>
        </is>
      </c>
      <c r="E16" s="14" t="inlineStr">
        <is>
          <t>Windows login should work for an approved user.</t>
        </is>
      </c>
      <c r="F16" s="366" t="inlineStr">
        <is>
          <t>Passed</t>
        </is>
      </c>
      <c r="G16" s="3" t="n"/>
      <c r="H16" s="366" t="inlineStr">
        <is>
          <t>Out of Scope</t>
        </is>
      </c>
      <c r="I16" s="3" t="n"/>
      <c r="J16" s="55" t="n"/>
    </row>
    <row r="17" ht="35.25" customHeight="1">
      <c r="B17" s="129" t="inlineStr">
        <is>
          <t>Login_008</t>
        </is>
      </c>
      <c r="C17" s="14" t="inlineStr">
        <is>
          <t>Login Screen</t>
        </is>
      </c>
      <c r="D17" s="14" t="inlineStr">
        <is>
          <t>1. Attempt login with the correct user ID and an incorrect password.
2. Attempt login with the correct password and an incorrect user ID.</t>
        </is>
      </c>
      <c r="E17" s="14" t="inlineStr">
        <is>
          <t>An "Incorrect password or username" message should be displayed.</t>
        </is>
      </c>
      <c r="F17" s="366" t="inlineStr">
        <is>
          <t>Passed</t>
        </is>
      </c>
      <c r="G17" s="3" t="n"/>
      <c r="H17" s="366" t="inlineStr">
        <is>
          <t>Pending</t>
        </is>
      </c>
      <c r="I17" s="3" t="n"/>
      <c r="J17" s="55" t="n">
        <v>0.5</v>
      </c>
    </row>
    <row r="18" ht="35.25" customHeight="1">
      <c r="B18" s="129" t="inlineStr">
        <is>
          <t>Login_009</t>
        </is>
      </c>
      <c r="C18" s="14" t="inlineStr">
        <is>
          <t>Login Screen</t>
        </is>
      </c>
      <c r="D18" s="14" t="inlineStr">
        <is>
          <t>Attempt login with an email ID from an invalid domain.</t>
        </is>
      </c>
      <c r="E18" s="14" t="inlineStr">
        <is>
          <t>The system should not accept the unsupported domain.</t>
        </is>
      </c>
      <c r="F18" s="366" t="inlineStr">
        <is>
          <t>Passed</t>
        </is>
      </c>
      <c r="G18" s="3" t="n"/>
      <c r="H18" s="366" t="inlineStr">
        <is>
          <t>Pending</t>
        </is>
      </c>
      <c r="I18" s="3" t="n"/>
      <c r="J18" s="55" t="n">
        <v>0.5</v>
      </c>
    </row>
    <row r="19" ht="72.75" customHeight="1">
      <c r="B19" s="129" t="inlineStr">
        <is>
          <t>Login_010</t>
        </is>
      </c>
      <c r="C19" s="14" t="inlineStr">
        <is>
          <t>Forgot Password</t>
        </is>
      </c>
      <c r="D19" s="14" t="inlineStr">
        <is>
          <t>Click "Forgot Password", enter an email ID, verify that the email is received, open the reset link, enter a new password, and log in with the new password.</t>
        </is>
      </c>
      <c r="E19" s="14" t="inlineStr">
        <is>
          <t>A reset email should be received, the reset link should work, and the user should be able to log in with the new password.</t>
        </is>
      </c>
      <c r="F19" s="366" t="inlineStr">
        <is>
          <t>Passed</t>
        </is>
      </c>
      <c r="G19" s="3" t="n"/>
      <c r="H19" s="366" t="inlineStr">
        <is>
          <t>Out of Scope</t>
        </is>
      </c>
      <c r="I19" s="3" t="n"/>
      <c r="J19" s="123" t="inlineStr">
        <is>
          <t>As of now we're not covering Email verification in automation</t>
        </is>
      </c>
    </row>
    <row r="20" ht="35.25" customHeight="1">
      <c r="B20" s="129" t="inlineStr">
        <is>
          <t>Login_011</t>
        </is>
      </c>
      <c r="C20" s="14" t="inlineStr">
        <is>
          <t>Forgot Password</t>
        </is>
      </c>
      <c r="D20" s="14" t="inlineStr">
        <is>
          <t>Enter an incorrect email ID in the Forgot Password flow. Then verify the behavior when the old password is used in the Reset Password window.</t>
        </is>
      </c>
      <c r="E20" s="14" t="inlineStr">
        <is>
          <t>No reset email should be received, and the user should be prompted to set a new password.</t>
        </is>
      </c>
      <c r="F20" s="366" t="inlineStr">
        <is>
          <t>Passed</t>
        </is>
      </c>
      <c r="G20" s="3" t="n"/>
      <c r="H20" s="366" t="inlineStr">
        <is>
          <t>Out of Scope</t>
        </is>
      </c>
      <c r="I20" s="3" t="n"/>
      <c r="J20" s="123" t="inlineStr">
        <is>
          <t>As of now we're not covering Email verification in automation</t>
        </is>
      </c>
    </row>
    <row r="21" ht="42.75" customHeight="1">
      <c r="B21" s="129" t="inlineStr">
        <is>
          <t>Login_012</t>
        </is>
      </c>
      <c r="C21" s="14" t="inlineStr">
        <is>
          <t>Login Screen</t>
        </is>
      </c>
      <c r="D21" s="14" t="inlineStr">
        <is>
          <t>Click the Windows Login button and proceed to the Spreadsmart application.</t>
        </is>
      </c>
      <c r="E21" s="14" t="inlineStr">
        <is>
          <t>The Dashboard should open.</t>
        </is>
      </c>
      <c r="F21" s="366" t="inlineStr">
        <is>
          <t>Passed</t>
        </is>
      </c>
      <c r="G21" s="3" t="n"/>
      <c r="H21" s="366" t="inlineStr">
        <is>
          <t>Done</t>
        </is>
      </c>
      <c r="I21" s="3" t="n"/>
      <c r="J21" s="55" t="n"/>
    </row>
    <row r="22">
      <c r="B22" s="129" t="inlineStr">
        <is>
          <t>Login_013</t>
        </is>
      </c>
      <c r="C22" s="14" t="inlineStr">
        <is>
          <t>Login Screen</t>
        </is>
      </c>
      <c r="D22" s="14" t="inlineStr">
        <is>
          <t>Verify the Terms of Use and Privacy Policy links on the login page.</t>
        </is>
      </c>
      <c r="E22" s="16" t="inlineStr">
        <is>
          <t>The links should be visible and clickable.</t>
        </is>
      </c>
      <c r="F22" s="366" t="inlineStr">
        <is>
          <t>Passed</t>
        </is>
      </c>
      <c r="G22" s="3" t="n"/>
      <c r="H22" s="366" t="inlineStr">
        <is>
          <t>Pending</t>
        </is>
      </c>
      <c r="I22" s="3" t="n"/>
      <c r="J22" s="55" t="n">
        <v>0.5</v>
      </c>
    </row>
    <row r="23" ht="15.75" customHeight="1" thickBot="1">
      <c r="B23" s="130" t="inlineStr">
        <is>
          <t>Login_014</t>
        </is>
      </c>
      <c r="C23" s="131" t="inlineStr">
        <is>
          <t>Login Screen</t>
        </is>
      </c>
      <c r="D23" s="21" t="inlineStr">
        <is>
          <t>Attempt to log in with a user who has not yet been approved.</t>
        </is>
      </c>
      <c r="E23" s="131" t="inlineStr">
        <is>
          <t>An appropriate validation message should be displayed.</t>
        </is>
      </c>
      <c r="F23" s="155" t="inlineStr">
        <is>
          <t>Passed</t>
        </is>
      </c>
      <c r="G23" s="21" t="n">
        <v>136312</v>
      </c>
      <c r="H23" s="155" t="inlineStr">
        <is>
          <t>Pending</t>
        </is>
      </c>
      <c r="I23" s="21" t="n"/>
      <c r="J23" s="56" t="n"/>
    </row>
  </sheetData>
  <mergeCells count="7">
    <mergeCell ref="B6:C6"/>
    <mergeCell ref="B7:C7"/>
    <mergeCell ref="B2:F2"/>
    <mergeCell ref="B3:C3"/>
    <mergeCell ref="B5:C5"/>
    <mergeCell ref="B8:C8"/>
    <mergeCell ref="B4:C4"/>
  </mergeCells>
  <conditionalFormatting sqref="D3">
    <cfRule type="expression" priority="65" dxfId="51" stopIfTrue="1">
      <formula>AND(COUNTIF($A$8:$A$9, D3)+COUNTIF(#REF!, D3)&gt;1,NOT(ISBLANK(D3)))</formula>
    </cfRule>
  </conditionalFormatting>
  <conditionalFormatting sqref="D4">
    <cfRule type="cellIs" priority="64" operator="lessThan" dxfId="10" stopIfTrue="1">
      <formula>1</formula>
    </cfRule>
  </conditionalFormatting>
  <conditionalFormatting sqref="D4:D8">
    <cfRule type="cellIs" priority="55" operator="greaterThan" dxfId="9" stopIfTrue="1">
      <formula>0</formula>
    </cfRule>
    <cfRule type="cellIs" priority="56" operator="greaterThan" dxfId="9" stopIfTrue="1">
      <formula>1</formula>
    </cfRule>
    <cfRule type="cellIs" priority="57" operator="greaterThan" dxfId="10" stopIfTrue="1">
      <formula>0</formula>
    </cfRule>
    <cfRule type="cellIs" priority="58" operator="greaterThan" dxfId="10" stopIfTrue="1">
      <formula>1</formula>
    </cfRule>
    <cfRule type="cellIs" priority="61" operator="equal" dxfId="9" stopIfTrue="1">
      <formula>$C$3</formula>
    </cfRule>
  </conditionalFormatting>
  <conditionalFormatting sqref="D5">
    <cfRule type="cellIs" priority="16" operator="lessThan" dxfId="10" stopIfTrue="1">
      <formula>1</formula>
    </cfRule>
  </conditionalFormatting>
  <conditionalFormatting sqref="D5:E8">
    <cfRule type="cellIs" priority="20" operator="lessThan" dxfId="10" stopIfTrue="1">
      <formula>1</formula>
    </cfRule>
  </conditionalFormatting>
  <conditionalFormatting sqref="E4">
    <cfRule type="cellIs" priority="50" operator="equal" dxfId="9" stopIfTrue="1">
      <formula>1</formula>
    </cfRule>
    <cfRule type="cellIs" priority="51" operator="lessThan" dxfId="10" stopIfTrue="1">
      <formula>1</formula>
    </cfRule>
  </conditionalFormatting>
  <conditionalFormatting sqref="E5:E8">
    <cfRule type="cellIs" priority="17" operator="equal" dxfId="9" stopIfTrue="1">
      <formula>1</formula>
    </cfRule>
    <cfRule type="cellIs" priority="18" operator="lessThan" dxfId="10" stopIfTrue="1">
      <formula>1</formula>
    </cfRule>
    <cfRule type="cellIs" priority="19" operator="equal" dxfId="9" stopIfTrue="1">
      <formula>1</formula>
    </cfRule>
  </conditionalFormatting>
  <conditionalFormatting sqref="E4:F4">
    <cfRule type="cellIs" priority="42" operator="equal" dxfId="9" stopIfTrue="1">
      <formula>1</formula>
    </cfRule>
    <cfRule type="cellIs" priority="43" operator="lessThan" dxfId="10" stopIfTrue="1">
      <formula>1</formula>
    </cfRule>
  </conditionalFormatting>
  <conditionalFormatting sqref="F4">
    <cfRule type="cellIs" priority="40" operator="equal" dxfId="9" stopIfTrue="1">
      <formula>1</formula>
    </cfRule>
    <cfRule type="cellIs" priority="41" operator="lessThan" dxfId="10" stopIfTrue="1">
      <formula>1</formula>
    </cfRule>
  </conditionalFormatting>
  <conditionalFormatting sqref="F5">
    <cfRule type="cellIs" priority="36" operator="greaterThan" dxfId="10" stopIfTrue="1">
      <formula>0</formula>
    </cfRule>
    <cfRule type="cellIs" priority="37" operator="equal" dxfId="9" stopIfTrue="1">
      <formula>0</formula>
    </cfRule>
    <cfRule type="cellIs" priority="38" operator="greaterThan" dxfId="10" stopIfTrue="1">
      <formula>0</formula>
    </cfRule>
    <cfRule type="cellIs" priority="39" operator="equal" dxfId="9" stopIfTrue="1">
      <formula>0</formula>
    </cfRule>
  </conditionalFormatting>
  <conditionalFormatting sqref="F6">
    <cfRule type="cellIs" priority="34" operator="equal" dxfId="9" stopIfTrue="1">
      <formula>0</formula>
    </cfRule>
    <cfRule type="cellIs" priority="35" operator="greaterThan" dxfId="22" stopIfTrue="1">
      <formula>0</formula>
    </cfRule>
  </conditionalFormatting>
  <conditionalFormatting sqref="F6:F7">
    <cfRule type="cellIs" priority="30" operator="equal" dxfId="9" stopIfTrue="1">
      <formula>0</formula>
    </cfRule>
    <cfRule type="cellIs" priority="31" operator="greaterThan" dxfId="22" stopIfTrue="1">
      <formula>0</formula>
    </cfRule>
  </conditionalFormatting>
  <conditionalFormatting sqref="F7:F8">
    <cfRule type="cellIs" priority="26" operator="equal" dxfId="9" stopIfTrue="1">
      <formula>0</formula>
    </cfRule>
    <cfRule type="cellIs" priority="27" operator="greaterThan" dxfId="22" stopIfTrue="1">
      <formula>0</formula>
    </cfRule>
  </conditionalFormatting>
  <conditionalFormatting sqref="F8">
    <cfRule type="cellIs" priority="24" operator="equal" dxfId="9" stopIfTrue="1">
      <formula>0</formula>
    </cfRule>
    <cfRule type="cellIs" priority="25" operator="greaterThan" dxfId="22" stopIfTrue="1">
      <formula>0</formula>
    </cfRule>
  </conditionalFormatting>
  <conditionalFormatting sqref="F10:F23">
    <cfRule type="cellIs" priority="66" operator="equal" dxfId="6" stopIfTrue="1">
      <formula>"NA"</formula>
    </cfRule>
    <cfRule type="cellIs" priority="67" operator="equal" dxfId="5" stopIfTrue="1">
      <formula>"Blocked"</formula>
    </cfRule>
    <cfRule type="cellIs" priority="68" operator="equal" dxfId="4" stopIfTrue="1">
      <formula>"Pending"</formula>
    </cfRule>
    <cfRule type="cellIs" priority="69" operator="equal" dxfId="0" stopIfTrue="1">
      <formula>"Passed"</formula>
    </cfRule>
    <cfRule type="cellIs" priority="70" operator="equal" dxfId="1" stopIfTrue="1">
      <formula>"Failed"</formula>
    </cfRule>
    <cfRule type="cellIs" priority="71" operator="equal" dxfId="1" stopIfTrue="1">
      <formula>"Fail"</formula>
    </cfRule>
    <cfRule type="cellIs" priority="72" operator="equal" dxfId="0" stopIfTrue="1">
      <formula>"Pass"</formula>
    </cfRule>
  </conditionalFormatting>
  <conditionalFormatting sqref="G5:G8">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0:H23">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23" showDropDown="0" showInputMessage="1" showErrorMessage="1" allowBlank="1" type="list">
      <formula1>"Passed,Failed,Blocked,Pending,NA"</formula1>
    </dataValidation>
    <dataValidation sqref="H10:H23"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B2:J29"/>
  <sheetViews>
    <sheetView showGridLines="0" workbookViewId="0">
      <selection activeCell="G12" sqref="G12"/>
    </sheetView>
  </sheetViews>
  <sheetFormatPr baseColWidth="8" defaultRowHeight="15"/>
  <cols>
    <col width="9.140625" customWidth="1" style="89" min="1" max="1"/>
    <col width="11.28515625" customWidth="1" style="89" min="2" max="2"/>
    <col width="32" bestFit="1" customWidth="1" style="89" min="3" max="3"/>
    <col width="49.5703125" customWidth="1" style="89" min="4" max="4"/>
    <col width="38.140625" customWidth="1" style="89" min="5" max="5"/>
    <col width="15.42578125" customWidth="1" style="89" min="6" max="6"/>
    <col width="17" customWidth="1" style="89" min="7" max="7"/>
    <col width="21.42578125" customWidth="1" style="89" min="8" max="8"/>
    <col width="17" customWidth="1" style="89" min="9" max="9"/>
    <col width="12.28515625" customWidth="1" min="10" max="10"/>
  </cols>
  <sheetData>
    <row r="1" ht="15.75" customHeight="1" thickBot="1"/>
    <row r="2" ht="15.75" customHeight="1" thickBot="1">
      <c r="B2" s="352" t="inlineStr">
        <is>
          <t>Test Case Summary</t>
        </is>
      </c>
      <c r="C2" s="389" t="n"/>
      <c r="D2" s="389" t="n"/>
      <c r="E2" s="389" t="n"/>
      <c r="F2" s="390" t="n"/>
      <c r="G2" s="153" t="n"/>
    </row>
    <row r="3" ht="18.75" customHeight="1" thickBot="1">
      <c r="B3" s="352" t="inlineStr">
        <is>
          <t xml:space="preserve">Total Test Cases </t>
        </is>
      </c>
      <c r="C3" s="391" t="n"/>
      <c r="D3" s="352" t="inlineStr">
        <is>
          <t>1st Iteration</t>
        </is>
      </c>
      <c r="E3" s="352" t="inlineStr">
        <is>
          <t>Executed Tests</t>
        </is>
      </c>
      <c r="F3" s="352" t="inlineStr">
        <is>
          <t>Total Tests</t>
        </is>
      </c>
      <c r="G3" s="392" t="inlineStr">
        <is>
          <t>Automation Scripts</t>
        </is>
      </c>
    </row>
    <row r="4" ht="15.75" customHeight="1" thickBot="1">
      <c r="B4" s="393" t="n"/>
      <c r="C4" s="394" t="n"/>
      <c r="D4" s="47">
        <f>SUM(D5:D9)</f>
        <v/>
      </c>
      <c r="E4" s="395" t="n"/>
      <c r="F4" s="395" t="n"/>
      <c r="G4" s="396" t="n"/>
    </row>
    <row r="5" ht="15.75" customHeight="1" thickBot="1">
      <c r="B5" s="350" t="inlineStr">
        <is>
          <t>Passed</t>
        </is>
      </c>
      <c r="D5" s="52">
        <f>COUNTIF(F11:F273,"Passed")</f>
        <v/>
      </c>
      <c r="E5" s="53">
        <f>IF(D5=0,,(D5/(D5+D6)))</f>
        <v/>
      </c>
      <c r="F5" s="51">
        <f>IF(D4=0,,(D5/D4))</f>
        <v/>
      </c>
      <c r="G5" s="156">
        <f>COUNTIF(H11:H494,"Done")</f>
        <v/>
      </c>
    </row>
    <row r="6" ht="15.75" customHeight="1" thickBot="1">
      <c r="B6" s="350" t="inlineStr">
        <is>
          <t>Failed</t>
        </is>
      </c>
      <c r="D6" s="52">
        <f>COUNTIF(F11:F273,"Failed")</f>
        <v/>
      </c>
      <c r="E6" s="53">
        <f>IF(D6=0,,(D6/(D6+D7)))</f>
        <v/>
      </c>
      <c r="F6" s="51">
        <f>IF(D4=0,,(D6/D4))</f>
        <v/>
      </c>
      <c r="G6" s="52">
        <f>COUNTIF(H11:H494,"Failed")</f>
        <v/>
      </c>
    </row>
    <row r="7" ht="15.75" customHeight="1" thickBot="1">
      <c r="B7" s="350" t="inlineStr">
        <is>
          <t>Blocked</t>
        </is>
      </c>
      <c r="D7" s="52">
        <f>COUNTIF(F11:F273,"Blocked")</f>
        <v/>
      </c>
      <c r="E7" s="53">
        <f>IF(D7=0,,(D7/(D7+D8)))</f>
        <v/>
      </c>
      <c r="F7" s="51">
        <f>IF(D4=0,,(D7/D4))</f>
        <v/>
      </c>
      <c r="G7" s="52">
        <f>COUNTIF(H11:H494,"Blocked")</f>
        <v/>
      </c>
    </row>
    <row r="8" ht="15.75" customHeight="1" thickBot="1">
      <c r="B8" s="350" t="inlineStr">
        <is>
          <t>Pending</t>
        </is>
      </c>
      <c r="D8" s="52">
        <f>COUNTIF(F11:F273,"Pending")</f>
        <v/>
      </c>
      <c r="E8" s="53">
        <f>IF(D8=0,,(D8/(D8+D9)))</f>
        <v/>
      </c>
      <c r="F8" s="51">
        <f>IF(D4=0,,(D8/D4))</f>
        <v/>
      </c>
      <c r="G8" s="52">
        <f>COUNTIF(H11:H494,"Pending")</f>
        <v/>
      </c>
    </row>
    <row r="9" ht="15.75" customHeight="1" thickBot="1">
      <c r="B9" s="350" t="inlineStr">
        <is>
          <t>Not Applicable</t>
        </is>
      </c>
      <c r="D9" s="52">
        <f>COUNTIF(F11:F273,"Not Applicable")</f>
        <v/>
      </c>
      <c r="E9" s="53">
        <f>IF(D9=0,,(D9/(D9+#REF!)))</f>
        <v/>
      </c>
      <c r="F9" s="51">
        <f>IF(D4=0,,(D9/D4))</f>
        <v/>
      </c>
      <c r="G9" s="52">
        <f>COUNTIF(H11:H494,"Out of Scope")</f>
        <v/>
      </c>
    </row>
    <row r="10" ht="15.75" customHeight="1" thickBot="1">
      <c r="B10" s="9" t="inlineStr">
        <is>
          <t>S.No.</t>
        </is>
      </c>
      <c r="C10" s="10" t="inlineStr">
        <is>
          <t>Module/Sub-Module</t>
        </is>
      </c>
      <c r="D10" s="10" t="inlineStr">
        <is>
          <t>Test Steps</t>
        </is>
      </c>
      <c r="E10" s="8" t="inlineStr">
        <is>
          <t>Expected Results</t>
        </is>
      </c>
      <c r="F10" s="8" t="inlineStr">
        <is>
          <t>Result</t>
        </is>
      </c>
      <c r="G10" s="2" t="inlineStr">
        <is>
          <t>Bug ID</t>
        </is>
      </c>
      <c r="H10" s="8" t="inlineStr">
        <is>
          <t>Automation Status</t>
        </is>
      </c>
      <c r="I10" s="8" t="inlineStr">
        <is>
          <t>Mapped Scripts</t>
        </is>
      </c>
      <c r="J10" s="2" t="inlineStr">
        <is>
          <t>Comments</t>
        </is>
      </c>
    </row>
    <row r="11" ht="24" customHeight="1">
      <c r="B11" s="129" t="inlineStr">
        <is>
          <t>Security_001</t>
        </is>
      </c>
      <c r="C11" s="13" t="inlineStr">
        <is>
          <t>Login Screen</t>
        </is>
      </c>
      <c r="D11" s="13" t="inlineStr">
        <is>
          <t>Enter alphabetic, numeric, and alphanumeric values in the First Name and Last Name fields.</t>
        </is>
      </c>
      <c r="E11" s="29" t="inlineStr">
        <is>
          <t>The entered values should be displayed in the fields.</t>
        </is>
      </c>
      <c r="F11" s="91" t="inlineStr">
        <is>
          <t>Pending</t>
        </is>
      </c>
      <c r="G11" s="3" t="n"/>
      <c r="H11" s="154" t="inlineStr">
        <is>
          <t>Pending</t>
        </is>
      </c>
      <c r="I11" s="149" t="n"/>
      <c r="J11" s="55" t="n">
        <v>0.25</v>
      </c>
    </row>
    <row r="12" ht="60.75" customHeight="1">
      <c r="B12" s="129" t="inlineStr">
        <is>
          <t>Security_002</t>
        </is>
      </c>
      <c r="C12" s="366" t="inlineStr">
        <is>
          <t>Login Screen</t>
        </is>
      </c>
      <c r="D12" s="13" t="inlineStr">
        <is>
          <t>Enter an email ID in the required format.</t>
        </is>
      </c>
      <c r="E12" s="29" t="inlineStr">
        <is>
          <t>A valid email ID format should be accepted.</t>
        </is>
      </c>
      <c r="F12" s="86" t="inlineStr">
        <is>
          <t>Pending</t>
        </is>
      </c>
      <c r="G12" s="3" t="n"/>
      <c r="H12" s="366" t="inlineStr">
        <is>
          <t>Pending</t>
        </is>
      </c>
      <c r="I12" s="149" t="n"/>
      <c r="J12" s="55" t="n">
        <v>0.25</v>
      </c>
    </row>
    <row r="13">
      <c r="B13" s="129" t="inlineStr">
        <is>
          <t>Security_003</t>
        </is>
      </c>
      <c r="C13" s="366" t="inlineStr">
        <is>
          <t>Login Screen</t>
        </is>
      </c>
      <c r="D13" s="13" t="inlineStr">
        <is>
          <t>Enter a Windows user ID in the User ID field.</t>
        </is>
      </c>
      <c r="E13" s="29" t="inlineStr">
        <is>
          <t>The user should be able to enter the User ID.</t>
        </is>
      </c>
      <c r="F13" s="86" t="inlineStr">
        <is>
          <t>Pending</t>
        </is>
      </c>
      <c r="G13" s="3" t="n"/>
      <c r="H13" s="366" t="inlineStr">
        <is>
          <t>Pending</t>
        </is>
      </c>
      <c r="I13" s="149" t="n"/>
      <c r="J13" s="55" t="n">
        <v>0.25</v>
      </c>
    </row>
    <row r="14" ht="36" customHeight="1">
      <c r="B14" s="129" t="inlineStr">
        <is>
          <t>Security_004</t>
        </is>
      </c>
      <c r="C14" s="366" t="inlineStr">
        <is>
          <t>Login Screen</t>
        </is>
      </c>
      <c r="D14" s="13" t="inlineStr">
        <is>
          <t>Enter a password with at least 8 characters, including one special character, one uppercase letter, one lowercase letter, and one number. Then enter the same value in the Confirm Password field.</t>
        </is>
      </c>
      <c r="E14" s="29" t="inlineStr">
        <is>
          <t>The password should meet the validation rules, and the values entered in the Password and Confirm Password fields should be masked.</t>
        </is>
      </c>
      <c r="F14" s="86" t="inlineStr">
        <is>
          <t>Pending</t>
        </is>
      </c>
      <c r="G14" s="3" t="n"/>
      <c r="H14" s="366" t="inlineStr">
        <is>
          <t>Pending</t>
        </is>
      </c>
      <c r="I14" s="149" t="n"/>
      <c r="J14" s="55" t="n">
        <v>0.25</v>
      </c>
    </row>
    <row r="15" ht="24" customHeight="1">
      <c r="B15" s="129" t="inlineStr">
        <is>
          <t>Security_005</t>
        </is>
      </c>
      <c r="C15" s="366" t="inlineStr">
        <is>
          <t>Login Screen</t>
        </is>
      </c>
      <c r="D15" s="81" t="inlineStr">
        <is>
          <t>1. Attempt login with the correct user ID and an incorrect password.
2. Attempt login with the correct password and an incorrect user ID.</t>
        </is>
      </c>
      <c r="E15" s="82" t="inlineStr">
        <is>
          <t>An "Incorrect password or username" message should be displayed.</t>
        </is>
      </c>
      <c r="F15" s="86" t="inlineStr">
        <is>
          <t>Pending</t>
        </is>
      </c>
      <c r="G15" s="3" t="n"/>
      <c r="H15" s="366" t="inlineStr">
        <is>
          <t>Pending</t>
        </is>
      </c>
      <c r="I15" s="149" t="n"/>
      <c r="J15" s="55" t="n">
        <v>0.5</v>
      </c>
    </row>
    <row r="16">
      <c r="B16" s="129" t="inlineStr">
        <is>
          <t>Security_006</t>
        </is>
      </c>
      <c r="C16" s="366" t="inlineStr">
        <is>
          <t>Login Screen</t>
        </is>
      </c>
      <c r="D16" s="81" t="inlineStr">
        <is>
          <t>Attempt login with an email ID from an invalid domain.</t>
        </is>
      </c>
      <c r="E16" s="82" t="inlineStr">
        <is>
          <t>The system should not accept the unsupported domain.</t>
        </is>
      </c>
      <c r="F16" s="86" t="inlineStr">
        <is>
          <t>Pending</t>
        </is>
      </c>
      <c r="G16" s="3" t="n"/>
      <c r="H16" s="366" t="inlineStr">
        <is>
          <t>Pending</t>
        </is>
      </c>
      <c r="I16" s="149" t="n"/>
      <c r="J16" s="55" t="n">
        <v>0.5</v>
      </c>
    </row>
    <row r="17" ht="24" customHeight="1">
      <c r="B17" s="129" t="inlineStr">
        <is>
          <t>Security_007</t>
        </is>
      </c>
      <c r="C17" s="366" t="inlineStr">
        <is>
          <t>Login Screen</t>
        </is>
      </c>
      <c r="D17" s="81" t="inlineStr">
        <is>
          <t>Enter an incorrect email ID in the Forgot Password flow. Then verify the behavior when the old password is used in the Reset Password window.</t>
        </is>
      </c>
      <c r="E17" s="82" t="inlineStr">
        <is>
          <t>No reset email should be received, and the user should be prompted to set a new password.</t>
        </is>
      </c>
      <c r="F17" s="86" t="inlineStr">
        <is>
          <t>Pending</t>
        </is>
      </c>
      <c r="G17" s="3" t="n"/>
      <c r="H17" s="366" t="inlineStr">
        <is>
          <t>Out of Scope</t>
        </is>
      </c>
      <c r="I17" s="149" t="n"/>
      <c r="J17" s="55" t="n"/>
    </row>
    <row r="18" ht="25.5" customHeight="1">
      <c r="B18" s="129" t="inlineStr">
        <is>
          <t>Security_008</t>
        </is>
      </c>
      <c r="C18" s="366" t="inlineStr">
        <is>
          <t>Login Screen</t>
        </is>
      </c>
      <c r="D18" s="366" t="inlineStr">
        <is>
          <t>Attempt to copy and paste data into the email and password fields.</t>
        </is>
      </c>
      <c r="E18" s="366" t="inlineStr">
        <is>
          <t>The user should not be allowed to paste data into these fields.</t>
        </is>
      </c>
      <c r="F18" s="86" t="inlineStr">
        <is>
          <t>Pending</t>
        </is>
      </c>
      <c r="G18" s="3" t="n"/>
      <c r="H18" s="366" t="inlineStr">
        <is>
          <t>Pending</t>
        </is>
      </c>
      <c r="I18" s="149" t="n"/>
      <c r="J18" s="55" t="n">
        <v>0.5</v>
      </c>
    </row>
    <row r="19" ht="25.5" customHeight="1">
      <c r="B19" s="129" t="inlineStr">
        <is>
          <t>Security_009</t>
        </is>
      </c>
      <c r="C19" s="366" t="inlineStr">
        <is>
          <t>Login Screen</t>
        </is>
      </c>
      <c r="D19" s="366" t="inlineStr">
        <is>
          <t>Attempt to log in with an unapproved account.</t>
        </is>
      </c>
      <c r="E19" s="366" t="inlineStr">
        <is>
          <t>The user should receive a message stating that the account has not been approved.</t>
        </is>
      </c>
      <c r="F19" s="86" t="inlineStr">
        <is>
          <t>Pending</t>
        </is>
      </c>
      <c r="G19" s="3" t="n"/>
      <c r="H19" s="366" t="inlineStr">
        <is>
          <t>Pending</t>
        </is>
      </c>
      <c r="I19" s="149" t="n"/>
      <c r="J19" s="55" t="n">
        <v>1</v>
      </c>
    </row>
    <row r="20" ht="51" customHeight="1">
      <c r="B20" s="129" t="inlineStr">
        <is>
          <t>Security_010</t>
        </is>
      </c>
      <c r="C20" s="366" t="inlineStr">
        <is>
          <t>Group Access</t>
        </is>
      </c>
      <c r="D20" s="366" t="inlineStr">
        <is>
          <t>Provide a user with access to limited groups and log in with that user. Then view data in Existing Customers, Models, and Reports.</t>
        </is>
      </c>
      <c r="E20" s="366" t="inlineStr">
        <is>
          <t>The user should see data only for the assigned groups. Data for other groups should not be visible.</t>
        </is>
      </c>
      <c r="F20" s="86" t="inlineStr">
        <is>
          <t>Pending</t>
        </is>
      </c>
      <c r="G20" s="3" t="n"/>
      <c r="H20" s="366" t="inlineStr">
        <is>
          <t>Pending</t>
        </is>
      </c>
      <c r="I20" s="149" t="n"/>
      <c r="J20" s="55" t="n">
        <v>1</v>
      </c>
    </row>
    <row r="21" ht="38.25" customHeight="1">
      <c r="B21" s="129" t="inlineStr">
        <is>
          <t>Security_011</t>
        </is>
      </c>
      <c r="C21" s="366" t="inlineStr">
        <is>
          <t>Group Access</t>
        </is>
      </c>
      <c r="D21" s="366" t="inlineStr">
        <is>
          <t>Provide a user with access to limited groups and log in with that user. Then go to Statement Export and review the customer and model lists.</t>
        </is>
      </c>
      <c r="E21" s="366" t="inlineStr">
        <is>
          <t>Only customers and models linked to the accessible groups should be displayed.</t>
        </is>
      </c>
      <c r="F21" s="86" t="inlineStr">
        <is>
          <t>Pending</t>
        </is>
      </c>
      <c r="G21" s="3" t="n"/>
      <c r="H21" s="366" t="inlineStr">
        <is>
          <t>Pending</t>
        </is>
      </c>
      <c r="I21" s="149" t="n"/>
      <c r="J21" s="3" t="n">
        <v>1</v>
      </c>
    </row>
    <row r="22" ht="60" customHeight="1">
      <c r="B22" s="129" t="inlineStr">
        <is>
          <t>Security_012</t>
        </is>
      </c>
      <c r="C22" s="366" t="inlineStr">
        <is>
          <t>Admin</t>
        </is>
      </c>
      <c r="D22" s="366" t="inlineStr">
        <is>
          <t>Verify that an Admin user can access the features defined for the role in the role matrix.</t>
        </is>
      </c>
      <c r="E22" s="366" t="inlineStr">
        <is>
          <t>The Admin user should have access according to the configured role matrix.</t>
        </is>
      </c>
      <c r="F22" s="86" t="inlineStr">
        <is>
          <t>Pending</t>
        </is>
      </c>
      <c r="G22" s="89" t="n">
        <v>70778</v>
      </c>
      <c r="H22" s="366" t="inlineStr">
        <is>
          <t>Pending</t>
        </is>
      </c>
      <c r="I22" s="157" t="n">
        <v>2</v>
      </c>
      <c r="J22" s="106" t="inlineStr">
        <is>
          <t>..\Downloads\Roles and Rights Sample.docx</t>
        </is>
      </c>
    </row>
    <row r="23" ht="25.5" customHeight="1">
      <c r="B23" s="129" t="inlineStr">
        <is>
          <t>Security_013</t>
        </is>
      </c>
      <c r="C23" s="366" t="inlineStr">
        <is>
          <t>Manager</t>
        </is>
      </c>
      <c r="D23" s="366" t="inlineStr">
        <is>
          <t>Verify that a Manager user can access the features defined for the role in the role matrix.</t>
        </is>
      </c>
      <c r="E23" s="366" t="inlineStr">
        <is>
          <t>The Manager user should have access according to the configured role matrix.</t>
        </is>
      </c>
      <c r="F23" s="86" t="inlineStr">
        <is>
          <t>Pending</t>
        </is>
      </c>
      <c r="G23" s="5" t="n"/>
      <c r="H23" s="366" t="inlineStr">
        <is>
          <t>Pending</t>
        </is>
      </c>
      <c r="I23" s="158" t="n"/>
      <c r="J23" s="120" t="n">
        <v>2</v>
      </c>
    </row>
    <row r="24" ht="25.5" customHeight="1">
      <c r="B24" s="129" t="inlineStr">
        <is>
          <t>Security_014</t>
        </is>
      </c>
      <c r="C24" s="366" t="inlineStr">
        <is>
          <t>Global Manager</t>
        </is>
      </c>
      <c r="D24" s="366" t="inlineStr">
        <is>
          <t>Verify that a Global Manager user can access the features defined for the role in the role matrix.</t>
        </is>
      </c>
      <c r="E24" s="366" t="inlineStr">
        <is>
          <t>The Global Manager user should have access according to the configured role matrix.</t>
        </is>
      </c>
      <c r="F24" s="86" t="inlineStr">
        <is>
          <t>Pending</t>
        </is>
      </c>
      <c r="G24" s="5" t="n"/>
      <c r="H24" s="366" t="inlineStr">
        <is>
          <t>Pending</t>
        </is>
      </c>
      <c r="I24" s="158" t="n"/>
      <c r="J24" s="120" t="n">
        <v>2</v>
      </c>
    </row>
    <row r="25" ht="25.5" customHeight="1">
      <c r="B25" s="129" t="inlineStr">
        <is>
          <t>Security_015</t>
        </is>
      </c>
      <c r="C25" s="366" t="inlineStr">
        <is>
          <t>Analyst</t>
        </is>
      </c>
      <c r="D25" s="366" t="inlineStr">
        <is>
          <t>Verify that an Analyst user can access the features defined for the role in the role matrix.</t>
        </is>
      </c>
      <c r="E25" s="366" t="inlineStr">
        <is>
          <t>The Analyst user should have access according to the configured role matrix.</t>
        </is>
      </c>
      <c r="F25" s="86" t="inlineStr">
        <is>
          <t>Pending</t>
        </is>
      </c>
      <c r="G25" s="5" t="n"/>
      <c r="H25" s="366" t="inlineStr">
        <is>
          <t>Pending</t>
        </is>
      </c>
      <c r="I25" s="158" t="n"/>
      <c r="J25" s="120" t="n">
        <v>2</v>
      </c>
    </row>
    <row r="26" ht="36" customHeight="1">
      <c r="B26" s="129" t="inlineStr">
        <is>
          <t>Security_016</t>
        </is>
      </c>
      <c r="C26" s="14" t="inlineStr">
        <is>
          <t>Login Screen</t>
        </is>
      </c>
      <c r="D26" s="14" t="inlineStr">
        <is>
          <t>Attempt to log in with an inactive user account.</t>
        </is>
      </c>
      <c r="E26" s="14" t="inlineStr">
        <is>
          <t>The user should not be able to log in and should receive the message "Your account has not been approved."</t>
        </is>
      </c>
      <c r="F26" s="86" t="inlineStr">
        <is>
          <t>Pending</t>
        </is>
      </c>
      <c r="G26" s="5" t="inlineStr">
        <is>
          <t>Newly added</t>
        </is>
      </c>
      <c r="H26" s="366" t="inlineStr">
        <is>
          <t>Pending</t>
        </is>
      </c>
      <c r="I26" s="158" t="n"/>
      <c r="J26" s="120" t="n">
        <v>1</v>
      </c>
    </row>
    <row r="27" ht="36" customHeight="1">
      <c r="B27" s="129" t="inlineStr">
        <is>
          <t>Security_017</t>
        </is>
      </c>
      <c r="C27" s="14" t="inlineStr">
        <is>
          <t>Login Screen</t>
        </is>
      </c>
      <c r="D27" s="14" t="inlineStr">
        <is>
          <t>Attempt to log in with a rejected user account.</t>
        </is>
      </c>
      <c r="E27" s="14" t="inlineStr">
        <is>
          <t>The user should not be able to log in and should receive the message "Your account has not been approved."</t>
        </is>
      </c>
      <c r="F27" s="86" t="inlineStr">
        <is>
          <t>Pending</t>
        </is>
      </c>
      <c r="G27" s="5" t="inlineStr">
        <is>
          <t>Newly added</t>
        </is>
      </c>
      <c r="H27" s="366" t="inlineStr">
        <is>
          <t>Pending</t>
        </is>
      </c>
      <c r="I27" s="158" t="n"/>
      <c r="J27" s="120" t="n">
        <v>1</v>
      </c>
    </row>
    <row r="28" ht="24" customHeight="1">
      <c r="B28" s="129" t="inlineStr">
        <is>
          <t>Security_018</t>
        </is>
      </c>
      <c r="C28" s="14" t="inlineStr">
        <is>
          <t>Login Screen</t>
        </is>
      </c>
      <c r="D28" s="14" t="inlineStr">
        <is>
          <t>Log in to Spreadsmart. While the session is active, have another user reject or deactivate the account.</t>
        </is>
      </c>
      <c r="E28" s="14" t="inlineStr">
        <is>
          <t>The current user should be able to continue working until the session expires.</t>
        </is>
      </c>
      <c r="F28" s="86" t="inlineStr">
        <is>
          <t>Pending</t>
        </is>
      </c>
      <c r="G28" s="5" t="inlineStr">
        <is>
          <t>Newly added</t>
        </is>
      </c>
      <c r="H28" s="366" t="inlineStr">
        <is>
          <t>Out of Scope</t>
        </is>
      </c>
      <c r="I28" s="158" t="n"/>
      <c r="J28" s="397" t="inlineStr">
        <is>
          <t>multiple session in parallel is not supported in cypress</t>
        </is>
      </c>
    </row>
    <row r="29" ht="24.75" customHeight="1" thickBot="1">
      <c r="B29" s="130" t="inlineStr">
        <is>
          <t>Security_019</t>
        </is>
      </c>
      <c r="C29" s="131" t="inlineStr">
        <is>
          <t>Access Issue</t>
        </is>
      </c>
      <c r="D29" s="131" t="inlineStr">
        <is>
          <t>Log in to Spreadsmart. While the session is active, have another user change the access from Admin to Manager or another role.</t>
        </is>
      </c>
      <c r="E29" s="131" t="inlineStr">
        <is>
          <t>The current user should be able to continue working until the session expires.</t>
        </is>
      </c>
      <c r="F29" s="135" t="inlineStr">
        <is>
          <t>Pending</t>
        </is>
      </c>
      <c r="G29" s="121" t="inlineStr">
        <is>
          <t>Newly added</t>
        </is>
      </c>
      <c r="H29" s="155" t="inlineStr">
        <is>
          <t>Out of Scope</t>
        </is>
      </c>
      <c r="I29" s="159" t="n"/>
      <c r="J29" s="398" t="n"/>
    </row>
  </sheetData>
  <mergeCells count="11">
    <mergeCell ref="B6:C6"/>
    <mergeCell ref="B7:C7"/>
    <mergeCell ref="B2:F2"/>
    <mergeCell ref="B5:C5"/>
    <mergeCell ref="G3:G4"/>
    <mergeCell ref="E3:E4"/>
    <mergeCell ref="J28:J29"/>
    <mergeCell ref="F3:F4"/>
    <mergeCell ref="B9:C9"/>
    <mergeCell ref="B8:C8"/>
    <mergeCell ref="B3:C4"/>
  </mergeCells>
  <conditionalFormatting sqref="D4">
    <cfRule type="expression" priority="37" dxfId="51" stopIfTrue="1">
      <formula>AND(COUNTIF(#REF!, D4)+COUNTIF(#REF!, D4)&gt;1,NOT(ISBLANK(D4)))</formula>
    </cfRule>
  </conditionalFormatting>
  <conditionalFormatting sqref="D5">
    <cfRule type="cellIs" priority="36" operator="lessThan" dxfId="10" stopIfTrue="1">
      <formula>1</formula>
    </cfRule>
  </conditionalFormatting>
  <conditionalFormatting sqref="D5:D9">
    <cfRule type="cellIs" priority="31" operator="greaterThan" dxfId="9" stopIfTrue="1">
      <formula>0</formula>
    </cfRule>
    <cfRule type="cellIs" priority="32" operator="greaterThan" dxfId="9" stopIfTrue="1">
      <formula>1</formula>
    </cfRule>
    <cfRule type="cellIs" priority="33" operator="greaterThan" dxfId="10" stopIfTrue="1">
      <formula>0</formula>
    </cfRule>
    <cfRule type="cellIs" priority="34" operator="greaterThan" dxfId="10" stopIfTrue="1">
      <formula>1</formula>
    </cfRule>
    <cfRule type="cellIs" priority="35" operator="equal" dxfId="9" stopIfTrue="1">
      <formula>$C$5</formula>
    </cfRule>
  </conditionalFormatting>
  <conditionalFormatting sqref="D6:E9">
    <cfRule type="cellIs" priority="19" operator="lessThan" dxfId="10" stopIfTrue="1">
      <formula>1</formula>
    </cfRule>
  </conditionalFormatting>
  <conditionalFormatting sqref="E5">
    <cfRule type="cellIs" priority="21" operator="lessThan" dxfId="10" stopIfTrue="1">
      <formula>1</formula>
    </cfRule>
  </conditionalFormatting>
  <conditionalFormatting sqref="E5:E9">
    <cfRule type="cellIs" priority="18" operator="equal" dxfId="9" stopIfTrue="1">
      <formula>1</formula>
    </cfRule>
  </conditionalFormatting>
  <conditionalFormatting sqref="E6:E9">
    <cfRule type="cellIs" priority="16" operator="equal" dxfId="9" stopIfTrue="1">
      <formula>1</formula>
    </cfRule>
    <cfRule type="cellIs" priority="17" operator="lessThan" dxfId="10" stopIfTrue="1">
      <formula>1</formula>
    </cfRule>
  </conditionalFormatting>
  <conditionalFormatting sqref="E5:F5">
    <cfRule type="cellIs" priority="22" operator="equal" dxfId="9" stopIfTrue="1">
      <formula>1</formula>
    </cfRule>
    <cfRule type="cellIs" priority="23" operator="lessThan" dxfId="10" stopIfTrue="1">
      <formula>1</formula>
    </cfRule>
  </conditionalFormatting>
  <conditionalFormatting sqref="F5">
    <cfRule type="cellIs" priority="56" operator="equal" dxfId="9" stopIfTrue="1">
      <formula>1</formula>
    </cfRule>
    <cfRule type="cellIs" priority="57" operator="lessThan" dxfId="10" stopIfTrue="1">
      <formula>1</formula>
    </cfRule>
  </conditionalFormatting>
  <conditionalFormatting sqref="F6">
    <cfRule type="cellIs" priority="50" operator="greaterThan" dxfId="10" stopIfTrue="1">
      <formula>0</formula>
    </cfRule>
    <cfRule type="cellIs" priority="51" operator="equal" dxfId="9" stopIfTrue="1">
      <formula>0</formula>
    </cfRule>
    <cfRule type="cellIs" priority="52" operator="greaterThan" dxfId="10" stopIfTrue="1">
      <formula>0</formula>
    </cfRule>
    <cfRule type="cellIs" priority="53" operator="equal" dxfId="9" stopIfTrue="1">
      <formula>0</formula>
    </cfRule>
  </conditionalFormatting>
  <conditionalFormatting sqref="F7">
    <cfRule type="cellIs" priority="48" operator="equal" dxfId="9" stopIfTrue="1">
      <formula>0</formula>
    </cfRule>
    <cfRule type="cellIs" priority="49" operator="greaterThan" dxfId="22" stopIfTrue="1">
      <formula>0</formula>
    </cfRule>
  </conditionalFormatting>
  <conditionalFormatting sqref="F7:F8">
    <cfRule type="cellIs" priority="44" operator="equal" dxfId="9" stopIfTrue="1">
      <formula>0</formula>
    </cfRule>
    <cfRule type="cellIs" priority="45" operator="greaterThan" dxfId="22" stopIfTrue="1">
      <formula>0</formula>
    </cfRule>
  </conditionalFormatting>
  <conditionalFormatting sqref="F8:F9">
    <cfRule type="cellIs" priority="40" operator="equal" dxfId="9" stopIfTrue="1">
      <formula>0</formula>
    </cfRule>
    <cfRule type="cellIs" priority="41" operator="greaterThan" dxfId="22" stopIfTrue="1">
      <formula>0</formula>
    </cfRule>
  </conditionalFormatting>
  <conditionalFormatting sqref="F9">
    <cfRule type="cellIs" priority="38" operator="equal" dxfId="9" stopIfTrue="1">
      <formula>0</formula>
    </cfRule>
    <cfRule type="cellIs" priority="39" operator="greaterThan" dxfId="22" stopIfTrue="1">
      <formula>0</formula>
    </cfRule>
  </conditionalFormatting>
  <conditionalFormatting sqref="F11:F29">
    <cfRule type="cellIs" priority="58" operator="equal" dxfId="6" stopIfTrue="1">
      <formula>"NA"</formula>
    </cfRule>
    <cfRule type="cellIs" priority="59" operator="equal" dxfId="5" stopIfTrue="1">
      <formula>"Blocked"</formula>
    </cfRule>
    <cfRule type="cellIs" priority="60" operator="equal" dxfId="4" stopIfTrue="1">
      <formula>"Pending"</formula>
    </cfRule>
    <cfRule type="cellIs" priority="61" operator="equal" dxfId="0" stopIfTrue="1">
      <formula>"Passed"</formula>
    </cfRule>
    <cfRule type="cellIs" priority="62" operator="equal" dxfId="1" stopIfTrue="1">
      <formula>"Failed"</formula>
    </cfRule>
    <cfRule type="cellIs" priority="63" operator="equal" dxfId="1" stopIfTrue="1">
      <formula>"Fail"</formula>
    </cfRule>
    <cfRule type="cellIs" priority="64" operator="equal" dxfId="0" stopIfTrue="1">
      <formula>"Pass"</formula>
    </cfRule>
  </conditionalFormatting>
  <conditionalFormatting sqref="G6:G9">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1:H29">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1:F29" showDropDown="0" showInputMessage="1" showErrorMessage="1" allowBlank="1" type="list">
      <formula1>"Passed,Failed,Blocked,Pending,NA"</formula1>
    </dataValidation>
    <dataValidation sqref="H11:H29" showDropDown="0" showInputMessage="1" showErrorMessage="1" allowBlank="1" type="list">
      <formula1>"Done,Blocked,Pending,Out of Scope"</formula1>
    </dataValidation>
  </dataValidations>
  <hyperlinks>
    <hyperlink xmlns:r="http://schemas.openxmlformats.org/officeDocument/2006/relationships" ref="J22" r:id="rId1"/>
  </hyperlink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J26"/>
  <sheetViews>
    <sheetView showGridLines="0" workbookViewId="0">
      <selection activeCell="G13" sqref="G13"/>
    </sheetView>
  </sheetViews>
  <sheetFormatPr baseColWidth="8" defaultRowHeight="15"/>
  <cols>
    <col width="5" customWidth="1" min="1" max="1"/>
    <col width="25.85546875" customWidth="1" style="6" min="3" max="3"/>
    <col width="47.85546875" customWidth="1" style="4" min="4" max="4"/>
    <col width="44.7109375" customWidth="1" style="6" min="5" max="5"/>
    <col width="14.5703125" customWidth="1" min="7" max="7"/>
    <col width="19.5703125" customWidth="1" min="8" max="8"/>
    <col width="14.5703125" customWidth="1" min="9"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COUNTIF(F9:F46,"Passed")</f>
        <v/>
      </c>
      <c r="E4" s="53">
        <f>IF(D4=0,,(D4/(D4+D5)))</f>
        <v/>
      </c>
      <c r="F4" s="51">
        <f>IF(D3=0,,(D4/D3))</f>
        <v/>
      </c>
      <c r="G4" s="156">
        <f>COUNTIF(H10:H489,"Done")</f>
        <v/>
      </c>
    </row>
    <row r="5" ht="15.75" customHeight="1" thickBot="1">
      <c r="B5" s="350" t="inlineStr">
        <is>
          <t>Failed</t>
        </is>
      </c>
      <c r="D5" s="52">
        <f>COUNTIF(F9:F46,"Failed")</f>
        <v/>
      </c>
      <c r="E5" s="53">
        <f>IF(D5=0,,(D5/(D5+D6)))</f>
        <v/>
      </c>
      <c r="F5" s="51">
        <f>IF(D3=0,,(D5/D3))</f>
        <v/>
      </c>
      <c r="G5" s="52">
        <f>COUNTIF(H10:H489,"Failed")</f>
        <v/>
      </c>
    </row>
    <row r="6" ht="15.75" customHeight="1" thickBot="1">
      <c r="B6" s="350" t="inlineStr">
        <is>
          <t>Blocked</t>
        </is>
      </c>
      <c r="D6" s="52">
        <f>COUNTIF(F9:F46,"Blocked")</f>
        <v/>
      </c>
      <c r="E6" s="53">
        <f>IF(D6=0,,(D6/(D6+D7)))</f>
        <v/>
      </c>
      <c r="F6" s="51">
        <f>IF(D3=0,,(D6/D3))</f>
        <v/>
      </c>
      <c r="G6" s="52">
        <f>COUNTIF(H10:H489,"Blocked")</f>
        <v/>
      </c>
    </row>
    <row r="7" ht="15.75" customHeight="1" thickBot="1">
      <c r="B7" s="350" t="inlineStr">
        <is>
          <t>Pending</t>
        </is>
      </c>
      <c r="D7" s="52">
        <f>COUNTIF(F9:F46,"Pending")</f>
        <v/>
      </c>
      <c r="E7" s="53">
        <f>IF(D7=0,,(D7/(D7+D8)))</f>
        <v/>
      </c>
      <c r="F7" s="51">
        <f>IF(D3=0,,(D7/D3))</f>
        <v/>
      </c>
      <c r="G7" s="52">
        <f>COUNTIF(H10:H489,"Pending")</f>
        <v/>
      </c>
    </row>
    <row r="8" ht="15.75" customHeight="1" thickBot="1">
      <c r="B8" s="350" t="inlineStr">
        <is>
          <t>Not Applicable</t>
        </is>
      </c>
      <c r="D8" s="52">
        <f>COUNTIF(F9:F46,"Not Applicable")</f>
        <v/>
      </c>
      <c r="E8" s="53">
        <f>IF(D8=0,,(D8/(D8+#REF!)))</f>
        <v/>
      </c>
      <c r="F8" s="51">
        <f>IF(D3=0,,(D8/D3))</f>
        <v/>
      </c>
      <c r="G8" s="52">
        <f>COUNTIF(H10:H489,"Out of Scope")</f>
        <v/>
      </c>
    </row>
    <row r="9" ht="15.75" customHeight="1" thickBot="1">
      <c r="B9" s="22" t="inlineStr">
        <is>
          <t>S.No.</t>
        </is>
      </c>
      <c r="C9" s="1" t="inlineStr">
        <is>
          <t>Module/Sub-Module</t>
        </is>
      </c>
      <c r="D9" s="170" t="inlineStr">
        <is>
          <t>Test Steps</t>
        </is>
      </c>
      <c r="E9" s="2" t="inlineStr">
        <is>
          <t>Expected Results</t>
        </is>
      </c>
      <c r="F9" s="2" t="inlineStr">
        <is>
          <t>Result</t>
        </is>
      </c>
      <c r="G9" s="2" t="inlineStr">
        <is>
          <t>Bug ID</t>
        </is>
      </c>
      <c r="H9" s="2" t="inlineStr">
        <is>
          <t>Automation Status</t>
        </is>
      </c>
      <c r="I9" s="2" t="inlineStr">
        <is>
          <t>Mapped Scripts</t>
        </is>
      </c>
      <c r="J9" s="2" t="inlineStr">
        <is>
          <t>Comments</t>
        </is>
      </c>
    </row>
    <row r="10" ht="20.25" customHeight="1">
      <c r="B10" s="214" t="inlineStr">
        <is>
          <t>Dash_001</t>
        </is>
      </c>
      <c r="C10" s="215" t="inlineStr">
        <is>
          <t>Dashboard</t>
        </is>
      </c>
      <c r="D10" s="215" t="inlineStr">
        <is>
          <t>Log in to Spreadsmart using Analyst or Admin credentials.</t>
        </is>
      </c>
      <c r="E10" s="215" t="inlineStr">
        <is>
          <t>The user should be able to log in to the application.</t>
        </is>
      </c>
      <c r="F10" s="80" t="inlineStr">
        <is>
          <t>Pending</t>
        </is>
      </c>
      <c r="G10" s="128" t="n"/>
      <c r="H10" s="80" t="inlineStr">
        <is>
          <t>Done</t>
        </is>
      </c>
      <c r="I10" s="128" t="n"/>
      <c r="J10" s="206" t="n"/>
    </row>
    <row r="11" ht="21" customHeight="1">
      <c r="B11" s="129" t="inlineStr">
        <is>
          <t>Dash_002</t>
        </is>
      </c>
      <c r="C11" s="14" t="inlineStr">
        <is>
          <t>Dashboard</t>
        </is>
      </c>
      <c r="D11" s="14" t="inlineStr">
        <is>
          <t>Observe the first screen after login.</t>
        </is>
      </c>
      <c r="E11" s="14" t="inlineStr">
        <is>
          <t>The Dashboard should be displayed after login.</t>
        </is>
      </c>
      <c r="F11" s="366" t="inlineStr">
        <is>
          <t>Pending</t>
        </is>
      </c>
      <c r="G11" s="3" t="n"/>
      <c r="H11" s="366" t="inlineStr">
        <is>
          <t>Done</t>
        </is>
      </c>
      <c r="I11" s="3" t="n"/>
      <c r="J11" s="55" t="n"/>
    </row>
    <row r="12" ht="29.25" customHeight="1">
      <c r="B12" s="129" t="inlineStr">
        <is>
          <t>Dash_003</t>
        </is>
      </c>
      <c r="C12" s="14" t="inlineStr">
        <is>
          <t>Dashboard</t>
        </is>
      </c>
      <c r="D12" s="14" t="inlineStr">
        <is>
          <t>Verify that the Dashboard menu is present on the home screen.</t>
        </is>
      </c>
      <c r="E12" s="14" t="inlineStr">
        <is>
          <t>The home screen should display Dashboard, Spreading, Reporting, and Admin sections.</t>
        </is>
      </c>
      <c r="F12" s="366" t="inlineStr">
        <is>
          <t>Pending</t>
        </is>
      </c>
      <c r="G12" s="3" t="n"/>
      <c r="H12" s="366" t="inlineStr">
        <is>
          <t>Done</t>
        </is>
      </c>
      <c r="I12" s="3" t="n"/>
      <c r="J12" s="55" t="n"/>
    </row>
    <row r="13" ht="48" customHeight="1">
      <c r="B13" s="129" t="inlineStr">
        <is>
          <t>Dash_004</t>
        </is>
      </c>
      <c r="C13" s="14" t="inlineStr">
        <is>
          <t>Dashboard</t>
        </is>
      </c>
      <c r="D13" s="14" t="inlineStr">
        <is>
          <t>Verify that the Dashboard displays the following options:
Spreads
Overall Projects
Project Assignment Status</t>
        </is>
      </c>
      <c r="E13" s="14" t="inlineStr">
        <is>
          <t>The listed options should be displayed.</t>
        </is>
      </c>
      <c r="F13" s="366" t="inlineStr">
        <is>
          <t>Pending</t>
        </is>
      </c>
      <c r="G13" s="3" t="n"/>
      <c r="H13" s="366" t="inlineStr">
        <is>
          <t>Done</t>
        </is>
      </c>
      <c r="I13" s="3" t="n"/>
      <c r="J13" s="55" t="n"/>
    </row>
    <row r="14" ht="24" customHeight="1">
      <c r="B14" s="129" t="inlineStr">
        <is>
          <t>Dash_005</t>
        </is>
      </c>
      <c r="C14" s="14" t="inlineStr">
        <is>
          <t>Dashboard</t>
        </is>
      </c>
      <c r="D14" s="189" t="inlineStr">
        <is>
          <t>Verify that Overall Projects displays a graph for item statuses such as Received, Draft, For QC, Spread, Hold, Rejected, and All.</t>
        </is>
      </c>
      <c r="E14" s="14" t="inlineStr">
        <is>
          <t>The graph should be displayed.</t>
        </is>
      </c>
      <c r="F14" s="366" t="inlineStr">
        <is>
          <t>Pending</t>
        </is>
      </c>
      <c r="G14" s="3" t="n"/>
      <c r="H14" s="366" t="inlineStr">
        <is>
          <t>Done</t>
        </is>
      </c>
      <c r="I14" s="3" t="n"/>
      <c r="J14" s="55" t="n"/>
    </row>
    <row r="15" ht="36" customHeight="1">
      <c r="B15" s="129" t="inlineStr">
        <is>
          <t>Dash_006</t>
        </is>
      </c>
      <c r="C15" s="14" t="inlineStr">
        <is>
          <t>Dashboard</t>
        </is>
      </c>
      <c r="D15" s="14" t="inlineStr">
        <is>
          <t>Verify that the Spreads section displays status tabs such as Received, Draft, For QC, Spread, Hold, Rejected, and All. Then review the customer details shown under each status.</t>
        </is>
      </c>
      <c r="E15" s="14" t="inlineStr">
        <is>
          <t>Customer details such as Customer Name, Group, For Spread, and Analyst Name should be displayed.</t>
        </is>
      </c>
      <c r="F15" s="366" t="inlineStr">
        <is>
          <t>Pending</t>
        </is>
      </c>
      <c r="G15" s="3" t="n"/>
      <c r="H15" s="366" t="inlineStr">
        <is>
          <t>Done</t>
        </is>
      </c>
      <c r="I15" s="3" t="n"/>
      <c r="J15" s="55" t="n"/>
    </row>
    <row r="16" ht="24" customHeight="1">
      <c r="B16" s="129" t="inlineStr">
        <is>
          <t>Dash_007</t>
        </is>
      </c>
      <c r="C16" s="14" t="inlineStr">
        <is>
          <t>Statement Date Filter</t>
        </is>
      </c>
      <c r="D16" s="14" t="inlineStr">
        <is>
          <t>Apply the Statement Date filter and observe the data.</t>
        </is>
      </c>
      <c r="E16" s="14" t="inlineStr">
        <is>
          <t>Data should be displayed according to the selected statement date.</t>
        </is>
      </c>
      <c r="F16" s="366" t="inlineStr">
        <is>
          <t>Pending</t>
        </is>
      </c>
      <c r="G16" s="3" t="n"/>
      <c r="H16" s="366" t="inlineStr">
        <is>
          <t>Done</t>
        </is>
      </c>
      <c r="I16" s="3" t="n"/>
      <c r="J16" s="55" t="n"/>
    </row>
    <row r="17" ht="60" customHeight="1">
      <c r="B17" s="129" t="inlineStr">
        <is>
          <t>Dash_008</t>
        </is>
      </c>
      <c r="C17" s="14" t="inlineStr">
        <is>
          <t>Group Filter</t>
        </is>
      </c>
      <c r="D17" s="14" t="inlineStr">
        <is>
          <t>1. Apply the Group filter and select a group. Observe the results in the Received, Draft, Hold, Spread, For QC, Rejected, and All tabs.
2. Select a group with no data and review all tabs.</t>
        </is>
      </c>
      <c r="E17" s="14" t="inlineStr">
        <is>
          <t>1. Data should appear according to the selected group.
2. No data should appear in any tab for a group with no data.</t>
        </is>
      </c>
      <c r="F17" s="366" t="inlineStr">
        <is>
          <t>Pending</t>
        </is>
      </c>
      <c r="G17" s="3" t="n"/>
      <c r="H17" s="366" t="inlineStr">
        <is>
          <t>Done</t>
        </is>
      </c>
      <c r="I17" s="3" t="n"/>
      <c r="J17" s="55" t="n"/>
    </row>
    <row r="18" ht="36" customHeight="1">
      <c r="B18" s="129" t="inlineStr">
        <is>
          <t>Dash_009</t>
        </is>
      </c>
      <c r="C18" s="14" t="inlineStr">
        <is>
          <t>Graph</t>
        </is>
      </c>
      <c r="D18" s="14" t="inlineStr">
        <is>
          <t>Verify the graph after applying different filters:
1. Group filter
2. Statement Date filter</t>
        </is>
      </c>
      <c r="E18" s="14" t="inlineStr">
        <is>
          <t>The graph should display data according to the applied filters.</t>
        </is>
      </c>
      <c r="F18" s="366" t="inlineStr">
        <is>
          <t>Pending</t>
        </is>
      </c>
      <c r="G18" s="3" t="n"/>
      <c r="H18" s="366" t="inlineStr">
        <is>
          <t>Done</t>
        </is>
      </c>
      <c r="I18" s="3" t="n"/>
      <c r="J18" s="55" t="n"/>
    </row>
    <row r="19">
      <c r="B19" s="129" t="inlineStr">
        <is>
          <t>Dash_010</t>
        </is>
      </c>
      <c r="C19" s="14" t="inlineStr">
        <is>
          <t>Graph</t>
        </is>
      </c>
      <c r="D19" s="14" t="inlineStr">
        <is>
          <t>Apply a Statement Date filter for which no data is available.</t>
        </is>
      </c>
      <c r="E19" s="14" t="inlineStr">
        <is>
          <t>The graph should display the message "No data available."</t>
        </is>
      </c>
      <c r="F19" s="366" t="inlineStr">
        <is>
          <t>Pending</t>
        </is>
      </c>
      <c r="G19" s="3" t="n"/>
      <c r="H19" s="366" t="inlineStr">
        <is>
          <t>Done</t>
        </is>
      </c>
      <c r="I19" s="3" t="n"/>
      <c r="J19" s="55" t="n"/>
    </row>
    <row r="20" ht="24" customHeight="1">
      <c r="B20" s="129" t="inlineStr">
        <is>
          <t>Dash_011</t>
        </is>
      </c>
      <c r="C20" s="113" t="inlineStr">
        <is>
          <t>Group Filter</t>
        </is>
      </c>
      <c r="D20" s="14" t="inlineStr">
        <is>
          <t>Log in with a group that has no data available and observe the Dashboard.</t>
        </is>
      </c>
      <c r="E20" s="14" t="inlineStr">
        <is>
          <t>The Dashboard should show "No data available" and should not display data for other groups.</t>
        </is>
      </c>
      <c r="F20" s="366" t="inlineStr">
        <is>
          <t>Pending</t>
        </is>
      </c>
      <c r="G20" s="3" t="n"/>
      <c r="H20" s="366" t="inlineStr">
        <is>
          <t>Done</t>
        </is>
      </c>
      <c r="I20" s="3" t="n"/>
      <c r="J20" s="55" t="n"/>
    </row>
    <row r="21" ht="24" customHeight="1">
      <c r="B21" s="129" t="inlineStr">
        <is>
          <t>Dash_012</t>
        </is>
      </c>
      <c r="C21" s="113" t="inlineStr">
        <is>
          <t>Dashboard</t>
        </is>
      </c>
      <c r="D21" s="14" t="inlineStr">
        <is>
          <t>Verify that Project Assignment Status shows the number of spreads and the average time taken.</t>
        </is>
      </c>
      <c r="E21" s="14" t="inlineStr">
        <is>
          <t>The Project Assignment Status graph should be displayed.</t>
        </is>
      </c>
      <c r="F21" s="366" t="inlineStr">
        <is>
          <t>Pending</t>
        </is>
      </c>
      <c r="G21" s="3" t="n"/>
      <c r="H21" s="366" t="inlineStr">
        <is>
          <t>Done</t>
        </is>
      </c>
      <c r="I21" s="3" t="n"/>
      <c r="J21" s="55" t="n"/>
    </row>
    <row r="22">
      <c r="B22" s="129" t="inlineStr">
        <is>
          <t>Dash_013</t>
        </is>
      </c>
      <c r="C22" s="113" t="inlineStr">
        <is>
          <t>Dashboard</t>
        </is>
      </c>
      <c r="D22" s="14" t="inlineStr">
        <is>
          <t>Click the count under the For Spread column.</t>
        </is>
      </c>
      <c r="E22" s="14" t="inlineStr">
        <is>
          <t>The user should be navigated to the item listing screen.</t>
        </is>
      </c>
      <c r="F22" s="366" t="inlineStr">
        <is>
          <t>Pending</t>
        </is>
      </c>
      <c r="G22" s="109" t="n"/>
      <c r="H22" s="366" t="inlineStr">
        <is>
          <t>Done</t>
        </is>
      </c>
      <c r="I22" s="109" t="n"/>
      <c r="J22" s="110" t="n"/>
    </row>
    <row r="23" ht="24" customHeight="1">
      <c r="B23" s="129" t="inlineStr">
        <is>
          <t>Dash_014</t>
        </is>
      </c>
      <c r="C23" s="113" t="inlineStr">
        <is>
          <t>Project Assignment Filter</t>
        </is>
      </c>
      <c r="D23" s="14" t="inlineStr">
        <is>
          <t>Edit the filter under Project Assignment Status, update the analyst name, search for the analyst, and save the filter.</t>
        </is>
      </c>
      <c r="E23" s="14" t="inlineStr">
        <is>
          <t>The user should be navigated to the item listing screen.</t>
        </is>
      </c>
      <c r="F23" s="366" t="inlineStr">
        <is>
          <t>Pending</t>
        </is>
      </c>
      <c r="G23" s="109" t="n"/>
      <c r="H23" s="366" t="inlineStr">
        <is>
          <t>Done</t>
        </is>
      </c>
      <c r="I23" s="109" t="n"/>
      <c r="J23" s="110" t="n"/>
    </row>
    <row r="24" ht="24" customHeight="1">
      <c r="B24" s="129" t="inlineStr">
        <is>
          <t>Dash_015</t>
        </is>
      </c>
      <c r="C24" s="113" t="inlineStr">
        <is>
          <t>Sort Columns</t>
        </is>
      </c>
      <c r="D24" s="14" t="inlineStr">
        <is>
          <t>Verify the sorting icons for all columns displayed on the Dashboard.</t>
        </is>
      </c>
      <c r="E24" s="14" t="inlineStr">
        <is>
          <t>All sorting icons should work correctly.</t>
        </is>
      </c>
      <c r="F24" s="366" t="inlineStr">
        <is>
          <t>Pending</t>
        </is>
      </c>
      <c r="G24" s="109" t="n"/>
      <c r="H24" s="366" t="inlineStr">
        <is>
          <t>Done</t>
        </is>
      </c>
      <c r="I24" s="109" t="n"/>
      <c r="J24" s="110" t="n"/>
    </row>
    <row r="25" ht="60" customHeight="1">
      <c r="B25" s="129" t="inlineStr">
        <is>
          <t>Dash_016</t>
        </is>
      </c>
      <c r="C25" s="113" t="inlineStr">
        <is>
          <t>Pagination</t>
        </is>
      </c>
      <c r="D25" s="14" t="inlineStr">
        <is>
          <t>Precondition: A large number of items should be available.
Scroll down the page, click the next page, and then change the number of items from the dropdown.</t>
        </is>
      </c>
      <c r="E25" s="14" t="inlineStr">
        <is>
          <t>The user should be navigated to the selected page, and the selected item count should be applied from the dropdown.</t>
        </is>
      </c>
      <c r="F25" s="366" t="inlineStr">
        <is>
          <t>Pending</t>
        </is>
      </c>
      <c r="G25" s="109" t="n"/>
      <c r="H25" s="366" t="inlineStr">
        <is>
          <t>Done</t>
        </is>
      </c>
      <c r="I25" s="109" t="n"/>
      <c r="J25" s="110" t="n"/>
    </row>
    <row r="26" ht="99.75" customHeight="1" thickBot="1">
      <c r="B26" s="130" t="inlineStr">
        <is>
          <t>Dash_018</t>
        </is>
      </c>
      <c r="C26" s="121" t="inlineStr">
        <is>
          <t>Tab Switching</t>
        </is>
      </c>
      <c r="D26" s="218" t="inlineStr">
        <is>
          <t>Log in to the dashboard URL, then switch to another tab and return to the application tab. Verify the behavior when the reported error occurs after login and after tab switching.</t>
        </is>
      </c>
      <c r="E26" s="121" t="inlineStr">
        <is>
          <t>The Dashboard should remain accessible when switching tabs.</t>
        </is>
      </c>
      <c r="F26" s="155" t="inlineStr">
        <is>
          <t>Pending</t>
        </is>
      </c>
      <c r="G26" s="132" t="n">
        <v>136550</v>
      </c>
      <c r="H26" s="155" t="inlineStr">
        <is>
          <t>Pending</t>
        </is>
      </c>
      <c r="I26" s="132" t="n"/>
      <c r="J26" s="217" t="inlineStr">
        <is>
          <t>[Needs QA Review: original expected result missing]</t>
        </is>
      </c>
    </row>
  </sheetData>
  <mergeCells count="7">
    <mergeCell ref="B6:C6"/>
    <mergeCell ref="B7:C7"/>
    <mergeCell ref="B2:F2"/>
    <mergeCell ref="B3:C3"/>
    <mergeCell ref="B5:C5"/>
    <mergeCell ref="B8:C8"/>
    <mergeCell ref="B4:C4"/>
  </mergeCells>
  <conditionalFormatting sqref="D3">
    <cfRule type="expression" priority="73" dxfId="51" stopIfTrue="1">
      <formula>AND(COUNTIF($A$8:$A$8, D3)+COUNTIF(#REF!, D3)&gt;1,NOT(ISBLANK(D3)))</formula>
    </cfRule>
  </conditionalFormatting>
  <conditionalFormatting sqref="D4">
    <cfRule type="cellIs" priority="56" operator="lessThan" dxfId="10" stopIfTrue="1">
      <formula>1</formula>
    </cfRule>
  </conditionalFormatting>
  <conditionalFormatting sqref="D4:D8">
    <cfRule type="cellIs" priority="51" operator="greaterThan" dxfId="9" stopIfTrue="1">
      <formula>0</formula>
    </cfRule>
    <cfRule type="cellIs" priority="52" operator="greaterThan" dxfId="9" stopIfTrue="1">
      <formula>1</formula>
    </cfRule>
    <cfRule type="cellIs" priority="53" operator="greaterThan" dxfId="10" stopIfTrue="1">
      <formula>0</formula>
    </cfRule>
    <cfRule type="cellIs" priority="54" operator="greaterThan" dxfId="10" stopIfTrue="1">
      <formula>1</formula>
    </cfRule>
    <cfRule type="cellIs" priority="55" operator="equal" dxfId="9" stopIfTrue="1">
      <formula>$C$3</formula>
    </cfRule>
  </conditionalFormatting>
  <conditionalFormatting sqref="D5">
    <cfRule type="cellIs" priority="16" operator="lessThan" dxfId="10" stopIfTrue="1">
      <formula>1</formula>
    </cfRule>
  </conditionalFormatting>
  <conditionalFormatting sqref="D5:E8">
    <cfRule type="cellIs" priority="20" operator="lessThan" dxfId="10" stopIfTrue="1">
      <formula>1</formula>
    </cfRule>
  </conditionalFormatting>
  <conditionalFormatting sqref="E4">
    <cfRule type="cellIs" priority="46" operator="equal" dxfId="9" stopIfTrue="1">
      <formula>1</formula>
    </cfRule>
    <cfRule type="cellIs" priority="47" operator="lessThan" dxfId="10" stopIfTrue="1">
      <formula>1</formula>
    </cfRule>
  </conditionalFormatting>
  <conditionalFormatting sqref="E5:E8">
    <cfRule type="cellIs" priority="17" operator="equal" dxfId="9" stopIfTrue="1">
      <formula>1</formula>
    </cfRule>
    <cfRule type="cellIs" priority="18" operator="lessThan" dxfId="10" stopIfTrue="1">
      <formula>1</formula>
    </cfRule>
    <cfRule type="cellIs" priority="19" operator="equal" dxfId="9" stopIfTrue="1">
      <formula>1</formula>
    </cfRule>
  </conditionalFormatting>
  <conditionalFormatting sqref="E4:F4">
    <cfRule type="cellIs" priority="42" operator="equal" dxfId="9" stopIfTrue="1">
      <formula>1</formula>
    </cfRule>
    <cfRule type="cellIs" priority="43" operator="lessThan" dxfId="10" stopIfTrue="1">
      <formula>1</formula>
    </cfRule>
  </conditionalFormatting>
  <conditionalFormatting sqref="F4">
    <cfRule type="cellIs" priority="40" operator="equal" dxfId="9" stopIfTrue="1">
      <formula>1</formula>
    </cfRule>
    <cfRule type="cellIs" priority="41" operator="lessThan" dxfId="10" stopIfTrue="1">
      <formula>1</formula>
    </cfRule>
  </conditionalFormatting>
  <conditionalFormatting sqref="F5">
    <cfRule type="cellIs" priority="36" operator="greaterThan" dxfId="10" stopIfTrue="1">
      <formula>0</formula>
    </cfRule>
    <cfRule type="cellIs" priority="37" operator="equal" dxfId="9" stopIfTrue="1">
      <formula>0</formula>
    </cfRule>
    <cfRule type="cellIs" priority="38" operator="greaterThan" dxfId="10" stopIfTrue="1">
      <formula>0</formula>
    </cfRule>
    <cfRule type="cellIs" priority="39" operator="equal" dxfId="9" stopIfTrue="1">
      <formula>0</formula>
    </cfRule>
  </conditionalFormatting>
  <conditionalFormatting sqref="F6">
    <cfRule type="cellIs" priority="34" operator="equal" dxfId="9" stopIfTrue="1">
      <formula>0</formula>
    </cfRule>
    <cfRule type="cellIs" priority="35" operator="greaterThan" dxfId="22" stopIfTrue="1">
      <formula>0</formula>
    </cfRule>
  </conditionalFormatting>
  <conditionalFormatting sqref="F6:F7">
    <cfRule type="cellIs" priority="30" operator="equal" dxfId="9" stopIfTrue="1">
      <formula>0</formula>
    </cfRule>
    <cfRule type="cellIs" priority="31" operator="greaterThan" dxfId="22" stopIfTrue="1">
      <formula>0</formula>
    </cfRule>
  </conditionalFormatting>
  <conditionalFormatting sqref="F7:F8">
    <cfRule type="cellIs" priority="26" operator="equal" dxfId="9" stopIfTrue="1">
      <formula>0</formula>
    </cfRule>
    <cfRule type="cellIs" priority="27" operator="greaterThan" dxfId="22" stopIfTrue="1">
      <formula>0</formula>
    </cfRule>
  </conditionalFormatting>
  <conditionalFormatting sqref="F8">
    <cfRule type="cellIs" priority="24" operator="equal" dxfId="9" stopIfTrue="1">
      <formula>0</formula>
    </cfRule>
    <cfRule type="cellIs" priority="25" operator="greaterThan" dxfId="22" stopIfTrue="1">
      <formula>0</formula>
    </cfRule>
  </conditionalFormatting>
  <conditionalFormatting sqref="F10:F26">
    <cfRule type="cellIs" priority="58" operator="equal" dxfId="6" stopIfTrue="1">
      <formula>"NA"</formula>
    </cfRule>
    <cfRule type="cellIs" priority="59" operator="equal" dxfId="5" stopIfTrue="1">
      <formula>"Blocked"</formula>
    </cfRule>
    <cfRule type="cellIs" priority="60" operator="equal" dxfId="4" stopIfTrue="1">
      <formula>"Pending"</formula>
    </cfRule>
    <cfRule type="cellIs" priority="61" operator="equal" dxfId="0" stopIfTrue="1">
      <formula>"Passed"</formula>
    </cfRule>
    <cfRule type="cellIs" priority="62" operator="equal" dxfId="1" stopIfTrue="1">
      <formula>"Failed"</formula>
    </cfRule>
    <cfRule type="cellIs" priority="63" operator="equal" dxfId="1" stopIfTrue="1">
      <formula>"Fail"</formula>
    </cfRule>
    <cfRule type="cellIs" priority="64" operator="equal" dxfId="0" stopIfTrue="1">
      <formula>"Pass"</formula>
    </cfRule>
  </conditionalFormatting>
  <conditionalFormatting sqref="G5:G8">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0:H26">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26" showDropDown="0" showInputMessage="1" showErrorMessage="1" allowBlank="1" type="list">
      <formula1>"Passed,Failed,Blocked,Pending,NA"</formula1>
    </dataValidation>
    <dataValidation sqref="H10:H26"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2:J40"/>
  <sheetViews>
    <sheetView showGridLines="0" topLeftCell="C1" workbookViewId="0">
      <selection activeCell="G11" sqref="G11"/>
    </sheetView>
  </sheetViews>
  <sheetFormatPr baseColWidth="8" defaultRowHeight="15"/>
  <cols>
    <col width="5" customWidth="1" min="1" max="1"/>
    <col width="27.5703125" customWidth="1" min="3" max="3"/>
    <col width="49.5703125" customWidth="1" min="4" max="4"/>
    <col width="44.7109375" customWidth="1" min="5" max="5"/>
    <col width="14.7109375" customWidth="1" min="7" max="7"/>
    <col width="21" customWidth="1" min="8" max="8"/>
    <col width="14.7109375" customWidth="1" min="9" max="9"/>
    <col width="11.5703125" customWidth="1" min="10"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COUNTIF(F10:F101,"Passed")</f>
        <v/>
      </c>
      <c r="E4" s="53">
        <f>IF(D4=0,,(D4/(D4+D5)))</f>
        <v/>
      </c>
      <c r="F4" s="51">
        <f>IF(D3=0,,(D4/D3))</f>
        <v/>
      </c>
      <c r="G4" s="156">
        <f>COUNTIF(H10:H494,"Done")</f>
        <v/>
      </c>
    </row>
    <row r="5" ht="15.75" customHeight="1" thickBot="1">
      <c r="B5" s="350" t="inlineStr">
        <is>
          <t>Failed</t>
        </is>
      </c>
      <c r="D5" s="52">
        <f>COUNTIF(F10:F101,"Failed")</f>
        <v/>
      </c>
      <c r="E5" s="53">
        <f>IF(D5=0,,(D5/(D5+D6)))</f>
        <v/>
      </c>
      <c r="F5" s="51">
        <f>IF(D3=0,,(D5/D3))</f>
        <v/>
      </c>
      <c r="G5" s="52">
        <f>COUNTIF(H10:H494,"Failed")</f>
        <v/>
      </c>
    </row>
    <row r="6" ht="15.75" customHeight="1" thickBot="1">
      <c r="B6" s="350" t="inlineStr">
        <is>
          <t>Blocked</t>
        </is>
      </c>
      <c r="D6" s="52">
        <f>COUNTIF(F10:F101,"Blocked")</f>
        <v/>
      </c>
      <c r="E6" s="53">
        <f>IF(D6=0,,(D6/(D6+D7)))</f>
        <v/>
      </c>
      <c r="F6" s="51">
        <f>IF(D3=0,,(D6/D3))</f>
        <v/>
      </c>
      <c r="G6" s="52">
        <f>COUNTIF(H10:H494,"Blocked")</f>
        <v/>
      </c>
    </row>
    <row r="7" ht="15.75" customHeight="1" thickBot="1">
      <c r="B7" s="350" t="inlineStr">
        <is>
          <t>Pending</t>
        </is>
      </c>
      <c r="D7" s="52">
        <f>COUNTIF(F10:F101,"Pending")</f>
        <v/>
      </c>
      <c r="E7" s="53">
        <f>IF(D7=0,,(D7/(D7+D8)))</f>
        <v/>
      </c>
      <c r="F7" s="51">
        <f>IF(D3=0,,(D7/D3))</f>
        <v/>
      </c>
      <c r="G7" s="52">
        <f>COUNTIF(H10:H494,"Pending")</f>
        <v/>
      </c>
    </row>
    <row r="8" ht="15.75" customHeight="1" thickBot="1">
      <c r="B8" s="350" t="inlineStr">
        <is>
          <t>Not Applicable</t>
        </is>
      </c>
      <c r="D8" s="52">
        <f>COUNTIF(F10:F101,"Not Applicable")</f>
        <v/>
      </c>
      <c r="E8" s="53">
        <f>IF(D8=0,,(D8/(D8+#REF!)))</f>
        <v/>
      </c>
      <c r="F8" s="51">
        <f>IF(D3=0,,(D8/D3))</f>
        <v/>
      </c>
      <c r="G8" s="52">
        <f>COUNTIF(H10:H494,"Out of Scope")</f>
        <v/>
      </c>
    </row>
    <row r="9" ht="15.75" customHeight="1" thickBot="1">
      <c r="B9" s="9" t="inlineStr">
        <is>
          <t>S.No.</t>
        </is>
      </c>
      <c r="C9" s="8" t="inlineStr">
        <is>
          <t>Module/Sub-Module</t>
        </is>
      </c>
      <c r="D9" s="10" t="inlineStr">
        <is>
          <t>Test Steps</t>
        </is>
      </c>
      <c r="E9" s="8" t="inlineStr">
        <is>
          <t>Expected Results</t>
        </is>
      </c>
      <c r="F9" s="8" t="inlineStr">
        <is>
          <t>Result</t>
        </is>
      </c>
      <c r="G9" s="8" t="inlineStr">
        <is>
          <t>Bug ID</t>
        </is>
      </c>
      <c r="H9" s="8" t="inlineStr">
        <is>
          <t>Automation Status</t>
        </is>
      </c>
      <c r="I9" s="8" t="inlineStr">
        <is>
          <t>Mapped Scripts</t>
        </is>
      </c>
      <c r="J9" s="2" t="inlineStr">
        <is>
          <t>Comments</t>
        </is>
      </c>
    </row>
    <row r="10" ht="30" customHeight="1">
      <c r="B10" s="11" t="inlineStr">
        <is>
          <t>Cust_001</t>
        </is>
      </c>
      <c r="C10" s="11" t="inlineStr">
        <is>
          <t>Create Customer</t>
        </is>
      </c>
      <c r="D10" s="11" t="inlineStr">
        <is>
          <t>Log in to Spreadsmart, navigate to Create Customer, and review the available options.</t>
        </is>
      </c>
      <c r="E10" s="24" t="inlineStr">
        <is>
          <t>The Create Customer page should open.</t>
        </is>
      </c>
      <c r="F10" s="26" t="inlineStr">
        <is>
          <t>Pending</t>
        </is>
      </c>
      <c r="G10" s="7" t="n"/>
      <c r="H10" s="154" t="inlineStr">
        <is>
          <t>Done</t>
        </is>
      </c>
      <c r="I10" s="123" t="inlineStr">
        <is>
          <t>automationTestScenario.js</t>
        </is>
      </c>
      <c r="J10" s="55" t="n"/>
    </row>
    <row r="11" ht="155.25" customHeight="1">
      <c r="B11" s="11" t="inlineStr">
        <is>
          <t>Cust_002</t>
        </is>
      </c>
      <c r="C11" s="11" t="inlineStr">
        <is>
          <t>Create Customer</t>
        </is>
      </c>
      <c r="D11" s="11" t="inlineStr">
        <is>
          <t>Verify that the Create Customer screen displays the following fields:
Customer Name
Customer ID
Year End
Group
Ticker
QC
Date Range
Target Currency
Size of Business
Comments
Submit button</t>
        </is>
      </c>
      <c r="E11" s="24" t="inlineStr">
        <is>
          <t>The listed fields should be displayed on the screen.</t>
        </is>
      </c>
      <c r="F11" s="26" t="inlineStr">
        <is>
          <t>Pending</t>
        </is>
      </c>
      <c r="G11" s="7" t="n"/>
      <c r="H11" s="366" t="inlineStr">
        <is>
          <t>Done</t>
        </is>
      </c>
      <c r="I11" s="148" t="n"/>
      <c r="J11" s="55" t="n"/>
    </row>
    <row r="12" ht="69" customHeight="1">
      <c r="B12" s="11" t="inlineStr">
        <is>
          <t>Cust_003</t>
        </is>
      </c>
      <c r="C12" s="11" t="inlineStr">
        <is>
          <t>Create Customer</t>
        </is>
      </c>
      <c r="D12" s="11" t="inlineStr">
        <is>
          <t>Enter values in the mandatory and optional fields, save the customer, then navigate to the Existing Customer screen and review the created record.</t>
        </is>
      </c>
      <c r="E12" s="24" t="inlineStr">
        <is>
          <t>The user should be able to create the customer and view it in the customer list.</t>
        </is>
      </c>
      <c r="F12" s="26" t="inlineStr">
        <is>
          <t>Pending</t>
        </is>
      </c>
      <c r="G12" s="7" t="n"/>
      <c r="H12" s="366" t="inlineStr">
        <is>
          <t>Done</t>
        </is>
      </c>
      <c r="I12" s="123" t="inlineStr">
        <is>
          <t>automationTestScenario.js</t>
        </is>
      </c>
      <c r="J12" s="55" t="n"/>
    </row>
    <row r="13" ht="24" customHeight="1">
      <c r="B13" s="11" t="inlineStr">
        <is>
          <t>Cust_004</t>
        </is>
      </c>
      <c r="C13" s="11" t="inlineStr">
        <is>
          <t>Create Customer</t>
        </is>
      </c>
      <c r="D13" s="11" t="inlineStr">
        <is>
          <t>Enter a duplicate Customer ID and submit. Then enter a duplicate customer name and submit.</t>
        </is>
      </c>
      <c r="E13" s="24" t="inlineStr">
        <is>
          <t>A duplicate Customer ID should not be allowed. A duplicate customer name should be allowed.</t>
        </is>
      </c>
      <c r="F13" s="26" t="inlineStr">
        <is>
          <t>Pending</t>
        </is>
      </c>
      <c r="G13" s="7" t="n"/>
      <c r="H13" s="366" t="inlineStr">
        <is>
          <t>Done</t>
        </is>
      </c>
      <c r="I13" s="148" t="n"/>
      <c r="J13" s="55" t="n"/>
    </row>
    <row r="14" ht="36" customHeight="1">
      <c r="B14" s="11" t="inlineStr">
        <is>
          <t>Cust_005</t>
        </is>
      </c>
      <c r="C14" s="11" t="inlineStr">
        <is>
          <t>Existing Customer</t>
        </is>
      </c>
      <c r="D14" s="11" t="inlineStr">
        <is>
          <t>Log in to Spreadsmart and navigate to the Existing Customer page from the Spreading menu.</t>
        </is>
      </c>
      <c r="E14" s="24" t="inlineStr">
        <is>
          <t>The Existing Customer page should be displayed.</t>
        </is>
      </c>
      <c r="F14" s="26" t="inlineStr">
        <is>
          <t>Pending</t>
        </is>
      </c>
      <c r="G14" s="7" t="n"/>
      <c r="H14" s="366" t="inlineStr">
        <is>
          <t>Done</t>
        </is>
      </c>
      <c r="I14" s="123" t="inlineStr">
        <is>
          <t>automationTestScenario.js</t>
        </is>
      </c>
      <c r="J14" s="55" t="n"/>
    </row>
    <row r="15" ht="36" customHeight="1">
      <c r="B15" s="11" t="inlineStr">
        <is>
          <t>Cust_006</t>
        </is>
      </c>
      <c r="C15" s="11" t="inlineStr">
        <is>
          <t>Existing Customer</t>
        </is>
      </c>
      <c r="D15" s="13" t="inlineStr">
        <is>
          <t>Open the Existing Customer page and review the displayed columns.</t>
        </is>
      </c>
      <c r="E15" s="23" t="inlineStr">
        <is>
          <t>The Existing Customer page should display columns such as Customer Name, Entity Type, Group Name, For Spread, Status, and Actions.</t>
        </is>
      </c>
      <c r="F15" s="26" t="inlineStr">
        <is>
          <t>Pending</t>
        </is>
      </c>
      <c r="G15" s="3" t="n"/>
      <c r="H15" s="366" t="inlineStr">
        <is>
          <t>Done</t>
        </is>
      </c>
      <c r="I15" s="149" t="n"/>
      <c r="J15" s="55" t="n"/>
    </row>
    <row r="16" ht="207.75" customHeight="1">
      <c r="B16" s="11" t="inlineStr">
        <is>
          <t>Cust_007</t>
        </is>
      </c>
      <c r="C16" s="11" t="inlineStr">
        <is>
          <t>Existing Customer</t>
        </is>
      </c>
      <c r="D16" s="188" t="inlineStr">
        <is>
          <t>Open the Existing Customer page and click a Customer Name to load the customer information page. Verify that the page shows Customer Name, Customer ID, Year End, Group, Ticker, QC, Date Range, NAICS Suggestions, Target Currency, Size of Business, Comments, and Submit.</t>
        </is>
      </c>
      <c r="E16" s="23" t="inlineStr">
        <is>
          <t>All listed fields should be displayed as editable.</t>
        </is>
      </c>
      <c r="F16" s="26" t="inlineStr">
        <is>
          <t>Pending</t>
        </is>
      </c>
      <c r="G16" s="3" t="n"/>
      <c r="H16" s="366" t="inlineStr">
        <is>
          <t>Done</t>
        </is>
      </c>
      <c r="I16" s="149" t="n"/>
      <c r="J16" s="55" t="n"/>
    </row>
    <row r="17" ht="48" customHeight="1">
      <c r="B17" s="11" t="inlineStr">
        <is>
          <t>Cust_008</t>
        </is>
      </c>
      <c r="C17" s="11" t="inlineStr">
        <is>
          <t>Customer Information</t>
        </is>
      </c>
      <c r="D17" s="13" t="inlineStr">
        <is>
          <t>Ensure all mandatory (*) fields contain valid values, then click Update.</t>
        </is>
      </c>
      <c r="E17" s="23" t="inlineStr">
        <is>
          <t>The customer should be updated successfully, and a "Customer successfully updated" message should be displayed.</t>
        </is>
      </c>
      <c r="F17" s="26" t="inlineStr">
        <is>
          <t>Pending</t>
        </is>
      </c>
      <c r="G17" s="3" t="n"/>
      <c r="H17" s="366" t="inlineStr">
        <is>
          <t>Done</t>
        </is>
      </c>
      <c r="I17" s="149" t="n"/>
      <c r="J17" s="55" t="n"/>
    </row>
    <row r="18" ht="48" customHeight="1">
      <c r="B18" s="11" t="inlineStr">
        <is>
          <t>Cust_009</t>
        </is>
      </c>
      <c r="C18" s="13" t="inlineStr">
        <is>
          <t>My Favourite</t>
        </is>
      </c>
      <c r="D18" s="13" t="inlineStr">
        <is>
          <t>Click the star icon to add a customer to favourites. Then open My Favourite, select the customer, and click Modify.</t>
        </is>
      </c>
      <c r="E18" s="23" t="inlineStr">
        <is>
          <t>The user should be navigated to the Modify Customer page, and the page should display the data entered during customer creation.</t>
        </is>
      </c>
      <c r="F18" s="26" t="inlineStr">
        <is>
          <t>Pending</t>
        </is>
      </c>
      <c r="G18" s="3" t="n"/>
      <c r="H18" s="366" t="inlineStr">
        <is>
          <t>Done</t>
        </is>
      </c>
      <c r="I18" s="149" t="n"/>
      <c r="J18" s="55" t="n"/>
    </row>
    <row r="19" ht="24" customHeight="1">
      <c r="B19" s="11" t="inlineStr">
        <is>
          <t>Cust_010</t>
        </is>
      </c>
      <c r="C19" s="13" t="inlineStr">
        <is>
          <t>Validate 'Favorite' Functionality</t>
        </is>
      </c>
      <c r="D19" s="13" t="inlineStr">
        <is>
          <t>Open the customer listing page and click the favourite (star) icon for a customer.</t>
        </is>
      </c>
      <c r="E19" s="23" t="inlineStr">
        <is>
          <t>The star icon should be filled, and the customer should appear under My Favourite.</t>
        </is>
      </c>
      <c r="F19" s="26" t="inlineStr">
        <is>
          <t>Pending</t>
        </is>
      </c>
      <c r="G19" s="3" t="n"/>
      <c r="H19" s="366" t="inlineStr">
        <is>
          <t>Done</t>
        </is>
      </c>
      <c r="I19" s="149" t="n"/>
      <c r="J19" s="55" t="n"/>
    </row>
    <row r="20" ht="24" customHeight="1">
      <c r="B20" s="11" t="inlineStr">
        <is>
          <t>Cust_011</t>
        </is>
      </c>
      <c r="C20" s="13" t="inlineStr">
        <is>
          <t>Check Customers Under 'My Favourite'</t>
        </is>
      </c>
      <c r="D20" s="13" t="inlineStr">
        <is>
          <t>Verify the My Favourite page when no customer is marked as favourite.</t>
        </is>
      </c>
      <c r="E20" s="23" t="inlineStr">
        <is>
          <t>No customer should be displayed on the customer list page.</t>
        </is>
      </c>
      <c r="F20" s="26" t="inlineStr">
        <is>
          <t>Pending</t>
        </is>
      </c>
      <c r="G20" s="3" t="n"/>
      <c r="H20" s="366" t="inlineStr">
        <is>
          <t>Done</t>
        </is>
      </c>
      <c r="I20" s="149" t="n"/>
      <c r="J20" s="55" t="n"/>
    </row>
    <row r="21" ht="24" customHeight="1">
      <c r="B21" s="11" t="inlineStr">
        <is>
          <t>Cust_012</t>
        </is>
      </c>
      <c r="C21" s="13" t="inlineStr">
        <is>
          <t>Check Customers Under 'My Favourite'</t>
        </is>
      </c>
      <c r="D21" s="13" t="inlineStr">
        <is>
          <t>1. Mark customers as favourite.
2. Review the My Favourite page.</t>
        </is>
      </c>
      <c r="E21" s="23" t="inlineStr">
        <is>
          <t>All customers marked as favourite by the logged-in user should be displayed under My Favourite.</t>
        </is>
      </c>
      <c r="F21" s="26" t="inlineStr">
        <is>
          <t>Pending</t>
        </is>
      </c>
      <c r="G21" s="3" t="n"/>
      <c r="H21" s="366" t="inlineStr">
        <is>
          <t>Done</t>
        </is>
      </c>
      <c r="I21" s="149" t="n"/>
      <c r="J21" s="55" t="n"/>
    </row>
    <row r="22" ht="48" customHeight="1">
      <c r="B22" s="11" t="inlineStr">
        <is>
          <t>Cust_013</t>
        </is>
      </c>
      <c r="C22" s="13" t="inlineStr">
        <is>
          <t>Validate 'UnFavorite' Functionality</t>
        </is>
      </c>
      <c r="D22" s="13" t="inlineStr">
        <is>
          <t>Open the customer listing page, click the favourite (star) icon for a customer, and then click it again.</t>
        </is>
      </c>
      <c r="E22" s="23" t="inlineStr">
        <is>
          <t>The star icon should be cleared, and the customer should be removed from My Favourite.</t>
        </is>
      </c>
      <c r="F22" s="26" t="inlineStr">
        <is>
          <t>Pending</t>
        </is>
      </c>
      <c r="G22" s="3" t="n"/>
      <c r="H22" s="366" t="inlineStr">
        <is>
          <t>Done</t>
        </is>
      </c>
      <c r="I22" s="149" t="n"/>
      <c r="J22" s="55" t="n"/>
    </row>
    <row r="23" ht="24" customHeight="1">
      <c r="B23" s="11" t="inlineStr">
        <is>
          <t>Cust_014</t>
        </is>
      </c>
      <c r="C23" s="13" t="inlineStr">
        <is>
          <t>Check Customers Under 'My Favourite'</t>
        </is>
      </c>
      <c r="D23" s="13" t="inlineStr">
        <is>
          <t>1. Mark customers as unfavourite.
2. Review the My Favourite page.</t>
        </is>
      </c>
      <c r="E23" s="23" t="inlineStr">
        <is>
          <t>Customers marked as unfavourite by the logged-in user should be removed from My Favourite.</t>
        </is>
      </c>
      <c r="F23" s="26" t="inlineStr">
        <is>
          <t>Pending</t>
        </is>
      </c>
      <c r="G23" s="3" t="n"/>
      <c r="H23" s="366" t="inlineStr">
        <is>
          <t>Done</t>
        </is>
      </c>
      <c r="I23" s="149" t="n"/>
      <c r="J23" s="55" t="n"/>
    </row>
    <row r="24" ht="24" customHeight="1">
      <c r="B24" s="11" t="inlineStr">
        <is>
          <t>Cust_015</t>
        </is>
      </c>
      <c r="C24" s="13" t="inlineStr">
        <is>
          <t>Customer Listing</t>
        </is>
      </c>
      <c r="D24" s="13" t="inlineStr">
        <is>
          <t>Open My Favourite and click a customer name on the customer listing page.</t>
        </is>
      </c>
      <c r="E24" s="23" t="inlineStr">
        <is>
          <t>The page should display the data entered during customer creation.</t>
        </is>
      </c>
      <c r="F24" s="26" t="inlineStr">
        <is>
          <t>Pending</t>
        </is>
      </c>
      <c r="G24" s="3" t="n"/>
      <c r="H24" s="366" t="inlineStr">
        <is>
          <t>Done</t>
        </is>
      </c>
      <c r="I24" s="149" t="n"/>
      <c r="J24" s="55" t="n"/>
    </row>
    <row r="25" ht="24" customHeight="1">
      <c r="B25" s="11" t="inlineStr">
        <is>
          <t>Cust_016</t>
        </is>
      </c>
      <c r="C25" s="13" t="inlineStr">
        <is>
          <t>Modify Customer</t>
        </is>
      </c>
      <c r="D25" s="13" t="inlineStr">
        <is>
          <t>Click a customer name on the customer listing page, modify the customer metadata, and update the information.</t>
        </is>
      </c>
      <c r="E25" s="23" t="inlineStr">
        <is>
          <t>The user should be able to modify the customer data.</t>
        </is>
      </c>
      <c r="F25" s="26" t="inlineStr">
        <is>
          <t>Pending</t>
        </is>
      </c>
      <c r="G25" s="3" t="n"/>
      <c r="H25" s="366" t="inlineStr">
        <is>
          <t>Done</t>
        </is>
      </c>
      <c r="I25" s="149" t="n"/>
      <c r="J25" s="55" t="n"/>
    </row>
    <row r="26" ht="48" customHeight="1">
      <c r="B26" s="11" t="inlineStr">
        <is>
          <t>Cust_017</t>
        </is>
      </c>
      <c r="C26" s="195" t="inlineStr">
        <is>
          <t>Modify Customer</t>
        </is>
      </c>
      <c r="D26" s="195" t="inlineStr">
        <is>
          <t>Navigate to Existing Customer, open any customer record, select the QC checkbox and date range, then click Update.</t>
        </is>
      </c>
      <c r="E26" s="219" t="inlineStr">
        <is>
          <t>The Start Date and End Date should be displayed after the customer is updated.</t>
        </is>
      </c>
      <c r="F26" s="26" t="inlineStr">
        <is>
          <t>Pending</t>
        </is>
      </c>
      <c r="G26" s="3" t="n"/>
      <c r="H26" s="366" t="inlineStr">
        <is>
          <t>Done</t>
        </is>
      </c>
      <c r="I26" s="149" t="n"/>
      <c r="J26" s="55" t="n"/>
    </row>
    <row r="27" ht="48" customHeight="1">
      <c r="B27" s="11" t="inlineStr">
        <is>
          <t>Cust_018</t>
        </is>
      </c>
      <c r="C27" s="13" t="inlineStr">
        <is>
          <t>Filters</t>
        </is>
      </c>
      <c r="D27" s="13" t="inlineStr">
        <is>
          <t>Verify that the customer screen filters work by applying Statement Date Range and Access Group filters.</t>
        </is>
      </c>
      <c r="E27" s="23" t="inlineStr">
        <is>
          <t>The user should be able to search using the selected filters.</t>
        </is>
      </c>
      <c r="F27" s="26" t="inlineStr">
        <is>
          <t>Pending</t>
        </is>
      </c>
      <c r="G27" s="3" t="n"/>
      <c r="H27" s="366" t="inlineStr">
        <is>
          <t>Done</t>
        </is>
      </c>
      <c r="I27" s="149" t="n"/>
      <c r="J27" s="55" t="n"/>
    </row>
    <row r="28">
      <c r="B28" s="11" t="inlineStr">
        <is>
          <t>Cust_019</t>
        </is>
      </c>
      <c r="C28" s="13" t="inlineStr">
        <is>
          <t>Search</t>
        </is>
      </c>
      <c r="D28" s="13" t="inlineStr">
        <is>
          <t>Search by Customer ID, Customer Name, and Ticker.</t>
        </is>
      </c>
      <c r="E28" s="23" t="inlineStr">
        <is>
          <t>The user should be able to search successfully.</t>
        </is>
      </c>
      <c r="F28" s="26" t="inlineStr">
        <is>
          <t>Pending</t>
        </is>
      </c>
      <c r="G28" s="3" t="n"/>
      <c r="H28" s="366" t="inlineStr">
        <is>
          <t>Done</t>
        </is>
      </c>
      <c r="I28" s="149" t="n"/>
      <c r="J28" s="55" t="n"/>
    </row>
    <row r="29" ht="24" customHeight="1">
      <c r="B29" s="11" t="inlineStr">
        <is>
          <t>Cust_020</t>
        </is>
      </c>
      <c r="C29" s="14" t="inlineStr">
        <is>
          <t>Group Filter</t>
        </is>
      </c>
      <c r="D29" s="14" t="inlineStr">
        <is>
          <t>Log in with a group that has no data available and review the Existing Customer list.</t>
        </is>
      </c>
      <c r="E29" s="14" t="inlineStr">
        <is>
          <t>The page should show "No data available" and should not display data for other groups.</t>
        </is>
      </c>
      <c r="F29" s="26" t="inlineStr">
        <is>
          <t>Pending</t>
        </is>
      </c>
      <c r="G29" s="3" t="n"/>
      <c r="H29" s="366" t="inlineStr">
        <is>
          <t>Done</t>
        </is>
      </c>
      <c r="I29" s="149" t="n"/>
      <c r="J29" s="55" t="n"/>
    </row>
    <row r="30" ht="24" customHeight="1">
      <c r="B30" s="11" t="inlineStr">
        <is>
          <t>Cust_021</t>
        </is>
      </c>
      <c r="C30" s="14" t="inlineStr">
        <is>
          <t>Reset</t>
        </is>
      </c>
      <c r="D30" s="14" t="inlineStr">
        <is>
          <t>Apply filters and then click Reset.</t>
        </is>
      </c>
      <c r="E30" s="14" t="inlineStr">
        <is>
          <t>The applied filters should be cleared.</t>
        </is>
      </c>
      <c r="F30" s="26" t="inlineStr">
        <is>
          <t>Pending</t>
        </is>
      </c>
      <c r="G30" s="3" t="n"/>
      <c r="H30" s="366" t="inlineStr">
        <is>
          <t>Done</t>
        </is>
      </c>
      <c r="I30" s="149" t="n"/>
      <c r="J30" s="55" t="n"/>
    </row>
    <row r="31" ht="60" customHeight="1">
      <c r="B31" s="11" t="inlineStr">
        <is>
          <t>Cust_022</t>
        </is>
      </c>
      <c r="C31" s="118" t="inlineStr">
        <is>
          <t>NAICS</t>
        </is>
      </c>
      <c r="D31" s="115" t="inlineStr">
        <is>
          <t>On the Modify Customer screen, review the NAICS suggestion. After selecting a NAICS value, leave mandatory fields blank in the details table and click Update.</t>
        </is>
      </c>
      <c r="E31" s="116" t="inlineStr">
        <is>
          <t>Validation errors should be displayed for the mandatory fields, and the update should not be completed.</t>
        </is>
      </c>
      <c r="F31" s="26" t="inlineStr">
        <is>
          <t>Pending</t>
        </is>
      </c>
      <c r="G31" s="83" t="n"/>
      <c r="H31" s="366" t="inlineStr">
        <is>
          <t>Done</t>
        </is>
      </c>
      <c r="I31" s="150" t="n"/>
      <c r="J31" s="55" t="n"/>
    </row>
    <row r="32" ht="24" customHeight="1">
      <c r="B32" s="11" t="inlineStr">
        <is>
          <t>Cust_023</t>
        </is>
      </c>
      <c r="C32" s="189" t="inlineStr">
        <is>
          <t>NAICS</t>
        </is>
      </c>
      <c r="D32" s="189" t="inlineStr">
        <is>
          <t>Verify the delete functionality for NAICS after adding multiple NAICS entries with different percentages.</t>
        </is>
      </c>
      <c r="E32" s="189" t="inlineStr">
        <is>
          <t>NAICS data should be deleted successfully. The total percentage for added NAICS entries should remain 100%.</t>
        </is>
      </c>
      <c r="F32" s="26" t="inlineStr">
        <is>
          <t>Pending</t>
        </is>
      </c>
      <c r="G32" s="126" t="n"/>
      <c r="H32" s="366" t="inlineStr">
        <is>
          <t>Pending</t>
        </is>
      </c>
      <c r="I32" s="160" t="n">
        <v>0.5</v>
      </c>
      <c r="J32" s="55" t="n"/>
    </row>
    <row r="33" ht="24" customHeight="1">
      <c r="B33" s="11" t="inlineStr">
        <is>
          <t>Cust_024</t>
        </is>
      </c>
      <c r="C33" s="113" t="inlineStr">
        <is>
          <t>Modify Customer</t>
        </is>
      </c>
      <c r="D33" s="14" t="inlineStr">
        <is>
          <t>Modify any customer from Existing Customers, clear mandatory fields, and click Update.</t>
        </is>
      </c>
      <c r="E33" s="14" t="inlineStr">
        <is>
          <t>The system should display validation messages for the missing mandatory fields.</t>
        </is>
      </c>
      <c r="F33" s="26" t="inlineStr">
        <is>
          <t>Pending</t>
        </is>
      </c>
      <c r="G33" s="3" t="inlineStr">
        <is>
          <t>Newly Added</t>
        </is>
      </c>
      <c r="H33" s="366" t="inlineStr">
        <is>
          <t>Pending</t>
        </is>
      </c>
      <c r="I33" s="149" t="n">
        <v>0.5</v>
      </c>
      <c r="J33" s="117" t="n">
        <v>44922</v>
      </c>
    </row>
    <row r="34" ht="24" customHeight="1">
      <c r="B34" s="11" t="inlineStr">
        <is>
          <t>Cust_025</t>
        </is>
      </c>
      <c r="C34" s="189" t="inlineStr">
        <is>
          <t>Modify Customer - Additional Information</t>
        </is>
      </c>
      <c r="D34" s="189" t="inlineStr">
        <is>
          <t>Review the Additional Information section for Add User and Add Customer Details.</t>
        </is>
      </c>
      <c r="E34" s="189" t="inlineStr">
        <is>
          <t>The user should be able to add user and customer details in this section.</t>
        </is>
      </c>
      <c r="F34" s="26" t="inlineStr">
        <is>
          <t>Pending</t>
        </is>
      </c>
      <c r="G34" s="3" t="n"/>
      <c r="H34" s="366" t="inlineStr">
        <is>
          <t>Pending</t>
        </is>
      </c>
      <c r="I34" s="149" t="n">
        <v>0.5</v>
      </c>
      <c r="J34" s="117" t="n"/>
    </row>
    <row r="35" ht="24" customHeight="1">
      <c r="B35" s="11" t="inlineStr">
        <is>
          <t>Cust_026</t>
        </is>
      </c>
      <c r="C35" s="189" t="inlineStr">
        <is>
          <t>Modify Customer - Additional Information</t>
        </is>
      </c>
      <c r="D35" s="189" t="inlineStr">
        <is>
          <t>Review the Add Customer Details section and verify the mandatory fields.</t>
        </is>
      </c>
      <c r="E35" s="189" t="inlineStr">
        <is>
          <t>The user should be able to enter all required fields under Customer Details.</t>
        </is>
      </c>
      <c r="F35" s="26" t="inlineStr">
        <is>
          <t>Pending</t>
        </is>
      </c>
      <c r="G35" s="3" t="n"/>
      <c r="H35" s="366" t="inlineStr">
        <is>
          <t>Pending</t>
        </is>
      </c>
      <c r="I35" s="149" t="n">
        <v>0.25</v>
      </c>
      <c r="J35" s="117" t="n"/>
    </row>
    <row r="36" ht="24" customHeight="1">
      <c r="B36" s="11" t="inlineStr">
        <is>
          <t>Cust_027</t>
        </is>
      </c>
      <c r="C36" s="189" t="inlineStr">
        <is>
          <t>Modify Customer - Additional Information</t>
        </is>
      </c>
      <c r="D36" s="189" t="inlineStr">
        <is>
          <t>Validate the mandatory-field messages for the Add Customer Details fields.</t>
        </is>
      </c>
      <c r="E36" s="189" t="inlineStr">
        <is>
          <t>Error messages should be displayed for missing mandatory fields in Add Customer Details.</t>
        </is>
      </c>
      <c r="F36" s="26" t="inlineStr">
        <is>
          <t>Pending</t>
        </is>
      </c>
      <c r="G36" s="3" t="n"/>
      <c r="H36" s="366" t="inlineStr">
        <is>
          <t>Pending</t>
        </is>
      </c>
      <c r="I36" s="149" t="n">
        <v>0.25</v>
      </c>
      <c r="J36" s="117" t="n"/>
    </row>
    <row r="37" ht="78.75" customHeight="1">
      <c r="B37" s="11" t="inlineStr">
        <is>
          <t>Cust_028</t>
        </is>
      </c>
      <c r="C37" s="113" t="inlineStr">
        <is>
          <t>Modify Customer</t>
        </is>
      </c>
      <c r="D37" s="14" t="inlineStr">
        <is>
          <t>Precondition: The customer should have submitted items.
Modify the customer, edit the Group field, review the group list in the dropdown, and select or unselect groups as applicable.</t>
        </is>
      </c>
      <c r="E37" s="14" t="inlineStr">
        <is>
          <t>All selected groups should be visible in the Group dropdown. The user should be able to uncheck only groups for which items are not submitted. Groups with submitted items should remain disabled for editing.</t>
        </is>
      </c>
      <c r="F37" s="26" t="inlineStr">
        <is>
          <t>Pending</t>
        </is>
      </c>
      <c r="G37" s="3" t="inlineStr">
        <is>
          <t>Newly Added</t>
        </is>
      </c>
      <c r="H37" s="366" t="inlineStr">
        <is>
          <t>Pending</t>
        </is>
      </c>
      <c r="I37" s="149" t="n">
        <v>1</v>
      </c>
      <c r="J37" s="117" t="n">
        <v>44922</v>
      </c>
    </row>
    <row r="38" ht="30.75" customHeight="1">
      <c r="B38" s="11" t="inlineStr">
        <is>
          <t>Cust_029</t>
        </is>
      </c>
      <c r="C38" s="113" t="inlineStr">
        <is>
          <t>Update Comments</t>
        </is>
      </c>
      <c r="D38" s="14" t="inlineStr">
        <is>
          <t>Add comments for a customer, then edit the comments multiple times and update each time.</t>
        </is>
      </c>
      <c r="E38" s="14" t="inlineStr">
        <is>
          <t>The user should be able to edit and update comments each time without issues.</t>
        </is>
      </c>
      <c r="F38" s="26" t="inlineStr">
        <is>
          <t>Pending</t>
        </is>
      </c>
      <c r="G38" s="3" t="inlineStr">
        <is>
          <t>Newly Added</t>
        </is>
      </c>
      <c r="H38" s="366" t="inlineStr">
        <is>
          <t>Pending</t>
        </is>
      </c>
      <c r="I38" s="149" t="n">
        <v>1</v>
      </c>
      <c r="J38" s="117" t="n">
        <v>44922</v>
      </c>
    </row>
    <row r="39" ht="72" customHeight="1">
      <c r="B39" s="11" t="inlineStr">
        <is>
          <t>Cust_030</t>
        </is>
      </c>
      <c r="C39" s="113" t="inlineStr">
        <is>
          <t>Group</t>
        </is>
      </c>
      <c r="D39" s="14" t="inlineStr">
        <is>
          <t>Precondition: A group containing "&amp;" should exist in the system, for example Cash &amp; Taxes.
Create a customer with the specified group, then modify the customer and select multiple such groups. Review the Customer Listing screen.</t>
        </is>
      </c>
      <c r="E39" s="14" t="inlineStr">
        <is>
          <t>The group should be selected correctly and should be reflected consistently across all screens.</t>
        </is>
      </c>
      <c r="F39" s="26" t="inlineStr">
        <is>
          <t>Pending</t>
        </is>
      </c>
      <c r="G39" s="3" t="inlineStr">
        <is>
          <t>Newly Added</t>
        </is>
      </c>
      <c r="H39" s="366" t="inlineStr">
        <is>
          <t>Pending</t>
        </is>
      </c>
      <c r="I39" s="149" t="n">
        <v>1</v>
      </c>
      <c r="J39" s="117" t="n">
        <v>44922</v>
      </c>
    </row>
    <row r="40" ht="24" customHeight="1">
      <c r="B40" s="11" t="inlineStr">
        <is>
          <t>Cust_031</t>
        </is>
      </c>
      <c r="C40" s="189" t="inlineStr">
        <is>
          <t>Create/Modify Customer</t>
        </is>
      </c>
      <c r="D40" s="189" t="inlineStr">
        <is>
          <t>Validate the QC and Date Range functionality during customer creation or modification.</t>
        </is>
      </c>
      <c r="E40" s="189" t="inlineStr">
        <is>
          <t>After selecting the QC checkbox, the user should be able to add the date range for QC.</t>
        </is>
      </c>
      <c r="F40" s="26" t="inlineStr">
        <is>
          <t>Pending</t>
        </is>
      </c>
      <c r="G40" s="3" t="n"/>
      <c r="H40" s="366" t="inlineStr">
        <is>
          <t>Pending</t>
        </is>
      </c>
      <c r="I40" s="3" t="n">
        <v>1</v>
      </c>
      <c r="J40" s="3" t="n"/>
    </row>
  </sheetData>
  <mergeCells count="7">
    <mergeCell ref="B6:C6"/>
    <mergeCell ref="B7:C7"/>
    <mergeCell ref="B2:F2"/>
    <mergeCell ref="B3:C3"/>
    <mergeCell ref="B5:C5"/>
    <mergeCell ref="B8:C8"/>
    <mergeCell ref="B4:C4"/>
  </mergeCells>
  <conditionalFormatting sqref="D3">
    <cfRule type="expression" priority="71" dxfId="51" stopIfTrue="1">
      <formula>AND(COUNTIF($A$8:$A$8, D3)+COUNTIF(#REF!, D3)&gt;1,NOT(ISBLANK(D3)))</formula>
    </cfRule>
  </conditionalFormatting>
  <conditionalFormatting sqref="D4">
    <cfRule type="cellIs" priority="70" operator="lessThan" dxfId="10" stopIfTrue="1">
      <formula>1</formula>
    </cfRule>
  </conditionalFormatting>
  <conditionalFormatting sqref="D4:D8">
    <cfRule type="cellIs" priority="65" operator="greaterThan" dxfId="9" stopIfTrue="1">
      <formula>0</formula>
    </cfRule>
    <cfRule type="cellIs" priority="66" operator="greaterThan" dxfId="9" stopIfTrue="1">
      <formula>1</formula>
    </cfRule>
    <cfRule type="cellIs" priority="67" operator="greaterThan" dxfId="10" stopIfTrue="1">
      <formula>0</formula>
    </cfRule>
    <cfRule type="cellIs" priority="68" operator="greaterThan" dxfId="10" stopIfTrue="1">
      <formula>1</formula>
    </cfRule>
    <cfRule type="cellIs" priority="69" operator="equal" dxfId="9" stopIfTrue="1">
      <formula>$C$3</formula>
    </cfRule>
  </conditionalFormatting>
  <conditionalFormatting sqref="D5">
    <cfRule type="cellIs" priority="30" operator="lessThan" dxfId="10" stopIfTrue="1">
      <formula>1</formula>
    </cfRule>
  </conditionalFormatting>
  <conditionalFormatting sqref="D5:E8">
    <cfRule type="cellIs" priority="34" operator="lessThan" dxfId="10" stopIfTrue="1">
      <formula>1</formula>
    </cfRule>
  </conditionalFormatting>
  <conditionalFormatting sqref="E4">
    <cfRule type="cellIs" priority="60" operator="equal" dxfId="9" stopIfTrue="1">
      <formula>1</formula>
    </cfRule>
    <cfRule type="cellIs" priority="61" operator="lessThan" dxfId="10" stopIfTrue="1">
      <formula>1</formula>
    </cfRule>
  </conditionalFormatting>
  <conditionalFormatting sqref="E5:E8">
    <cfRule type="cellIs" priority="31" operator="equal" dxfId="9" stopIfTrue="1">
      <formula>1</formula>
    </cfRule>
    <cfRule type="cellIs" priority="32" operator="lessThan" dxfId="10" stopIfTrue="1">
      <formula>1</formula>
    </cfRule>
    <cfRule type="cellIs" priority="33" operator="equal" dxfId="9" stopIfTrue="1">
      <formula>1</formula>
    </cfRule>
  </conditionalFormatting>
  <conditionalFormatting sqref="E4:F4">
    <cfRule type="cellIs" priority="56" operator="equal" dxfId="9" stopIfTrue="1">
      <formula>1</formula>
    </cfRule>
    <cfRule type="cellIs" priority="57" operator="lessThan" dxfId="10" stopIfTrue="1">
      <formula>1</formula>
    </cfRule>
  </conditionalFormatting>
  <conditionalFormatting sqref="F4">
    <cfRule type="cellIs" priority="54" operator="equal" dxfId="9" stopIfTrue="1">
      <formula>1</formula>
    </cfRule>
    <cfRule type="cellIs" priority="55" operator="lessThan" dxfId="10" stopIfTrue="1">
      <formula>1</formula>
    </cfRule>
  </conditionalFormatting>
  <conditionalFormatting sqref="F5">
    <cfRule type="cellIs" priority="50" operator="greaterThan" dxfId="10" stopIfTrue="1">
      <formula>0</formula>
    </cfRule>
    <cfRule type="cellIs" priority="51" operator="equal" dxfId="9" stopIfTrue="1">
      <formula>0</formula>
    </cfRule>
    <cfRule type="cellIs" priority="52" operator="greaterThan" dxfId="10" stopIfTrue="1">
      <formula>0</formula>
    </cfRule>
    <cfRule type="cellIs" priority="53" operator="equal" dxfId="9" stopIfTrue="1">
      <formula>0</formula>
    </cfRule>
  </conditionalFormatting>
  <conditionalFormatting sqref="F6">
    <cfRule type="cellIs" priority="48" operator="equal" dxfId="9" stopIfTrue="1">
      <formula>0</formula>
    </cfRule>
    <cfRule type="cellIs" priority="49" operator="greaterThan" dxfId="22" stopIfTrue="1">
      <formula>0</formula>
    </cfRule>
  </conditionalFormatting>
  <conditionalFormatting sqref="F6:F7">
    <cfRule type="cellIs" priority="44" operator="equal" dxfId="9" stopIfTrue="1">
      <formula>0</formula>
    </cfRule>
    <cfRule type="cellIs" priority="45" operator="greaterThan" dxfId="22" stopIfTrue="1">
      <formula>0</formula>
    </cfRule>
  </conditionalFormatting>
  <conditionalFormatting sqref="F7:F8">
    <cfRule type="cellIs" priority="40" operator="equal" dxfId="9" stopIfTrue="1">
      <formula>0</formula>
    </cfRule>
    <cfRule type="cellIs" priority="41" operator="greaterThan" dxfId="22" stopIfTrue="1">
      <formula>0</formula>
    </cfRule>
  </conditionalFormatting>
  <conditionalFormatting sqref="F8">
    <cfRule type="cellIs" priority="38" operator="equal" dxfId="9" stopIfTrue="1">
      <formula>0</formula>
    </cfRule>
    <cfRule type="cellIs" priority="39" operator="greaterThan" dxfId="22" stopIfTrue="1">
      <formula>0</formula>
    </cfRule>
  </conditionalFormatting>
  <conditionalFormatting sqref="F10:F40">
    <cfRule type="cellIs" priority="23" operator="equal" dxfId="6" stopIfTrue="1">
      <formula>"NA"</formula>
    </cfRule>
    <cfRule type="cellIs" priority="24" operator="equal" dxfId="5" stopIfTrue="1">
      <formula>"Blocked"</formula>
    </cfRule>
    <cfRule type="cellIs" priority="25" operator="equal" dxfId="4" stopIfTrue="1">
      <formula>"Pending"</formula>
    </cfRule>
    <cfRule type="cellIs" priority="26" operator="equal" dxfId="0" stopIfTrue="1">
      <formula>"Passed"</formula>
    </cfRule>
    <cfRule type="cellIs" priority="27" operator="equal" dxfId="1" stopIfTrue="1">
      <formula>"Failed"</formula>
    </cfRule>
    <cfRule type="cellIs" priority="28" operator="equal" dxfId="1" stopIfTrue="1">
      <formula>"Fail"</formula>
    </cfRule>
    <cfRule type="cellIs" priority="29" operator="equal" dxfId="0" stopIfTrue="1">
      <formula>"Pass"</formula>
    </cfRule>
  </conditionalFormatting>
  <conditionalFormatting sqref="G5:G8">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0:H40">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40" showDropDown="0" showInputMessage="1" showErrorMessage="1" allowBlank="1" type="list">
      <formula1>"Passed,Failed,Blocked,Pending,NA"</formula1>
    </dataValidation>
    <dataValidation sqref="H10:H40"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B2:J58"/>
  <sheetViews>
    <sheetView showGridLines="0" workbookViewId="0">
      <selection activeCell="G12" sqref="G12"/>
    </sheetView>
  </sheetViews>
  <sheetFormatPr baseColWidth="8" defaultRowHeight="15"/>
  <cols>
    <col width="5" customWidth="1" min="1" max="1"/>
    <col width="30.7109375" customWidth="1" min="3" max="3"/>
    <col width="44.7109375" customWidth="1" min="4" max="5"/>
    <col width="14.28515625" customWidth="1" min="7" max="7"/>
    <col width="17.85546875" customWidth="1" min="8" max="8"/>
    <col width="17.28515625" customWidth="1" min="9" max="9"/>
    <col width="14.28515625" customWidth="1" min="10"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COUNTIF(F9:F42,"Passed")</f>
        <v/>
      </c>
      <c r="E4" s="53">
        <f>IF(D4=0,,(D4/(D4+D5)))</f>
        <v/>
      </c>
      <c r="F4" s="51">
        <f>IF(D3=0,,(D4/D3))</f>
        <v/>
      </c>
      <c r="G4" s="156">
        <f>COUNTIF(H10:H493,"Done")</f>
        <v/>
      </c>
    </row>
    <row r="5" ht="15.75" customHeight="1" thickBot="1">
      <c r="B5" s="350" t="inlineStr">
        <is>
          <t>Failed</t>
        </is>
      </c>
      <c r="D5" s="52">
        <f>COUNTIF(F9:F110,"Failed")</f>
        <v/>
      </c>
      <c r="E5" s="53">
        <f>IF(D5=0,,(D5/(D5+D6)))</f>
        <v/>
      </c>
      <c r="F5" s="51">
        <f>IF(D3=0,,(D5/D3))</f>
        <v/>
      </c>
      <c r="G5" s="52">
        <f>COUNTIF(H10:H493,"Failed")</f>
        <v/>
      </c>
    </row>
    <row r="6" ht="15.75" customHeight="1" thickBot="1">
      <c r="B6" s="350" t="inlineStr">
        <is>
          <t>Blocked</t>
        </is>
      </c>
      <c r="D6" s="52">
        <f>COUNTIF(F9:F110,"Blocked")</f>
        <v/>
      </c>
      <c r="E6" s="53">
        <f>IF(D6=0,,(D6/(D6+D7)))</f>
        <v/>
      </c>
      <c r="F6" s="51">
        <f>IF(D3=0,,(D6/D3))</f>
        <v/>
      </c>
      <c r="G6" s="52">
        <f>COUNTIF(H10:H493,"Blocked")</f>
        <v/>
      </c>
    </row>
    <row r="7" ht="15.75" customHeight="1" thickBot="1">
      <c r="B7" s="350" t="inlineStr">
        <is>
          <t>Pending</t>
        </is>
      </c>
      <c r="D7" s="52">
        <f>COUNTIF(F9:F500,"Pending")</f>
        <v/>
      </c>
      <c r="E7" s="53">
        <f>IF(D7=0,,(D7/(D7+D8)))</f>
        <v/>
      </c>
      <c r="F7" s="51">
        <f>IF(D3=0,,(D7/D3))</f>
        <v/>
      </c>
      <c r="G7" s="52">
        <f>COUNTIF(H10:H493,"Pending")</f>
        <v/>
      </c>
    </row>
    <row r="8" ht="15.75" customHeight="1" thickBot="1">
      <c r="B8" s="350" t="inlineStr">
        <is>
          <t>Not Applicable</t>
        </is>
      </c>
      <c r="D8" s="52">
        <f>COUNTIF(F9:F110,"Not Applicable")</f>
        <v/>
      </c>
      <c r="E8" s="53">
        <f>IF(D8=0,,(D8/(D8+#REF!)))</f>
        <v/>
      </c>
      <c r="F8" s="51">
        <f>IF(D3=0,,(D8/D3))</f>
        <v/>
      </c>
      <c r="G8" s="52">
        <f>COUNTIF(H10:H493,"Out of Scope")</f>
        <v/>
      </c>
    </row>
    <row r="9" ht="15.75" customHeight="1" thickBot="1">
      <c r="B9" s="22" t="inlineStr">
        <is>
          <t>S.No.</t>
        </is>
      </c>
      <c r="C9" s="8" t="inlineStr">
        <is>
          <t>Module/Sub-Module</t>
        </is>
      </c>
      <c r="D9" s="1" t="inlineStr">
        <is>
          <t>Test Steps</t>
        </is>
      </c>
      <c r="E9" s="2" t="inlineStr">
        <is>
          <t>Expected Results</t>
        </is>
      </c>
      <c r="F9" s="8" t="inlineStr">
        <is>
          <t>Result</t>
        </is>
      </c>
      <c r="G9" s="8" t="inlineStr">
        <is>
          <t>Bug ID</t>
        </is>
      </c>
      <c r="H9" s="8" t="inlineStr">
        <is>
          <t>Automation Status</t>
        </is>
      </c>
      <c r="I9" s="8" t="inlineStr">
        <is>
          <t>Mapped Scripts</t>
        </is>
      </c>
      <c r="J9" s="2" t="inlineStr">
        <is>
          <t>Comments</t>
        </is>
      </c>
    </row>
    <row r="10" ht="24" customHeight="1">
      <c r="B10" s="11" t="inlineStr">
        <is>
          <t>Item_001</t>
        </is>
      </c>
      <c r="C10" s="11" t="inlineStr">
        <is>
          <t>Add Item</t>
        </is>
      </c>
      <c r="D10" s="13" t="inlineStr">
        <is>
          <t>Navigate to Spreading &gt; Existing Customer &gt; Action &gt; Add Item.</t>
        </is>
      </c>
      <c r="E10" s="13" t="inlineStr">
        <is>
          <t>The Add Item option should be available.</t>
        </is>
      </c>
      <c r="F10" s="26" t="inlineStr">
        <is>
          <t>Pending</t>
        </is>
      </c>
      <c r="G10" s="7" t="n"/>
      <c r="H10" s="154" t="inlineStr">
        <is>
          <t>Done</t>
        </is>
      </c>
      <c r="I10" s="148" t="n"/>
      <c r="J10" s="55" t="n"/>
    </row>
    <row r="11" ht="36" customHeight="1">
      <c r="B11" s="11" t="inlineStr">
        <is>
          <t>Item_002</t>
        </is>
      </c>
      <c r="C11" s="13" t="inlineStr">
        <is>
          <t>Add Item - Upload File from System</t>
        </is>
      </c>
      <c r="D11" s="13" t="inlineStr">
        <is>
          <t>1. Open the Add New Item page.
2. Choose the option to browse and add an additional file.</t>
        </is>
      </c>
      <c r="E11" s="13" t="inlineStr">
        <is>
          <t>A "Choose File Type To Upload" pop-up with the File Upload field should be displayed.</t>
        </is>
      </c>
      <c r="F11" s="26" t="inlineStr">
        <is>
          <t>Pending</t>
        </is>
      </c>
      <c r="G11" s="3" t="n"/>
      <c r="H11" s="366" t="inlineStr">
        <is>
          <t>Done</t>
        </is>
      </c>
      <c r="I11" s="149" t="n"/>
      <c r="J11" s="55" t="n"/>
    </row>
    <row r="12" ht="90.75" customHeight="1">
      <c r="B12" s="11" t="inlineStr">
        <is>
          <t>Item_003</t>
        </is>
      </c>
      <c r="C12" s="13" t="inlineStr">
        <is>
          <t>Add Item - Upload File from System</t>
        </is>
      </c>
      <c r="D12" s="13" t="inlineStr">
        <is>
          <t>1. Select the file type as PDF, Word, JPEG, or PNG.
2. Click Choose in the File Upload section.
3. Select the file.
4. Click Open.
Note: Word files are converted to PDF automatically for spreading.</t>
        </is>
      </c>
      <c r="E12" s="13" t="inlineStr">
        <is>
          <t>1. The selected file category should be applied.
2. Only supported files for the selected category should be shown.
3. The user should be able to change the drive.
4. The file should be uploaded, and a "Successfully uploaded" pop-up should be displayed.</t>
        </is>
      </c>
      <c r="F12" s="26" t="inlineStr">
        <is>
          <t>Pending</t>
        </is>
      </c>
      <c r="G12" s="3" t="n"/>
      <c r="H12" s="366" t="inlineStr">
        <is>
          <t>Done</t>
        </is>
      </c>
      <c r="I12" s="149" t="n"/>
      <c r="J12" s="55" t="n"/>
    </row>
    <row r="13" ht="75" customHeight="1">
      <c r="B13" s="11" t="inlineStr">
        <is>
          <t>Item_004</t>
        </is>
      </c>
      <c r="C13" s="13" t="inlineStr">
        <is>
          <t>Add 100 MB File</t>
        </is>
      </c>
      <c r="D13" s="13" t="inlineStr">
        <is>
          <t>Select a 100 MB file from the system, upload it, and save the item.</t>
        </is>
      </c>
      <c r="E13" s="13" t="inlineStr">
        <is>
          <t>The user should be able to upload the file and save the item.</t>
        </is>
      </c>
      <c r="F13" s="26" t="inlineStr">
        <is>
          <t>Pending</t>
        </is>
      </c>
      <c r="G13" s="3" t="n"/>
      <c r="H13" s="366" t="inlineStr">
        <is>
          <t>Blocked</t>
        </is>
      </c>
      <c r="I13" s="167" t="inlineStr">
        <is>
          <t>https://github.com/abramenal/cypress-file-upload/issues/273</t>
        </is>
      </c>
      <c r="J13" s="168" t="inlineStr">
        <is>
          <t>Issue with uploading large size  file</t>
        </is>
      </c>
    </row>
    <row r="14" ht="36" customHeight="1">
      <c r="B14" s="11" t="inlineStr">
        <is>
          <t>Item_005</t>
        </is>
      </c>
      <c r="C14" s="13" t="inlineStr">
        <is>
          <t>Add Different File Formats</t>
        </is>
      </c>
      <c r="D14" s="13" t="inlineStr">
        <is>
          <t>Upload the following file formats:
Doc, DOCX, RTF
Excel (XLSX, XLSM, XLTX)
Image (PNG, JPEG)</t>
        </is>
      </c>
      <c r="E14" s="13" t="inlineStr">
        <is>
          <t>The system should support all the listed formats.</t>
        </is>
      </c>
      <c r="F14" s="26" t="inlineStr">
        <is>
          <t>Pending</t>
        </is>
      </c>
      <c r="G14" s="3" t="n"/>
      <c r="H14" s="366" t="inlineStr">
        <is>
          <t>Done</t>
        </is>
      </c>
      <c r="I14" s="149" t="n"/>
      <c r="J14" s="55" t="n"/>
    </row>
    <row r="15" ht="48" customHeight="1">
      <c r="B15" s="11" t="inlineStr">
        <is>
          <t>Item_006</t>
        </is>
      </c>
      <c r="C15" s="13" t="inlineStr">
        <is>
          <t>Split File - PDF</t>
        </is>
      </c>
      <c r="D15" s="13" t="inlineStr">
        <is>
          <t>Add an item and select a PDF file. After upload, review the Split Yes/No option in the ribbon, save the item, and observe the Spread button.</t>
        </is>
      </c>
      <c r="E15" s="13" t="inlineStr">
        <is>
          <t>The file should be processed and saved. The Spread button should remain disabled until processing is complete.</t>
        </is>
      </c>
      <c r="F15" s="26" t="inlineStr">
        <is>
          <t>Pending</t>
        </is>
      </c>
      <c r="G15" s="3" t="n"/>
      <c r="H15" s="366" t="inlineStr">
        <is>
          <t>Done</t>
        </is>
      </c>
      <c r="I15" s="149" t="n"/>
      <c r="J15" s="55" t="n"/>
    </row>
    <row r="16" ht="48" customHeight="1">
      <c r="B16" s="11" t="inlineStr">
        <is>
          <t>Item_007</t>
        </is>
      </c>
      <c r="C16" s="13" t="inlineStr">
        <is>
          <t>Split File - Excel</t>
        </is>
      </c>
      <c r="D16" s="13" t="inlineStr">
        <is>
          <t>Add an item and select an Excel file. Verify that Split is set to No by default for Excel, save the item, and click Spread.</t>
        </is>
      </c>
      <c r="E16" s="13" t="inlineStr">
        <is>
          <t>Split should be disabled for Excel, and the Spreading screen should open.</t>
        </is>
      </c>
      <c r="F16" s="26" t="inlineStr">
        <is>
          <t>Pending</t>
        </is>
      </c>
      <c r="G16" s="3" t="n"/>
      <c r="H16" s="366" t="inlineStr">
        <is>
          <t>Done</t>
        </is>
      </c>
      <c r="I16" s="149" t="n"/>
      <c r="J16" s="55" t="n"/>
    </row>
    <row r="17" ht="36" customHeight="1">
      <c r="B17" s="11" t="inlineStr">
        <is>
          <t>Item_008</t>
        </is>
      </c>
      <c r="C17" s="13" t="inlineStr">
        <is>
          <t>Split File - PDF</t>
        </is>
      </c>
      <c r="D17" s="13" t="inlineStr">
        <is>
          <t>Upload a file, choose Split = No, and add the item. Then modify the item, change Split to Yes, update it, and observe the Spread button.</t>
        </is>
      </c>
      <c r="E17" s="13" t="inlineStr">
        <is>
          <t>The user should be able to change Split between Yes and No, and the Spread button should be enabled.</t>
        </is>
      </c>
      <c r="F17" s="26" t="inlineStr">
        <is>
          <t>Pending</t>
        </is>
      </c>
      <c r="G17" s="3" t="n"/>
      <c r="H17" s="366" t="inlineStr">
        <is>
          <t>Done</t>
        </is>
      </c>
      <c r="I17" s="149" t="n"/>
      <c r="J17" s="55" t="n"/>
    </row>
    <row r="18" ht="36" customHeight="1">
      <c r="B18" s="11" t="inlineStr">
        <is>
          <t>Item_009</t>
        </is>
      </c>
      <c r="C18" s="13" t="inlineStr">
        <is>
          <t>Document Classification</t>
        </is>
      </c>
      <c r="D18" s="13" t="inlineStr">
        <is>
          <t>Upload a file and wait until processing starts. Verify that Document Classification begins and shows percentage progress until completion.</t>
        </is>
      </c>
      <c r="E18" s="13" t="inlineStr">
        <is>
          <t>Document Classification should start and display progress.</t>
        </is>
      </c>
      <c r="F18" s="26" t="inlineStr">
        <is>
          <t>Pending</t>
        </is>
      </c>
      <c r="G18" s="3" t="n"/>
      <c r="H18" s="366" t="inlineStr">
        <is>
          <t>Done</t>
        </is>
      </c>
      <c r="I18" s="149" t="n"/>
      <c r="J18" s="55" t="n"/>
    </row>
    <row r="19" ht="24" customHeight="1">
      <c r="B19" s="11" t="inlineStr">
        <is>
          <t>Item_010</t>
        </is>
      </c>
      <c r="C19" s="13" t="inlineStr">
        <is>
          <t>Document Classification</t>
        </is>
      </c>
      <c r="D19" s="13" t="inlineStr">
        <is>
          <t>Verify that metadata is auto-populated after Document Classification is completed.</t>
        </is>
      </c>
      <c r="E19" s="13" t="inlineStr">
        <is>
          <t>Metadata should be auto-populated.</t>
        </is>
      </c>
      <c r="F19" s="26" t="inlineStr">
        <is>
          <t>Pending</t>
        </is>
      </c>
      <c r="G19" s="3" t="n"/>
      <c r="H19" s="366" t="inlineStr">
        <is>
          <t>Done</t>
        </is>
      </c>
      <c r="I19" s="149" t="n"/>
      <c r="J19" s="55" t="n"/>
    </row>
    <row r="20" ht="48" customHeight="1">
      <c r="B20" s="11" t="inlineStr">
        <is>
          <t>Item_011</t>
        </is>
      </c>
      <c r="C20" s="13" t="inlineStr">
        <is>
          <t>Document Classification</t>
        </is>
      </c>
      <c r="D20" s="13" t="inlineStr">
        <is>
          <t>Verify that the auto-populated metadata matches the uploaded file. Also verify that manually entered values are not overwritten by predictions.</t>
        </is>
      </c>
      <c r="E20" s="13" t="inlineStr">
        <is>
          <t>The auto-populated metadata should be correct, and existing manually entered values should not be overwritten.</t>
        </is>
      </c>
      <c r="F20" s="26" t="inlineStr">
        <is>
          <t>Pending</t>
        </is>
      </c>
      <c r="G20" s="3" t="n"/>
      <c r="H20" s="366" t="inlineStr">
        <is>
          <t>Done</t>
        </is>
      </c>
      <c r="I20" s="149" t="n"/>
      <c r="J20" s="55" t="n"/>
    </row>
    <row r="21" ht="24" customHeight="1">
      <c r="B21" s="11" t="inlineStr">
        <is>
          <t>Item_012</t>
        </is>
      </c>
      <c r="C21" s="13" t="inlineStr">
        <is>
          <t>Document Classification</t>
        </is>
      </c>
      <c r="D21" s="13" t="inlineStr">
        <is>
          <t>Upload an Excel file and observe the Document Classification process.</t>
        </is>
      </c>
      <c r="E21" s="13" t="inlineStr">
        <is>
          <t>Document Classification should be disabled for Excel files.</t>
        </is>
      </c>
      <c r="F21" s="26" t="inlineStr">
        <is>
          <t>Pending</t>
        </is>
      </c>
      <c r="G21" s="3" t="n"/>
      <c r="H21" s="366" t="inlineStr">
        <is>
          <t>Done</t>
        </is>
      </c>
      <c r="I21" s="149" t="n"/>
      <c r="J21" s="55" t="n"/>
    </row>
    <row r="22" ht="24" customHeight="1">
      <c r="B22" s="11" t="inlineStr">
        <is>
          <t>Item_013</t>
        </is>
      </c>
      <c r="C22" s="13" t="inlineStr">
        <is>
          <t>Notes Processing</t>
        </is>
      </c>
      <c r="D22" s="13" t="inlineStr">
        <is>
          <t>Verify that Notes Processing starts and shows percentage progress once the file is processed.</t>
        </is>
      </c>
      <c r="E22" s="13" t="inlineStr">
        <is>
          <t>Notes Processing should start.</t>
        </is>
      </c>
      <c r="F22" s="26" t="inlineStr">
        <is>
          <t>Pending</t>
        </is>
      </c>
      <c r="G22" s="3" t="n"/>
      <c r="H22" s="366" t="inlineStr">
        <is>
          <t>Done</t>
        </is>
      </c>
      <c r="I22" s="149" t="n"/>
      <c r="J22" s="55" t="n"/>
    </row>
    <row r="23" ht="24" customHeight="1">
      <c r="B23" s="11" t="inlineStr">
        <is>
          <t>Item_014</t>
        </is>
      </c>
      <c r="C23" s="13" t="inlineStr">
        <is>
          <t>Notes Processing</t>
        </is>
      </c>
      <c r="D23" s="13" t="inlineStr">
        <is>
          <t>Verify that Notes Processing starts even when AI/ML is set to No.</t>
        </is>
      </c>
      <c r="E23" s="13" t="inlineStr">
        <is>
          <t>Notes Processing should start.</t>
        </is>
      </c>
      <c r="F23" s="26" t="inlineStr">
        <is>
          <t>Pending</t>
        </is>
      </c>
      <c r="G23" s="3" t="n"/>
      <c r="H23" s="366" t="inlineStr">
        <is>
          <t>Done</t>
        </is>
      </c>
      <c r="I23" s="149" t="n"/>
      <c r="J23" s="55" t="n"/>
    </row>
    <row r="24" ht="24" customHeight="1">
      <c r="B24" s="11" t="inlineStr">
        <is>
          <t>Item_015</t>
        </is>
      </c>
      <c r="C24" s="13" t="inlineStr">
        <is>
          <t>Notes Processing</t>
        </is>
      </c>
      <c r="D24" s="13" t="inlineStr">
        <is>
          <t>Verify that Notes Processing is disabled when an Excel file is uploaded.</t>
        </is>
      </c>
      <c r="E24" s="13" t="inlineStr">
        <is>
          <t>Notes Processing should be disabled for Excel files.</t>
        </is>
      </c>
      <c r="F24" s="26" t="inlineStr">
        <is>
          <t>Pending</t>
        </is>
      </c>
      <c r="G24" s="3" t="n"/>
      <c r="H24" s="366" t="inlineStr">
        <is>
          <t>Done</t>
        </is>
      </c>
      <c r="I24" s="149" t="n"/>
      <c r="J24" s="55" t="n"/>
    </row>
    <row r="25" ht="48" customHeight="1">
      <c r="B25" s="11" t="inlineStr">
        <is>
          <t>Item_016</t>
        </is>
      </c>
      <c r="C25" s="13" t="inlineStr">
        <is>
          <t>Add Item - Upload File from System</t>
        </is>
      </c>
      <c r="D25" s="13" t="inlineStr">
        <is>
          <t>After uploading a file, select the language. Then review the prompt for Automatic Table Identification and choose Yes or No.</t>
        </is>
      </c>
      <c r="E25" s="13" t="inlineStr">
        <is>
          <t>After the option is selected, a status bar showing Upload, Processed, and Extracted should be displayed.</t>
        </is>
      </c>
      <c r="F25" s="26" t="inlineStr">
        <is>
          <t>Pending</t>
        </is>
      </c>
      <c r="G25" s="3" t="n"/>
      <c r="H25" s="366" t="inlineStr">
        <is>
          <t>Done</t>
        </is>
      </c>
      <c r="I25" s="149" t="n"/>
      <c r="J25" s="55" t="n"/>
    </row>
    <row r="26">
      <c r="B26" s="11" t="inlineStr">
        <is>
          <t>Item_017</t>
        </is>
      </c>
      <c r="C26" s="186" t="inlineStr">
        <is>
          <t>Add Item - File Preview</t>
        </is>
      </c>
      <c r="D26" s="186" t="inlineStr">
        <is>
          <t>Click the uploaded file to view it in the preview section.</t>
        </is>
      </c>
      <c r="E26" s="186" t="inlineStr">
        <is>
          <t>The file should be displayed in the preview section.</t>
        </is>
      </c>
      <c r="F26" s="26" t="inlineStr">
        <is>
          <t>Pending</t>
        </is>
      </c>
      <c r="G26" s="3" t="n"/>
      <c r="H26" s="366" t="inlineStr">
        <is>
          <t>Done</t>
        </is>
      </c>
      <c r="I26" s="149" t="n"/>
      <c r="J26" s="55" t="n"/>
    </row>
    <row r="27" ht="180" customHeight="1">
      <c r="B27" s="11" t="inlineStr">
        <is>
          <t>Item_018</t>
        </is>
      </c>
      <c r="C27" s="13" t="inlineStr">
        <is>
          <t>Item Details</t>
        </is>
      </c>
      <c r="D27" s="13" t="inlineStr">
        <is>
          <t>Select values for the following fields:
Item Name
Audit Method
Frequency
Statement Date
Balance Sheet Date
Period
Group
Model
Taxonomy Group
Spread Type
Reconcile To
Currency
Unit</t>
        </is>
      </c>
      <c r="E27" s="13" t="inlineStr">
        <is>
          <t>The user should be able to select the required options from the dropdown fields.</t>
        </is>
      </c>
      <c r="F27" s="26" t="inlineStr">
        <is>
          <t>Pending</t>
        </is>
      </c>
      <c r="G27" s="3" t="n"/>
      <c r="H27" s="366" t="inlineStr">
        <is>
          <t>Done</t>
        </is>
      </c>
      <c r="I27" s="149" t="n"/>
      <c r="J27" s="55" t="n"/>
    </row>
    <row r="28" ht="36" customHeight="1">
      <c r="B28" s="11" t="inlineStr">
        <is>
          <t>Item_019</t>
        </is>
      </c>
      <c r="C28" s="13" t="inlineStr">
        <is>
          <t>Item Details</t>
        </is>
      </c>
      <c r="D28" s="13" t="inlineStr">
        <is>
          <t>Verify that the user can enter data in all fields and cannot save the item unless mandatory fields are completed.</t>
        </is>
      </c>
      <c r="E28" s="13" t="inlineStr">
        <is>
          <t>The item should be added only when all mandatory fields have valid values.</t>
        </is>
      </c>
      <c r="F28" s="26" t="inlineStr">
        <is>
          <t>Pending</t>
        </is>
      </c>
      <c r="G28" s="3" t="n"/>
      <c r="H28" s="366" t="inlineStr">
        <is>
          <t>Done</t>
        </is>
      </c>
      <c r="I28" s="149" t="n"/>
      <c r="J28" s="55" t="n"/>
    </row>
    <row r="29" ht="180" customHeight="1">
      <c r="B29" s="11" t="inlineStr">
        <is>
          <t>Item_020</t>
        </is>
      </c>
      <c r="C29" s="13" t="inlineStr">
        <is>
          <t>Item List Screen</t>
        </is>
      </c>
      <c r="D29" s="13" t="inlineStr">
        <is>
          <t>After adding an item, verify the displayed item details and columns in the Item List screen.</t>
        </is>
      </c>
      <c r="E29" s="13" t="inlineStr">
        <is>
          <t>The Item List screen should display columns such as Item Name, Frequency, Statement Date, Audit Method, Status, Action Date, Spread Type, Received, Model, Analyst, Checker, and Action.</t>
        </is>
      </c>
      <c r="F29" s="26" t="inlineStr">
        <is>
          <t>Pending</t>
        </is>
      </c>
      <c r="G29" s="3" t="n"/>
      <c r="H29" s="366" t="inlineStr">
        <is>
          <t>Done</t>
        </is>
      </c>
      <c r="I29" s="149" t="n"/>
      <c r="J29" s="55" t="n"/>
    </row>
    <row r="30" ht="24" customHeight="1">
      <c r="B30" s="11" t="inlineStr">
        <is>
          <t>Item_021</t>
        </is>
      </c>
      <c r="C30" s="13" t="inlineStr">
        <is>
          <t>Add Item</t>
        </is>
      </c>
      <c r="D30" s="13" t="inlineStr">
        <is>
          <t>After entering the required details, click Add Item.</t>
        </is>
      </c>
      <c r="E30" s="13" t="inlineStr">
        <is>
          <t>The user should be able to add the item, and an "Item created" pop-up should be displayed.</t>
        </is>
      </c>
      <c r="F30" s="26" t="inlineStr">
        <is>
          <t>Pending</t>
        </is>
      </c>
      <c r="G30" s="3" t="n"/>
      <c r="H30" s="366" t="inlineStr">
        <is>
          <t>Done</t>
        </is>
      </c>
      <c r="I30" s="149" t="n"/>
      <c r="J30" s="55" t="n"/>
    </row>
    <row r="31" ht="24" customHeight="1">
      <c r="B31" s="11" t="inlineStr">
        <is>
          <t>Item_022</t>
        </is>
      </c>
      <c r="C31" s="13" t="inlineStr">
        <is>
          <t>Add Item - File Store</t>
        </is>
      </c>
      <c r="D31" s="13" t="inlineStr">
        <is>
          <t>Open the Add New Item page and choose the option to add files from File Store.</t>
        </is>
      </c>
      <c r="E31" s="13" t="inlineStr">
        <is>
          <t>The upload-from-File-Store option should be available.</t>
        </is>
      </c>
      <c r="F31" s="26" t="inlineStr">
        <is>
          <t>Pending</t>
        </is>
      </c>
      <c r="G31" s="3" t="n"/>
      <c r="H31" s="366" t="inlineStr">
        <is>
          <t>Done</t>
        </is>
      </c>
      <c r="I31" s="149" t="n"/>
      <c r="J31" s="55" t="n"/>
    </row>
    <row r="32" ht="48" customHeight="1">
      <c r="B32" s="11" t="inlineStr">
        <is>
          <t>Item_023</t>
        </is>
      </c>
      <c r="C32" s="13" t="inlineStr">
        <is>
          <t>Add Item - File Store</t>
        </is>
      </c>
      <c r="D32" s="13" t="inlineStr">
        <is>
          <t>Open File Store, review the list of existing files, move a file using the selection arrow, and click Map to Customer.</t>
        </is>
      </c>
      <c r="E32" s="13" t="inlineStr">
        <is>
          <t>The user should be able to select the file.</t>
        </is>
      </c>
      <c r="F32" s="26" t="inlineStr">
        <is>
          <t>Pending</t>
        </is>
      </c>
      <c r="G32" s="3" t="n"/>
      <c r="H32" s="366" t="inlineStr">
        <is>
          <t>Done</t>
        </is>
      </c>
      <c r="I32" s="149" t="n"/>
      <c r="J32" s="55" t="n"/>
    </row>
    <row r="33" ht="24" customHeight="1">
      <c r="B33" s="11" t="inlineStr">
        <is>
          <t>Item_024</t>
        </is>
      </c>
      <c r="C33" s="13" t="inlineStr">
        <is>
          <t>Add Item - File Store</t>
        </is>
      </c>
      <c r="D33" s="13" t="inlineStr">
        <is>
          <t>Complete the item details on the item screen and save the item.</t>
        </is>
      </c>
      <c r="E33" s="13" t="inlineStr">
        <is>
          <t>The item should be created successfully using a file from File Store.</t>
        </is>
      </c>
      <c r="F33" s="26" t="inlineStr">
        <is>
          <t>Pending</t>
        </is>
      </c>
      <c r="G33" s="3" t="n"/>
      <c r="H33" s="366" t="inlineStr">
        <is>
          <t>Done</t>
        </is>
      </c>
      <c r="I33" s="149" t="n"/>
      <c r="J33" s="55" t="n"/>
    </row>
    <row r="34" ht="144" customHeight="1">
      <c r="B34" s="11" t="inlineStr">
        <is>
          <t>Item_025</t>
        </is>
      </c>
      <c r="C34" s="13" t="inlineStr">
        <is>
          <t>Modify Item</t>
        </is>
      </c>
      <c r="D34" s="13" t="inlineStr">
        <is>
          <t>Open an item in Received status with one or more files, navigate to Modify Item, delete a file from the existing files list, submit the changes, and review the details on the Spreading screen.</t>
        </is>
      </c>
      <c r="E34" s="13" t="inlineStr">
        <is>
          <t>The user should be able to remove a file from the existing files. If multiple files remain, they should be merged accordingly.</t>
        </is>
      </c>
      <c r="F34" s="26" t="inlineStr">
        <is>
          <t>Pending</t>
        </is>
      </c>
      <c r="G34" s="3" t="n"/>
      <c r="H34" s="366" t="inlineStr">
        <is>
          <t>Done</t>
        </is>
      </c>
      <c r="I34" s="149" t="n"/>
      <c r="J34" s="55" t="n"/>
    </row>
    <row r="35" ht="48" customHeight="1">
      <c r="B35" s="11" t="inlineStr">
        <is>
          <t>Item_026</t>
        </is>
      </c>
      <c r="C35" s="13" t="inlineStr">
        <is>
          <t>Action Button - Modify</t>
        </is>
      </c>
      <c r="D35" s="13" t="inlineStr">
        <is>
          <t>Verify that the user can click Modify from the Action button, delete a file from the existing files, and update the item.</t>
        </is>
      </c>
      <c r="E35" s="13" t="inlineStr">
        <is>
          <t>The selected file should be removed.</t>
        </is>
      </c>
      <c r="F35" s="26" t="inlineStr">
        <is>
          <t>Pending</t>
        </is>
      </c>
      <c r="G35" s="3" t="n"/>
      <c r="H35" s="366" t="inlineStr">
        <is>
          <t>Done</t>
        </is>
      </c>
      <c r="I35" s="149" t="n"/>
      <c r="J35" s="55" t="n"/>
    </row>
    <row r="36" ht="48" customHeight="1">
      <c r="B36" s="11" t="inlineStr">
        <is>
          <t>Item_027</t>
        </is>
      </c>
      <c r="C36" s="13" t="inlineStr">
        <is>
          <t>Action Button - Modify</t>
        </is>
      </c>
      <c r="D36" s="13" t="inlineStr">
        <is>
          <t>On the Modify screen, update the item details and click Update Item. Then verify the changes on the Spreading screen.</t>
        </is>
      </c>
      <c r="E36" s="13" t="inlineStr">
        <is>
          <t>The item details should be updated.</t>
        </is>
      </c>
      <c r="F36" s="26" t="inlineStr">
        <is>
          <t>Pending</t>
        </is>
      </c>
      <c r="G36" s="3" t="n"/>
      <c r="H36" s="366" t="inlineStr">
        <is>
          <t>Done</t>
        </is>
      </c>
      <c r="I36" s="149" t="n"/>
      <c r="J36" s="55" t="n"/>
    </row>
    <row r="37" ht="48" customHeight="1">
      <c r="B37" s="11" t="inlineStr">
        <is>
          <t>Item_028</t>
        </is>
      </c>
      <c r="C37" s="13" t="inlineStr">
        <is>
          <t>Item Details</t>
        </is>
      </c>
      <c r="D37" s="13" t="inlineStr">
        <is>
          <t>Click the item name on the Item List screen and verify the item details pop-up.</t>
        </is>
      </c>
      <c r="E37" s="13" t="inlineStr">
        <is>
          <t>The pop-up should display the correct selected item details.</t>
        </is>
      </c>
      <c r="F37" s="26" t="inlineStr">
        <is>
          <t>Pending</t>
        </is>
      </c>
      <c r="G37" s="3" t="n"/>
      <c r="H37" s="366" t="inlineStr">
        <is>
          <t>Done</t>
        </is>
      </c>
      <c r="I37" s="149" t="n"/>
      <c r="J37" s="55" t="n"/>
    </row>
    <row r="38" ht="24" customHeight="1">
      <c r="B38" s="11" t="inlineStr">
        <is>
          <t>Item_029</t>
        </is>
      </c>
      <c r="C38" s="13" t="inlineStr">
        <is>
          <t>Attachments</t>
        </is>
      </c>
      <c r="D38" s="13" t="inlineStr">
        <is>
          <t>Verify that the uploaded file can be downloaded from the Attachments option.</t>
        </is>
      </c>
      <c r="E38" s="13" t="inlineStr">
        <is>
          <t>The user should be able to download the file.</t>
        </is>
      </c>
      <c r="F38" s="26" t="inlineStr">
        <is>
          <t>Pending</t>
        </is>
      </c>
      <c r="G38" s="3" t="n"/>
      <c r="H38" s="366" t="inlineStr">
        <is>
          <t>Done</t>
        </is>
      </c>
      <c r="I38" s="149" t="n"/>
      <c r="J38" s="55" t="n"/>
    </row>
    <row r="39" ht="24" customHeight="1">
      <c r="B39" s="11" t="inlineStr">
        <is>
          <t>Item_030</t>
        </is>
      </c>
      <c r="C39" s="13" t="inlineStr">
        <is>
          <t>Action Button - Delete</t>
        </is>
      </c>
      <c r="D39" s="13" t="inlineStr">
        <is>
          <t>Verify that the user can delete an item using the Delete option under Actions.</t>
        </is>
      </c>
      <c r="E39" s="13" t="inlineStr">
        <is>
          <t>The item should be deleted.</t>
        </is>
      </c>
      <c r="F39" s="26" t="inlineStr">
        <is>
          <t>Pending</t>
        </is>
      </c>
      <c r="G39" s="3" t="n"/>
      <c r="H39" s="366" t="inlineStr">
        <is>
          <t>Done</t>
        </is>
      </c>
      <c r="I39" s="149" t="n"/>
      <c r="J39" s="55" t="n"/>
    </row>
    <row r="40" ht="36" customHeight="1">
      <c r="B40" s="11" t="inlineStr">
        <is>
          <t>Item_031</t>
        </is>
      </c>
      <c r="C40" s="13" t="inlineStr">
        <is>
          <t>Action Button - Audit Logs</t>
        </is>
      </c>
      <c r="D40" s="13" t="inlineStr">
        <is>
          <t>Verify that the user can open the Audit Log from the Action button for a created item.</t>
        </is>
      </c>
      <c r="E40" s="13" t="inlineStr">
        <is>
          <t>The user should be able to review the audit logs.</t>
        </is>
      </c>
      <c r="F40" s="26" t="inlineStr">
        <is>
          <t>Pending</t>
        </is>
      </c>
      <c r="G40" s="3" t="n"/>
      <c r="H40" s="366" t="inlineStr">
        <is>
          <t>Done</t>
        </is>
      </c>
      <c r="I40" s="149" t="n"/>
      <c r="J40" s="55" t="n"/>
    </row>
    <row r="41" ht="24" customHeight="1">
      <c r="B41" s="11" t="inlineStr">
        <is>
          <t>Item_032</t>
        </is>
      </c>
      <c r="C41" s="13" t="inlineStr">
        <is>
          <t>Action Button - Audit Logs</t>
        </is>
      </c>
      <c r="D41" s="13" t="inlineStr">
        <is>
          <t>Review the Audit Logs and verify the displayed fields.</t>
        </is>
      </c>
      <c r="E41" s="13" t="inlineStr">
        <is>
          <t>The Audit Logs should display Action, Modified Details, Date/Time, Analyst Name, and Comments.</t>
        </is>
      </c>
      <c r="F41" s="26" t="inlineStr">
        <is>
          <t>Pending</t>
        </is>
      </c>
      <c r="G41" s="3" t="n"/>
      <c r="H41" s="366" t="inlineStr">
        <is>
          <t>Done</t>
        </is>
      </c>
      <c r="I41" s="149" t="n"/>
      <c r="J41" s="55" t="n"/>
    </row>
    <row r="42" ht="24" customHeight="1">
      <c r="B42" s="11" t="inlineStr">
        <is>
          <t>Item_033</t>
        </is>
      </c>
      <c r="C42" s="13" t="inlineStr">
        <is>
          <t>Action Button - Spread</t>
        </is>
      </c>
      <c r="D42" s="81" t="inlineStr">
        <is>
          <t>Verify that the user can open the Spreading screen using the Spread option under the Action button.</t>
        </is>
      </c>
      <c r="E42" s="81" t="inlineStr">
        <is>
          <t>The Spreading screen should be displayed.</t>
        </is>
      </c>
      <c r="F42" s="26" t="inlineStr">
        <is>
          <t>Pending</t>
        </is>
      </c>
      <c r="G42" s="83" t="n"/>
      <c r="H42" s="366" t="inlineStr">
        <is>
          <t>Done</t>
        </is>
      </c>
      <c r="I42" s="150" t="n"/>
      <c r="J42" s="84" t="n"/>
    </row>
    <row r="43" ht="36" customHeight="1">
      <c r="B43" s="11" t="inlineStr">
        <is>
          <t>Item_034</t>
        </is>
      </c>
      <c r="C43" s="186" t="inlineStr">
        <is>
          <t>Action Button - Hold/Unhold</t>
        </is>
      </c>
      <c r="D43" s="190" t="inlineStr">
        <is>
          <t>Verify that the user can place an item on hold and remove the hold when an update is required.</t>
        </is>
      </c>
      <c r="E43" s="190" t="inlineStr">
        <is>
          <t>The item should move correctly between Hold and Unhold status, and the Hold icon should be displayed when applicable.</t>
        </is>
      </c>
      <c r="F43" s="26" t="inlineStr">
        <is>
          <t>Pending</t>
        </is>
      </c>
      <c r="G43" s="83" t="n"/>
      <c r="H43" s="366" t="inlineStr">
        <is>
          <t>Pending</t>
        </is>
      </c>
      <c r="I43" s="150" t="n">
        <v>0.5</v>
      </c>
      <c r="J43" s="84" t="n"/>
    </row>
    <row r="44" ht="24" customHeight="1">
      <c r="B44" s="11" t="inlineStr">
        <is>
          <t>Item_035</t>
        </is>
      </c>
      <c r="C44" s="186" t="inlineStr">
        <is>
          <t>Action Button - Comments</t>
        </is>
      </c>
      <c r="D44" s="190" t="inlineStr">
        <is>
          <t>Verify that the Comments icon is enabled when comments are entered for an item.</t>
        </is>
      </c>
      <c r="E44" s="190" t="inlineStr">
        <is>
          <t>The added comments and related details should be displayed under the Comments icon.</t>
        </is>
      </c>
      <c r="F44" s="26" t="inlineStr">
        <is>
          <t>Pending</t>
        </is>
      </c>
      <c r="G44" s="83" t="n"/>
      <c r="H44" s="366" t="inlineStr">
        <is>
          <t>Pending</t>
        </is>
      </c>
      <c r="I44" s="150" t="n">
        <v>0.25</v>
      </c>
      <c r="J44" s="84" t="n"/>
    </row>
    <row r="45" ht="75" customHeight="1">
      <c r="B45" s="11" t="inlineStr">
        <is>
          <t>Item_036</t>
        </is>
      </c>
      <c r="C45" s="13" t="inlineStr">
        <is>
          <t>Upload Large Files</t>
        </is>
      </c>
      <c r="D45" s="13" t="inlineStr">
        <is>
          <t>Upload files of 150 MB, 200 MB, 700 MB, and 1 GB while adding an item.</t>
        </is>
      </c>
      <c r="E45" s="13" t="inlineStr">
        <is>
          <t>The user should be allowed to upload files up to 1 GB.</t>
        </is>
      </c>
      <c r="F45" s="26" t="inlineStr">
        <is>
          <t>Pending</t>
        </is>
      </c>
      <c r="G45" s="83" t="n"/>
      <c r="H45" s="366" t="inlineStr">
        <is>
          <t>Blocked</t>
        </is>
      </c>
      <c r="I45" s="167" t="inlineStr">
        <is>
          <t>https://github.com/abramenal/cypress-file-upload/issues/273</t>
        </is>
      </c>
      <c r="J45" s="168" t="inlineStr">
        <is>
          <t>Issue with uploading large size  file</t>
        </is>
      </c>
    </row>
    <row r="46" ht="136.5" customHeight="1">
      <c r="B46" s="11" t="inlineStr">
        <is>
          <t>Item_037</t>
        </is>
      </c>
      <c r="C46" s="13" t="inlineStr">
        <is>
          <t>Item Metadata</t>
        </is>
      </c>
      <c r="D46" s="81" t="inlineStr">
        <is>
          <t>Precondition: Group 1 should have multiple mapped models. Group 2 should have one mapped model that is also mapped to Group 1.
Add an item from File Store, select Group 2 and review the model and Taxonomy Group. Then select Group 1, choose the same model, and review the Taxonomy Group again.</t>
        </is>
      </c>
      <c r="E46" s="81" t="inlineStr">
        <is>
          <t>The Taxonomy Group should always be auto-populated.</t>
        </is>
      </c>
      <c r="F46" s="26" t="inlineStr">
        <is>
          <t>Pending</t>
        </is>
      </c>
      <c r="G46" s="83" t="n"/>
      <c r="H46" s="366" t="inlineStr">
        <is>
          <t>Done</t>
        </is>
      </c>
      <c r="I46" s="150" t="n"/>
      <c r="J46" s="84" t="n"/>
    </row>
    <row r="47" ht="36" customHeight="1">
      <c r="B47" s="11" t="inlineStr">
        <is>
          <t>Item_038</t>
        </is>
      </c>
      <c r="C47" s="189" t="inlineStr">
        <is>
          <t>Item Modify</t>
        </is>
      </c>
      <c r="D47" s="14" t="inlineStr">
        <is>
          <t>Add an item by uploading a file from the system, save it, then open Actions &gt; Modify, add a new file, and save again.</t>
        </is>
      </c>
      <c r="E47" s="14" t="inlineStr">
        <is>
          <t>The item should be modified successfully, and the new file should be added.</t>
        </is>
      </c>
      <c r="F47" s="26" t="inlineStr">
        <is>
          <t>Pending</t>
        </is>
      </c>
      <c r="G47" s="3" t="inlineStr">
        <is>
          <t>Newly Added</t>
        </is>
      </c>
      <c r="H47" s="366" t="inlineStr">
        <is>
          <t>Done</t>
        </is>
      </c>
      <c r="I47" s="149" t="n"/>
      <c r="J47" s="117" t="n"/>
    </row>
    <row r="48" ht="24" customHeight="1">
      <c r="B48" s="11" t="inlineStr">
        <is>
          <t>Item_039</t>
        </is>
      </c>
      <c r="C48" s="189" t="inlineStr">
        <is>
          <t>Accountant Name</t>
        </is>
      </c>
      <c r="D48" s="14" t="inlineStr">
        <is>
          <t>Add or modify an item and review the Accountant Name field in the metadata section.</t>
        </is>
      </c>
      <c r="E48" s="14" t="inlineStr">
        <is>
          <t>The Accountant Name should be displayed in uppercase.</t>
        </is>
      </c>
      <c r="F48" s="26" t="inlineStr">
        <is>
          <t>Pending</t>
        </is>
      </c>
      <c r="G48" s="3" t="inlineStr">
        <is>
          <t>Newly Added</t>
        </is>
      </c>
      <c r="H48" s="366" t="inlineStr">
        <is>
          <t>Pending</t>
        </is>
      </c>
      <c r="I48" s="149" t="n">
        <v>0.25</v>
      </c>
      <c r="J48" s="117" t="n"/>
    </row>
    <row r="49" ht="24" customHeight="1">
      <c r="B49" s="11" t="inlineStr">
        <is>
          <t>Item_040</t>
        </is>
      </c>
      <c r="C49" s="189" t="inlineStr">
        <is>
          <t>YTD - Period</t>
        </is>
      </c>
      <c r="D49" s="14" t="inlineStr">
        <is>
          <t>On the Add Item screen, select the frequency and then check YTD.</t>
        </is>
      </c>
      <c r="E49" s="14" t="inlineStr">
        <is>
          <t>YTD should not change the Period value until a Statement Date is selected.</t>
        </is>
      </c>
      <c r="F49" s="26" t="inlineStr">
        <is>
          <t>Pending</t>
        </is>
      </c>
      <c r="G49" s="3" t="inlineStr">
        <is>
          <t>Newly Added</t>
        </is>
      </c>
      <c r="H49" s="366" t="inlineStr">
        <is>
          <t>Pending</t>
        </is>
      </c>
      <c r="I49" s="150" t="n">
        <v>1</v>
      </c>
      <c r="J49" s="84" t="n"/>
    </row>
    <row r="50" ht="108" customHeight="1">
      <c r="B50" s="11" t="inlineStr">
        <is>
          <t>Item_041</t>
        </is>
      </c>
      <c r="C50" s="189" t="inlineStr">
        <is>
          <t>YTD - Period</t>
        </is>
      </c>
      <c r="D50" s="14" t="inlineStr">
        <is>
          <t>On the Add Item screen, select the frequency and Statement Date. Then verify YTD behavior for different date ranges:
1. 1 Jan to 14 Jan
2. 15 Jan to 13 Feb
3. 14 Feb to 15 Mar
4. 16 Mar to 14 Apr
5. 15 Apr to 14 May
etc.</t>
        </is>
      </c>
      <c r="E50" s="14" t="inlineStr">
        <is>
          <t>1. For dates before 15 Jan, Period should be 0.
2. For 15 Jan to 13 Feb, YTD should be 1.
3. For 14 Feb to 15 Mar, YTD should be 2.
4. For 16 Mar to 14 Apr, YTD should be 3.
5. For 15 Apr to 14 May, YTD should be 4.
6. Subsequent date ranges should continue updating the Period accordingly.</t>
        </is>
      </c>
      <c r="F50" s="26" t="inlineStr">
        <is>
          <t>Pending</t>
        </is>
      </c>
      <c r="G50" s="3" t="inlineStr">
        <is>
          <t>Newly Added</t>
        </is>
      </c>
      <c r="H50" s="366" t="inlineStr">
        <is>
          <t>Pending</t>
        </is>
      </c>
      <c r="I50" s="150" t="n">
        <v>1</v>
      </c>
      <c r="J50" s="84" t="n"/>
    </row>
    <row r="51" ht="48" customHeight="1">
      <c r="B51" s="11" t="inlineStr">
        <is>
          <t>Item_042</t>
        </is>
      </c>
      <c r="C51" s="189" t="inlineStr">
        <is>
          <t>YTD Check/Uncheck</t>
        </is>
      </c>
      <c r="D51" s="14" t="inlineStr">
        <is>
          <t>On the Add Item screen, select the frequency and Statement Date, check YTD, review the Period, then uncheck YTD and review the Period again.</t>
        </is>
      </c>
      <c r="E51" s="14" t="inlineStr">
        <is>
          <t>Checking YTD should set the Period according to the selected Statement Date. Unchecking YTD should revert the change.</t>
        </is>
      </c>
      <c r="F51" s="26" t="inlineStr">
        <is>
          <t>Pending</t>
        </is>
      </c>
      <c r="G51" s="3" t="inlineStr">
        <is>
          <t>Newly Added</t>
        </is>
      </c>
      <c r="H51" s="366" t="inlineStr">
        <is>
          <t>Pending</t>
        </is>
      </c>
      <c r="I51" s="150" t="n">
        <v>1</v>
      </c>
      <c r="J51" s="84" t="n"/>
    </row>
    <row r="52" ht="48" customHeight="1">
      <c r="B52" s="11" t="inlineStr">
        <is>
          <t>Item_043</t>
        </is>
      </c>
      <c r="C52" s="189" t="inlineStr">
        <is>
          <t>Split All</t>
        </is>
      </c>
      <c r="D52" s="14" t="inlineStr">
        <is>
          <t>Open the Add Item screen, upload a file from the system, select Split = Yes or No, and click the preview after splitting.</t>
        </is>
      </c>
      <c r="E52" s="14" t="inlineStr">
        <is>
          <t>The file should not start processing until a Split selection is made. After Split = Yes is selected, processing should begin and the split file should be visible in the preview.</t>
        </is>
      </c>
      <c r="F52" s="26" t="inlineStr">
        <is>
          <t>Pending</t>
        </is>
      </c>
      <c r="G52" s="3" t="inlineStr">
        <is>
          <t>Newly Added</t>
        </is>
      </c>
      <c r="H52" s="366" t="inlineStr">
        <is>
          <t>Done</t>
        </is>
      </c>
      <c r="I52" s="150" t="n"/>
      <c r="J52" s="84" t="n"/>
    </row>
    <row r="53" ht="60" customHeight="1">
      <c r="B53" s="11" t="inlineStr">
        <is>
          <t>Item_044</t>
        </is>
      </c>
      <c r="C53" s="189" t="inlineStr">
        <is>
          <t>Split All</t>
        </is>
      </c>
      <c r="D53" s="14" t="inlineStr">
        <is>
          <t>On the Add Item screen, upload a file, select Split = No so that processing starts, then change the selection to Yes and review the behavior.</t>
        </is>
      </c>
      <c r="E53" s="14" t="inlineStr">
        <is>
          <t>When Split = No is selected, processing should start. If the selection is changed to Yes afterward, a pop-up should indicate that the file will be reprocessed, and processing should restart from 0%.</t>
        </is>
      </c>
      <c r="F53" s="26" t="inlineStr">
        <is>
          <t>Pending</t>
        </is>
      </c>
      <c r="G53" s="3" t="inlineStr">
        <is>
          <t>Newly Added</t>
        </is>
      </c>
      <c r="H53" s="366" t="inlineStr">
        <is>
          <t>Done</t>
        </is>
      </c>
      <c r="I53" s="150" t="n"/>
      <c r="J53" s="84" t="n"/>
    </row>
    <row r="54" ht="24" customHeight="1">
      <c r="B54" s="11" t="inlineStr">
        <is>
          <t>Item_045</t>
        </is>
      </c>
      <c r="C54" s="191" t="inlineStr">
        <is>
          <t>Split - Modify Screen</t>
        </is>
      </c>
      <c r="D54" s="125" t="inlineStr">
        <is>
          <t>Open any Modify Item screen, upload a file, and review the Split option.</t>
        </is>
      </c>
      <c r="E54" s="125" t="inlineStr">
        <is>
          <t>Split should be set to No by default.</t>
        </is>
      </c>
      <c r="F54" s="124" t="inlineStr">
        <is>
          <t>Pending</t>
        </is>
      </c>
      <c r="G54" s="83" t="inlineStr">
        <is>
          <t>Newly Added</t>
        </is>
      </c>
      <c r="H54" s="366" t="inlineStr">
        <is>
          <t>Done</t>
        </is>
      </c>
      <c r="I54" s="150" t="n"/>
      <c r="J54" s="84" t="n"/>
    </row>
    <row r="55" ht="60" customHeight="1">
      <c r="B55" s="11" t="inlineStr">
        <is>
          <t>Item_046</t>
        </is>
      </c>
      <c r="C55" s="189" t="inlineStr">
        <is>
          <t>View Item - Filters</t>
        </is>
      </c>
      <c r="D55" s="189" t="inlineStr">
        <is>
          <t>Validate the search results using different filters such as Statement Date Range, Status, Frequency, and Audit Method.</t>
        </is>
      </c>
      <c r="E55" s="189" t="inlineStr">
        <is>
          <t>Search results should be displayed according to the selected criteria.</t>
        </is>
      </c>
      <c r="F55" s="26" t="inlineStr">
        <is>
          <t>Pending</t>
        </is>
      </c>
      <c r="G55" s="3" t="n"/>
      <c r="H55" s="366" t="inlineStr">
        <is>
          <t>Pending</t>
        </is>
      </c>
      <c r="I55" s="3" t="n">
        <v>0.5</v>
      </c>
      <c r="J55" s="3" t="n"/>
    </row>
    <row r="56">
      <c r="B56" s="11" t="inlineStr">
        <is>
          <t>Item_047</t>
        </is>
      </c>
      <c r="C56" s="189" t="inlineStr">
        <is>
          <t>View Item - Reset</t>
        </is>
      </c>
      <c r="D56" s="189" t="inlineStr">
        <is>
          <t>Click Reset/Refresh after applying filters.</t>
        </is>
      </c>
      <c r="E56" s="189" t="inlineStr">
        <is>
          <t>All search criteria should be reset to the default values.</t>
        </is>
      </c>
      <c r="F56" s="26" t="inlineStr">
        <is>
          <t>Pending</t>
        </is>
      </c>
      <c r="G56" s="3" t="n"/>
      <c r="H56" s="366" t="inlineStr">
        <is>
          <t>Pending</t>
        </is>
      </c>
      <c r="I56" s="3" t="n">
        <v>0.5</v>
      </c>
      <c r="J56" s="3" t="n"/>
    </row>
    <row r="57" ht="24" customHeight="1">
      <c r="B57" s="11" t="inlineStr">
        <is>
          <t>Item_048</t>
        </is>
      </c>
      <c r="C57" s="189" t="inlineStr">
        <is>
          <t>View Item - Sent to QC and Direct QC Submit</t>
        </is>
      </c>
      <c r="D57" s="189" t="inlineStr">
        <is>
          <t>Validate the functionality for sending an added item to QC or directly submitting it to QC.</t>
        </is>
      </c>
      <c r="E57" s="189" t="inlineStr">
        <is>
          <t>The item should be available on the QC screen according to the Reporting Manager access configured for the user.</t>
        </is>
      </c>
      <c r="F57" s="26" t="inlineStr">
        <is>
          <t>Pending</t>
        </is>
      </c>
      <c r="G57" s="3" t="n"/>
      <c r="H57" s="366" t="inlineStr">
        <is>
          <t>Pending</t>
        </is>
      </c>
      <c r="I57" s="3" t="n">
        <v>1</v>
      </c>
      <c r="J57" s="3" t="n"/>
    </row>
    <row r="58" ht="345" customHeight="1">
      <c r="B58" s="11" t="inlineStr">
        <is>
          <t>Item_049</t>
        </is>
      </c>
      <c r="C58" s="107" t="inlineStr">
        <is>
          <t>Validate Formula/Validation Stability After Split Change</t>
        </is>
      </c>
      <c r="D58" s="107" t="inlineStr">
        <is>
          <t>1. On the Existing Item screen, click Add Item.
2. Upload a file on the Add Item screen, select No for Split, and click Add Item.
3. Open the Existing Item list and click Spread.
4. On the Spreading screen, map values from the document to the model, click Save as Draft, and go back.
5. Open Modify for the same item, change Split to Yes, click Update Item, and return to the item list.
6. Open Spread again for the same item.</t>
        </is>
      </c>
      <c r="E58" s="107" t="inlineStr">
        <is>
          <t>The formula and validation behavior on the model side should remain intact after the Split option is changed.</t>
        </is>
      </c>
      <c r="F58" s="26" t="inlineStr">
        <is>
          <t>Pending</t>
        </is>
      </c>
      <c r="G58" s="3" t="n"/>
      <c r="H58" s="366" t="inlineStr">
        <is>
          <t>Pending</t>
        </is>
      </c>
      <c r="I58" s="3" t="n">
        <v>1</v>
      </c>
      <c r="J58" s="3" t="n"/>
    </row>
  </sheetData>
  <mergeCells count="7">
    <mergeCell ref="B6:C6"/>
    <mergeCell ref="B7:C7"/>
    <mergeCell ref="B2:F2"/>
    <mergeCell ref="B3:C3"/>
    <mergeCell ref="B5:C5"/>
    <mergeCell ref="B8:C8"/>
    <mergeCell ref="B4:C4"/>
  </mergeCells>
  <conditionalFormatting sqref="D3">
    <cfRule type="expression" priority="71" dxfId="51" stopIfTrue="1">
      <formula>AND(COUNTIF($A$8:$A$8, D3)+COUNTIF(#REF!, D3)&gt;1,NOT(ISBLANK(D3)))</formula>
    </cfRule>
  </conditionalFormatting>
  <conditionalFormatting sqref="D4">
    <cfRule type="cellIs" priority="70" operator="lessThan" dxfId="10" stopIfTrue="1">
      <formula>1</formula>
    </cfRule>
  </conditionalFormatting>
  <conditionalFormatting sqref="D4:D8">
    <cfRule type="cellIs" priority="65" operator="greaterThan" dxfId="9" stopIfTrue="1">
      <formula>0</formula>
    </cfRule>
    <cfRule type="cellIs" priority="66" operator="greaterThan" dxfId="9" stopIfTrue="1">
      <formula>1</formula>
    </cfRule>
    <cfRule type="cellIs" priority="67" operator="greaterThan" dxfId="10" stopIfTrue="1">
      <formula>0</formula>
    </cfRule>
    <cfRule type="cellIs" priority="68" operator="greaterThan" dxfId="10" stopIfTrue="1">
      <formula>1</formula>
    </cfRule>
    <cfRule type="cellIs" priority="69" operator="equal" dxfId="9" stopIfTrue="1">
      <formula>$C$3</formula>
    </cfRule>
  </conditionalFormatting>
  <conditionalFormatting sqref="D5">
    <cfRule type="cellIs" priority="30" operator="lessThan" dxfId="10" stopIfTrue="1">
      <formula>1</formula>
    </cfRule>
  </conditionalFormatting>
  <conditionalFormatting sqref="D5:E8">
    <cfRule type="cellIs" priority="34" operator="lessThan" dxfId="10" stopIfTrue="1">
      <formula>1</formula>
    </cfRule>
  </conditionalFormatting>
  <conditionalFormatting sqref="E4">
    <cfRule type="cellIs" priority="60" operator="equal" dxfId="9" stopIfTrue="1">
      <formula>1</formula>
    </cfRule>
    <cfRule type="cellIs" priority="61" operator="lessThan" dxfId="10" stopIfTrue="1">
      <formula>1</formula>
    </cfRule>
  </conditionalFormatting>
  <conditionalFormatting sqref="E5:E8">
    <cfRule type="cellIs" priority="31" operator="equal" dxfId="9" stopIfTrue="1">
      <formula>1</formula>
    </cfRule>
    <cfRule type="cellIs" priority="32" operator="lessThan" dxfId="10" stopIfTrue="1">
      <formula>1</formula>
    </cfRule>
    <cfRule type="cellIs" priority="33" operator="equal" dxfId="9" stopIfTrue="1">
      <formula>1</formula>
    </cfRule>
  </conditionalFormatting>
  <conditionalFormatting sqref="E4:F4">
    <cfRule type="cellIs" priority="56" operator="equal" dxfId="9" stopIfTrue="1">
      <formula>1</formula>
    </cfRule>
    <cfRule type="cellIs" priority="57" operator="lessThan" dxfId="10" stopIfTrue="1">
      <formula>1</formula>
    </cfRule>
  </conditionalFormatting>
  <conditionalFormatting sqref="F4">
    <cfRule type="cellIs" priority="54" operator="equal" dxfId="9" stopIfTrue="1">
      <formula>1</formula>
    </cfRule>
    <cfRule type="cellIs" priority="55" operator="lessThan" dxfId="10" stopIfTrue="1">
      <formula>1</formula>
    </cfRule>
  </conditionalFormatting>
  <conditionalFormatting sqref="F5">
    <cfRule type="cellIs" priority="50" operator="greaterThan" dxfId="10" stopIfTrue="1">
      <formula>0</formula>
    </cfRule>
    <cfRule type="cellIs" priority="51" operator="equal" dxfId="9" stopIfTrue="1">
      <formula>0</formula>
    </cfRule>
    <cfRule type="cellIs" priority="52" operator="greaterThan" dxfId="10" stopIfTrue="1">
      <formula>0</formula>
    </cfRule>
    <cfRule type="cellIs" priority="53" operator="equal" dxfId="9" stopIfTrue="1">
      <formula>0</formula>
    </cfRule>
  </conditionalFormatting>
  <conditionalFormatting sqref="F6">
    <cfRule type="cellIs" priority="48" operator="equal" dxfId="9" stopIfTrue="1">
      <formula>0</formula>
    </cfRule>
    <cfRule type="cellIs" priority="49" operator="greaterThan" dxfId="22" stopIfTrue="1">
      <formula>0</formula>
    </cfRule>
  </conditionalFormatting>
  <conditionalFormatting sqref="F6:F7">
    <cfRule type="cellIs" priority="44" operator="equal" dxfId="9" stopIfTrue="1">
      <formula>0</formula>
    </cfRule>
    <cfRule type="cellIs" priority="45" operator="greaterThan" dxfId="22" stopIfTrue="1">
      <formula>0</formula>
    </cfRule>
  </conditionalFormatting>
  <conditionalFormatting sqref="F7:F8">
    <cfRule type="cellIs" priority="40" operator="equal" dxfId="9" stopIfTrue="1">
      <formula>0</formula>
    </cfRule>
    <cfRule type="cellIs" priority="41" operator="greaterThan" dxfId="22" stopIfTrue="1">
      <formula>0</formula>
    </cfRule>
  </conditionalFormatting>
  <conditionalFormatting sqref="F8">
    <cfRule type="cellIs" priority="38" operator="equal" dxfId="9" stopIfTrue="1">
      <formula>0</formula>
    </cfRule>
    <cfRule type="cellIs" priority="39" operator="greaterThan" dxfId="22" stopIfTrue="1">
      <formula>0</formula>
    </cfRule>
  </conditionalFormatting>
  <conditionalFormatting sqref="F10:F58">
    <cfRule type="cellIs" priority="1" operator="equal" dxfId="6" stopIfTrue="1">
      <formula>"NA"</formula>
    </cfRule>
    <cfRule type="cellIs" priority="2" operator="equal" dxfId="5" stopIfTrue="1">
      <formula>"Blocked"</formula>
    </cfRule>
    <cfRule type="cellIs" priority="3" operator="equal" dxfId="4" stopIfTrue="1">
      <formula>"Pending"</formula>
    </cfRule>
    <cfRule type="cellIs" priority="4" operator="equal" dxfId="0" stopIfTrue="1">
      <formula>"Passed"</formula>
    </cfRule>
    <cfRule type="cellIs" priority="5" operator="equal" dxfId="1" stopIfTrue="1">
      <formula>"Failed"</formula>
    </cfRule>
    <cfRule type="cellIs" priority="6" operator="equal" dxfId="1" stopIfTrue="1">
      <formula>"Fail"</formula>
    </cfRule>
    <cfRule type="cellIs" priority="7" operator="equal" dxfId="0" stopIfTrue="1">
      <formula>"Pass"</formula>
    </cfRule>
  </conditionalFormatting>
  <conditionalFormatting sqref="G5:G8">
    <cfRule type="cellIs" priority="17" operator="lessThan" dxfId="10" stopIfTrue="1">
      <formula>1</formula>
    </cfRule>
    <cfRule type="cellIs" priority="18" operator="greaterThan" dxfId="9" stopIfTrue="1">
      <formula>0</formula>
    </cfRule>
    <cfRule type="cellIs" priority="19" operator="greaterThan" dxfId="9" stopIfTrue="1">
      <formula>1</formula>
    </cfRule>
    <cfRule type="cellIs" priority="20" operator="greaterThan" dxfId="10" stopIfTrue="1">
      <formula>0</formula>
    </cfRule>
    <cfRule type="cellIs" priority="21" operator="greaterThan" dxfId="10" stopIfTrue="1">
      <formula>1</formula>
    </cfRule>
    <cfRule type="cellIs" priority="22" operator="equal" dxfId="9" stopIfTrue="1">
      <formula>$C$3</formula>
    </cfRule>
  </conditionalFormatting>
  <conditionalFormatting sqref="H10:H58">
    <cfRule type="cellIs" priority="8" operator="equal" dxfId="0">
      <formula>"Done"</formula>
    </cfRule>
    <cfRule type="cellIs" priority="9" operator="equal" dxfId="7">
      <formula>"Pending"</formula>
    </cfRule>
    <cfRule type="cellIs" priority="10" operator="equal" dxfId="6" stopIfTrue="1">
      <formula>"NA"</formula>
    </cfRule>
    <cfRule type="cellIs" priority="11" operator="equal" dxfId="5" stopIfTrue="1">
      <formula>"Blocked"</formula>
    </cfRule>
    <cfRule type="cellIs" priority="12" operator="equal" dxfId="4" stopIfTrue="1">
      <formula>"Pending"</formula>
    </cfRule>
    <cfRule type="cellIs" priority="13" operator="equal" dxfId="0" stopIfTrue="1">
      <formula>"Passed"</formula>
    </cfRule>
    <cfRule type="cellIs" priority="14" operator="equal" dxfId="1" stopIfTrue="1">
      <formula>"Failed"</formula>
    </cfRule>
    <cfRule type="cellIs" priority="15" operator="equal" dxfId="1" stopIfTrue="1">
      <formula>"Fail"</formula>
    </cfRule>
    <cfRule type="cellIs" priority="16" operator="equal" dxfId="0" stopIfTrue="1">
      <formula>"Pass"</formula>
    </cfRule>
  </conditionalFormatting>
  <dataValidations count="2">
    <dataValidation sqref="F10:F58" showDropDown="0" showInputMessage="1" showErrorMessage="1" allowBlank="1" type="list">
      <formula1>"Passed,Failed,Blocked,Pending,NA"</formula1>
    </dataValidation>
    <dataValidation sqref="H10:H58" showDropDown="0" showInputMessage="1" showErrorMessage="1" allowBlank="1" type="list">
      <formula1>"Done,Blocked,Pending,Out of Scope"</formula1>
    </dataValidation>
  </dataValidations>
  <hyperlinks>
    <hyperlink xmlns:r="http://schemas.openxmlformats.org/officeDocument/2006/relationships" ref="I13" r:id="rId1"/>
    <hyperlink xmlns:r="http://schemas.openxmlformats.org/officeDocument/2006/relationships" ref="I45" r:id="rId2"/>
  </hyperlink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2:I228"/>
  <sheetViews>
    <sheetView showGridLines="0" topLeftCell="A226" zoomScale="80" zoomScaleNormal="80" workbookViewId="0">
      <selection activeCell="I229" sqref="I229"/>
    </sheetView>
  </sheetViews>
  <sheetFormatPr baseColWidth="8" defaultRowHeight="15"/>
  <cols>
    <col width="11.5703125" customWidth="1" min="1" max="1"/>
    <col width="36.42578125" customWidth="1" min="2" max="2"/>
    <col width="68.7109375" customWidth="1" min="3" max="3"/>
    <col width="44.7109375" customWidth="1" min="4" max="4"/>
    <col width="10.5703125" customWidth="1" min="5" max="5"/>
    <col width="12.7109375" customWidth="1" min="6" max="6"/>
    <col width="18.28515625" customWidth="1" min="7" max="7"/>
    <col width="12.7109375" customWidth="1" min="8" max="8"/>
    <col width="21.85546875" customWidth="1" min="9" max="9"/>
  </cols>
  <sheetData>
    <row r="1" ht="15.75" customHeight="1" thickBot="1"/>
    <row r="2" ht="15.75" customHeight="1" thickBot="1">
      <c r="A2" s="352" t="inlineStr">
        <is>
          <t>Test Case Summary</t>
        </is>
      </c>
      <c r="B2" s="389" t="n"/>
      <c r="C2" s="389" t="n"/>
      <c r="D2" s="389" t="n"/>
      <c r="E2" s="390" t="n"/>
      <c r="F2" s="153" t="n"/>
    </row>
    <row r="3" ht="26.25" customHeight="1" thickBot="1">
      <c r="A3" s="352" t="inlineStr">
        <is>
          <t>Total Test Cases</t>
        </is>
      </c>
      <c r="B3" s="390" t="n"/>
      <c r="C3" s="47">
        <f>SUM(C4:C8)</f>
        <v/>
      </c>
      <c r="D3" s="352" t="inlineStr">
        <is>
          <t>Executed Tests</t>
        </is>
      </c>
      <c r="E3" s="352" t="inlineStr">
        <is>
          <t>Total Tests</t>
        </is>
      </c>
      <c r="F3" s="352" t="inlineStr">
        <is>
          <t>Automation Scripts</t>
        </is>
      </c>
    </row>
    <row r="4" ht="15.75" customHeight="1" thickBot="1">
      <c r="A4" s="350" t="inlineStr">
        <is>
          <t>Passed</t>
        </is>
      </c>
      <c r="C4" s="52">
        <f>COUNTIF(E9:E249,"Passed")</f>
        <v/>
      </c>
      <c r="D4" s="53">
        <f>IF(C4=0,,(C4/(C4+C5)))</f>
        <v/>
      </c>
      <c r="E4" s="51">
        <f>IF(C3=0,,(C4/C3))</f>
        <v/>
      </c>
      <c r="F4" s="156">
        <f>COUNTIF(G10:G487,"Done")</f>
        <v/>
      </c>
    </row>
    <row r="5" ht="15.75" customHeight="1" thickBot="1">
      <c r="A5" s="350" t="inlineStr">
        <is>
          <t>Failed</t>
        </is>
      </c>
      <c r="C5" s="52">
        <f>COUNTIF(E9:E249,"Failed")</f>
        <v/>
      </c>
      <c r="D5" s="53">
        <f>IF(C5=0,,(C5/(C5+C6)))</f>
        <v/>
      </c>
      <c r="E5" s="51">
        <f>IF(C3=0,,(C5/C3))</f>
        <v/>
      </c>
      <c r="F5" s="52">
        <f>COUNTIF(G10:G487,"Failed")</f>
        <v/>
      </c>
    </row>
    <row r="6" ht="15.75" customHeight="1" thickBot="1">
      <c r="A6" s="350" t="inlineStr">
        <is>
          <t>Blocked</t>
        </is>
      </c>
      <c r="C6" s="52">
        <f>COUNTIF(E9:E249,"Blocked")</f>
        <v/>
      </c>
      <c r="D6" s="53">
        <f>IF(C6=0,,(C6/(C6+C7)))</f>
        <v/>
      </c>
      <c r="E6" s="51">
        <f>IF(C3=0,,(C6/C3))</f>
        <v/>
      </c>
      <c r="F6" s="52">
        <f>COUNTIF(G10:G487,"Blocked")</f>
        <v/>
      </c>
    </row>
    <row r="7" ht="15.75" customHeight="1" thickBot="1">
      <c r="A7" s="350" t="inlineStr">
        <is>
          <t>Pending</t>
        </is>
      </c>
      <c r="C7" s="52">
        <f>COUNTIF(E9:E500,"Pending")</f>
        <v/>
      </c>
      <c r="D7" s="53">
        <f>IF(C7=0,,(C7/(C7+C8)))</f>
        <v/>
      </c>
      <c r="E7" s="51">
        <f>IF(C3=0,,(C7/C3))</f>
        <v/>
      </c>
      <c r="F7" s="52">
        <f>COUNTIF(G10:G487,"Pending")</f>
        <v/>
      </c>
    </row>
    <row r="8" ht="15.75" customHeight="1" thickBot="1">
      <c r="A8" s="350" t="inlineStr">
        <is>
          <t>Not Applicable</t>
        </is>
      </c>
      <c r="C8" s="52">
        <f>COUNTIF(E9:E249,"Not Applicable")</f>
        <v/>
      </c>
      <c r="D8" s="53">
        <f>IF(C8=0,,(C8/(C8+#REF!)))</f>
        <v/>
      </c>
      <c r="E8" s="51">
        <f>IF(C3=0,,(C8/C3))</f>
        <v/>
      </c>
      <c r="F8" s="52">
        <f>COUNTIF(G10:G487,"Out of Scope")</f>
        <v/>
      </c>
    </row>
    <row r="9" ht="15.75" customHeight="1" thickBot="1">
      <c r="A9" s="22" t="inlineStr">
        <is>
          <t>S.No.</t>
        </is>
      </c>
      <c r="B9" s="2" t="inlineStr">
        <is>
          <t>Module/Sub-Module</t>
        </is>
      </c>
      <c r="C9" s="1" t="inlineStr">
        <is>
          <t>Test Steps</t>
        </is>
      </c>
      <c r="D9" s="2" t="inlineStr">
        <is>
          <t>Expected Results</t>
        </is>
      </c>
      <c r="E9" s="2" t="inlineStr">
        <is>
          <t>Result</t>
        </is>
      </c>
      <c r="F9" s="2" t="inlineStr">
        <is>
          <t>Bug ID</t>
        </is>
      </c>
      <c r="G9" s="2" t="inlineStr">
        <is>
          <t>Automation Status</t>
        </is>
      </c>
      <c r="H9" s="2" t="inlineStr">
        <is>
          <t>Mapped Scripts</t>
        </is>
      </c>
      <c r="I9" s="2" t="inlineStr">
        <is>
          <t>Comments</t>
        </is>
      </c>
    </row>
    <row r="10" ht="60.75" customHeight="1">
      <c r="A10" s="214" t="inlineStr">
        <is>
          <t>PDF_001</t>
        </is>
      </c>
      <c r="B10" s="215" t="inlineStr">
        <is>
          <t>Spreading Screen - Landing Page</t>
        </is>
      </c>
      <c r="C10" s="215" t="inlineStr">
        <is>
          <t>Click Spread for a customer item on the Existing Items page. Verify that the screen opens on the page where the first zone is detected. If no table is detected, verify that the first page of the PDF opens.</t>
        </is>
      </c>
      <c r="D10" s="215" t="inlineStr">
        <is>
          <t>The user should be navigated to the page where the detected zone is tagged automatically. If no table is detected, the first page of the PDF should open.</t>
        </is>
      </c>
      <c r="E10" s="80" t="inlineStr">
        <is>
          <t>Pending</t>
        </is>
      </c>
      <c r="F10" s="222" t="inlineStr">
        <is>
          <t>Bug 78022</t>
        </is>
      </c>
      <c r="G10" s="80" t="inlineStr">
        <is>
          <t>Done</t>
        </is>
      </c>
      <c r="H10" s="128" t="n"/>
      <c r="I10" s="206" t="n"/>
    </row>
    <row r="11" ht="46.5" customHeight="1">
      <c r="A11" s="129" t="inlineStr">
        <is>
          <t>PDF_002</t>
        </is>
      </c>
      <c r="B11" s="14" t="inlineStr">
        <is>
          <t>Spreading Screen - Zone Option Under Primary Category</t>
        </is>
      </c>
      <c r="C11" s="14" t="inlineStr">
        <is>
          <t>Open the Spreading screen and review the default primary category in the document pane.</t>
        </is>
      </c>
      <c r="D11" s="14" t="inlineStr">
        <is>
          <t>The Zone option should be displayed under the default primary category.</t>
        </is>
      </c>
      <c r="E11" s="366" t="inlineStr">
        <is>
          <t>Pending</t>
        </is>
      </c>
      <c r="F11" s="220" t="n"/>
      <c r="G11" s="366" t="inlineStr">
        <is>
          <t>Pending</t>
        </is>
      </c>
      <c r="H11" s="3" t="n">
        <v>0.25</v>
      </c>
      <c r="I11" s="55" t="n"/>
    </row>
    <row r="12" ht="66.75" customHeight="1">
      <c r="A12" s="129" t="inlineStr">
        <is>
          <t>PDF_003</t>
        </is>
      </c>
      <c r="B12" s="14" t="inlineStr">
        <is>
          <t>Spreading Screen - Auto-detected Zones</t>
        </is>
      </c>
      <c r="C12" s="14" t="inlineStr">
        <is>
          <t>Open the Spreading screen, click Zone under the default primary category, and review the zones detected automatically by the system.</t>
        </is>
      </c>
      <c r="D12" s="14" t="inlineStr">
        <is>
          <t>All zones detected automatically by the system should be visible.</t>
        </is>
      </c>
      <c r="E12" s="366" t="inlineStr">
        <is>
          <t>Pending</t>
        </is>
      </c>
      <c r="F12" s="3" t="n"/>
      <c r="G12" s="366" t="inlineStr">
        <is>
          <t>Done</t>
        </is>
      </c>
      <c r="H12" s="3" t="n"/>
      <c r="I12" s="55" t="n"/>
    </row>
    <row r="13" ht="53.25" customHeight="1">
      <c r="A13" s="129" t="inlineStr">
        <is>
          <t>PDF_004</t>
        </is>
      </c>
      <c r="B13" s="14" t="inlineStr">
        <is>
          <t>Spreading Screen - Zone Navigation</t>
        </is>
      </c>
      <c r="C13" s="14" t="inlineStr">
        <is>
          <t>Open the Spreading screen and select a zone from the default primary category.</t>
        </is>
      </c>
      <c r="D13" s="14" t="inlineStr">
        <is>
          <t>The user should be navigated to the page where the selected zone is tagged automatically.</t>
        </is>
      </c>
      <c r="E13" s="366" t="inlineStr">
        <is>
          <t>Pending</t>
        </is>
      </c>
      <c r="F13" s="3" t="n"/>
      <c r="G13" s="366" t="inlineStr">
        <is>
          <t>Done</t>
        </is>
      </c>
      <c r="H13" s="3" t="n"/>
      <c r="I13" s="55" t="n"/>
    </row>
    <row r="14" ht="99.75" customHeight="1">
      <c r="A14" s="129" t="inlineStr">
        <is>
          <t>PDF_005</t>
        </is>
      </c>
      <c r="B14" s="14" t="inlineStr">
        <is>
          <t>Spreading Screen - Detect Table Option Under Primary Category</t>
        </is>
      </c>
      <c r="C14" s="14" t="inlineStr">
        <is>
          <t>Open the Spreading screen and review the default primary category in the document pane.</t>
        </is>
      </c>
      <c r="D14" s="14" t="inlineStr">
        <is>
          <t>The Detect Table option should be displayed under the default primary category.</t>
        </is>
      </c>
      <c r="E14" s="366" t="inlineStr">
        <is>
          <t>Pending</t>
        </is>
      </c>
      <c r="F14" s="3" t="n"/>
      <c r="G14" s="366" t="inlineStr">
        <is>
          <t>Pending</t>
        </is>
      </c>
      <c r="H14" s="3" t="n">
        <v>0.25</v>
      </c>
      <c r="I14" s="55" t="n"/>
    </row>
    <row r="15" ht="138.75" customHeight="1">
      <c r="A15" s="129" t="inlineStr">
        <is>
          <t>PDF_006</t>
        </is>
      </c>
      <c r="B15" s="14" t="inlineStr">
        <is>
          <t>Spreading Screen - Detect Table Functionality</t>
        </is>
      </c>
      <c r="C15" s="14" t="inlineStr">
        <is>
          <t>1. Open the Spreading screen.
2. Go to the page where a zone needs to be created in the financial document.
3. Click Detect Table under the primary category.</t>
        </is>
      </c>
      <c r="D15" s="14" t="inlineStr">
        <is>
          <t>A table should be created automatically with the detected columns, and Map Mode should be highlighted.</t>
        </is>
      </c>
      <c r="E15" s="366" t="inlineStr">
        <is>
          <t>Pending</t>
        </is>
      </c>
      <c r="F15" s="3" t="n"/>
      <c r="G15" s="366" t="inlineStr">
        <is>
          <t>Done</t>
        </is>
      </c>
      <c r="H15" s="3" t="n"/>
      <c r="I15" s="55" t="n"/>
    </row>
    <row r="16" ht="101.25" customHeight="1">
      <c r="A16" s="129" t="inlineStr">
        <is>
          <t>PDF_007</t>
        </is>
      </c>
      <c r="B16" s="14" t="inlineStr">
        <is>
          <t>Spreading Screen - Tag Table</t>
        </is>
      </c>
      <c r="C16" s="14" t="inlineStr">
        <is>
          <t>Tag a detected table by selecting a zone name from the zone-tag dropdown.</t>
        </is>
      </c>
      <c r="D16" s="14" t="inlineStr">
        <is>
          <t>The table should be tagged with the selected zone name.</t>
        </is>
      </c>
      <c r="E16" s="366" t="inlineStr">
        <is>
          <t>Pending</t>
        </is>
      </c>
      <c r="F16" s="3" t="n"/>
      <c r="G16" s="366" t="inlineStr">
        <is>
          <t>Done</t>
        </is>
      </c>
      <c r="H16" s="3" t="n"/>
      <c r="I16" s="55" t="n"/>
    </row>
    <row r="17" ht="105.75" customHeight="1">
      <c r="A17" s="129" t="inlineStr">
        <is>
          <t>PDF_008</t>
        </is>
      </c>
      <c r="B17" s="14" t="inlineStr">
        <is>
          <t>Spreading Screen - Line Item Column</t>
        </is>
      </c>
      <c r="C17" s="14" t="inlineStr">
        <is>
          <t>1. Open the Spreading screen.
2. Detect a table on the required page.
3. Verify that the system identifies the line item column automatically.</t>
        </is>
      </c>
      <c r="D17" s="14" t="inlineStr">
        <is>
          <t>The selected line item column should be highlighted with a blue marker at the top.</t>
        </is>
      </c>
      <c r="E17" s="366" t="inlineStr">
        <is>
          <t>Pending</t>
        </is>
      </c>
      <c r="F17" s="3" t="n"/>
      <c r="G17" s="366" t="inlineStr">
        <is>
          <t>Done</t>
        </is>
      </c>
      <c r="H17" s="3" t="n"/>
      <c r="I17" s="55" t="n"/>
    </row>
    <row r="18" ht="105.75" customHeight="1">
      <c r="A18" s="129" t="inlineStr">
        <is>
          <t>PDF_009</t>
        </is>
      </c>
      <c r="B18" s="14" t="inlineStr">
        <is>
          <t>Spreading Screen - Draw Table Option Under Primary Category</t>
        </is>
      </c>
      <c r="C18" s="14" t="inlineStr">
        <is>
          <t>Open the Spreading screen and review the default primary category in the document pane.</t>
        </is>
      </c>
      <c r="D18" s="14" t="inlineStr">
        <is>
          <t>The Draw Table option should be displayed under the default primary category.</t>
        </is>
      </c>
      <c r="E18" s="366" t="inlineStr">
        <is>
          <t>Pending</t>
        </is>
      </c>
      <c r="F18" s="3" t="n"/>
      <c r="G18" s="366" t="inlineStr">
        <is>
          <t>Pending</t>
        </is>
      </c>
      <c r="H18" s="3" t="n">
        <v>0.25</v>
      </c>
      <c r="I18" s="55" t="n"/>
    </row>
    <row r="19" ht="105.75" customHeight="1">
      <c r="A19" s="129" t="inlineStr">
        <is>
          <t>PDF_010</t>
        </is>
      </c>
      <c r="B19" s="14" t="inlineStr">
        <is>
          <t>Spreading Screen - Draw Table Functionality</t>
        </is>
      </c>
      <c r="C19" s="14" t="inlineStr">
        <is>
          <t>1. Go to the page where a zone needs to be created in the financial document.
2. Click Draw Table under the primary category.
3. Drag the cursor over the table area to create the table.</t>
        </is>
      </c>
      <c r="D19" s="14" t="inlineStr">
        <is>
          <t>The user should be able to create the table by dragging the cursor.</t>
        </is>
      </c>
      <c r="E19" s="366" t="inlineStr">
        <is>
          <t>Pending</t>
        </is>
      </c>
      <c r="F19" s="3" t="n"/>
      <c r="G19" s="366" t="inlineStr">
        <is>
          <t>Out of Scope</t>
        </is>
      </c>
      <c r="H19" s="3" t="n"/>
      <c r="I19" s="55" t="n"/>
    </row>
    <row r="20" ht="46.5" customHeight="1">
      <c r="A20" s="129" t="inlineStr">
        <is>
          <t>PDF_011</t>
        </is>
      </c>
      <c r="B20" s="14" t="inlineStr">
        <is>
          <t>Spreading Screen - Line Item Column</t>
        </is>
      </c>
      <c r="C20" s="14" t="inlineStr">
        <is>
          <t>Verify that the system detects the line item column automatically.</t>
        </is>
      </c>
      <c r="D20" s="14" t="inlineStr">
        <is>
          <t>The selected line item column should be highlighted with a blue marker at the top.</t>
        </is>
      </c>
      <c r="E20" s="366" t="inlineStr">
        <is>
          <t>Pending</t>
        </is>
      </c>
      <c r="F20" s="3" t="n"/>
      <c r="G20" s="366" t="inlineStr">
        <is>
          <t>Done</t>
        </is>
      </c>
      <c r="H20" s="3" t="n"/>
      <c r="I20" s="55" t="n"/>
    </row>
    <row r="21" ht="59.25" customHeight="1">
      <c r="A21" s="129" t="inlineStr">
        <is>
          <t>PDF_012</t>
        </is>
      </c>
      <c r="B21" s="14" t="inlineStr">
        <is>
          <t>Spreading Screen - Set Value Column</t>
        </is>
      </c>
      <c r="C21" s="14" t="inlineStr">
        <is>
          <t>Right-click the required column in a detected table and select Set Value Column.</t>
        </is>
      </c>
      <c r="D21" s="14" t="inlineStr">
        <is>
          <t>The selected column should be marked as the value column and highlighted with a green marker at the top.</t>
        </is>
      </c>
      <c r="E21" s="366" t="inlineStr">
        <is>
          <t>Pending</t>
        </is>
      </c>
      <c r="F21" s="3" t="n"/>
      <c r="G21" s="366" t="inlineStr">
        <is>
          <t>Done</t>
        </is>
      </c>
      <c r="H21" s="3" t="n"/>
      <c r="I21" s="55" t="n"/>
    </row>
    <row r="22" ht="36" customHeight="1">
      <c r="A22" s="129" t="inlineStr">
        <is>
          <t>PDF_013</t>
        </is>
      </c>
      <c r="B22" s="14" t="inlineStr">
        <is>
          <t>Spreading Screen - Remove Value Column</t>
        </is>
      </c>
      <c r="C22" s="14" t="inlineStr">
        <is>
          <t>1. Remove the value column when no values are mapped.
2. Remove the value column when values are already mapped.</t>
        </is>
      </c>
      <c r="D22" s="14" t="inlineStr">
        <is>
          <t>1. The value column should be removed.
2. If mapped values exist, they should be converted to free text when the value column is removed.</t>
        </is>
      </c>
      <c r="E22" s="366" t="inlineStr">
        <is>
          <t>Pending</t>
        </is>
      </c>
      <c r="F22" s="3" t="n"/>
      <c r="G22" s="366" t="inlineStr">
        <is>
          <t>Done</t>
        </is>
      </c>
      <c r="H22" s="3" t="n"/>
      <c r="I22" s="55" t="n"/>
    </row>
    <row r="23" ht="24" customHeight="1">
      <c r="A23" s="129" t="inlineStr">
        <is>
          <t>PDF_014</t>
        </is>
      </c>
      <c r="B23" s="14" t="inlineStr">
        <is>
          <t>Spreading Screen - Switch Value Column</t>
        </is>
      </c>
      <c r="C23" s="14" t="inlineStr">
        <is>
          <t>Switch the value column and verify the autofill behavior.</t>
        </is>
      </c>
      <c r="D23" s="14" t="inlineStr">
        <is>
          <t>The value column should be changed, and autofill should use the newly selected value column.</t>
        </is>
      </c>
      <c r="E23" s="366" t="inlineStr">
        <is>
          <t>Pending</t>
        </is>
      </c>
      <c r="F23" s="3" t="n"/>
      <c r="G23" s="366" t="inlineStr">
        <is>
          <t>Done</t>
        </is>
      </c>
      <c r="H23" s="3" t="n"/>
      <c r="I23" s="55" t="n"/>
    </row>
    <row r="24" ht="27" customHeight="1">
      <c r="A24" s="129" t="inlineStr">
        <is>
          <t>PDF_015</t>
        </is>
      </c>
      <c r="B24" s="14" t="inlineStr">
        <is>
          <t>Spreading Screen - Visual Cue</t>
        </is>
      </c>
      <c r="C24" s="14" t="inlineStr">
        <is>
          <t>Select a value from the value column of a table and review the visual cue.</t>
        </is>
      </c>
      <c r="D24" s="14" t="inlineStr">
        <is>
          <t>The selected value should be displayed in the visual cue.</t>
        </is>
      </c>
      <c r="E24" s="366" t="inlineStr">
        <is>
          <t>Pending</t>
        </is>
      </c>
      <c r="F24" s="3" t="n"/>
      <c r="G24" s="366" t="inlineStr">
        <is>
          <t>Done</t>
        </is>
      </c>
      <c r="H24" s="3" t="n"/>
      <c r="I24" s="55" t="n"/>
    </row>
    <row r="25" ht="45" customHeight="1">
      <c r="A25" s="129" t="inlineStr">
        <is>
          <t>PDF_016</t>
        </is>
      </c>
      <c r="B25" s="14" t="inlineStr">
        <is>
          <t>Spreading Screen - Optical Mapping</t>
        </is>
      </c>
      <c r="C25" s="14" t="inlineStr">
        <is>
          <t>Map a value from the financial statement to a model cell by single-clicking or double-clicking a value in the detected or drawn table and then mapping it to the model.</t>
        </is>
      </c>
      <c r="D25" s="14" t="inlineStr">
        <is>
          <t>The selected value should be mapped to the model.</t>
        </is>
      </c>
      <c r="E25" s="366" t="inlineStr">
        <is>
          <t>Pending</t>
        </is>
      </c>
      <c r="F25" s="3" t="n"/>
      <c r="G25" s="366" t="inlineStr">
        <is>
          <t>Done</t>
        </is>
      </c>
      <c r="H25" s="3" t="n"/>
      <c r="I25" s="55" t="n"/>
    </row>
    <row r="26" ht="72.75" customHeight="1">
      <c r="A26" s="129" t="inlineStr">
        <is>
          <t>PDF_017</t>
        </is>
      </c>
      <c r="B26" s="14" t="inlineStr">
        <is>
          <t>Spreading Screen - Map Mode Toggle Visibility</t>
        </is>
      </c>
      <c r="C26" s="14" t="inlineStr">
        <is>
          <t>Open the Spreading screen and review the default primary category in the document pane.</t>
        </is>
      </c>
      <c r="D26" s="14" t="inlineStr">
        <is>
          <t>The Map Mode toggle should be displayed under the default primary category.</t>
        </is>
      </c>
      <c r="E26" s="366" t="inlineStr">
        <is>
          <t>Pending</t>
        </is>
      </c>
      <c r="F26" s="3" t="n"/>
      <c r="G26" s="366" t="inlineStr">
        <is>
          <t>Pending</t>
        </is>
      </c>
      <c r="H26" s="3" t="n">
        <v>0.25</v>
      </c>
      <c r="I26" s="55" t="n"/>
    </row>
    <row r="27" ht="75" customHeight="1">
      <c r="A27" s="129" t="inlineStr">
        <is>
          <t>PDF_018</t>
        </is>
      </c>
      <c r="B27" s="14" t="inlineStr">
        <is>
          <t>Spreading Screen - Map/Edit Mode Toggle Action</t>
        </is>
      </c>
      <c r="C27" s="14" t="inlineStr">
        <is>
          <t>Open the Spreading screen and click the Map Mode toggle.</t>
        </is>
      </c>
      <c r="D27" s="14" t="inlineStr">
        <is>
          <t>After the toggle is clicked, the label should switch from Map Mode to Edit Mode.</t>
        </is>
      </c>
      <c r="E27" s="366" t="inlineStr">
        <is>
          <t>Pending</t>
        </is>
      </c>
      <c r="F27" s="3" t="n"/>
      <c r="G27" s="366" t="inlineStr">
        <is>
          <t>Done</t>
        </is>
      </c>
      <c r="H27" s="3" t="n"/>
      <c r="I27" s="55" t="n"/>
    </row>
    <row r="28" ht="111.75" customHeight="1">
      <c r="A28" s="129" t="inlineStr">
        <is>
          <t>PDF_019</t>
        </is>
      </c>
      <c r="B28" s="14" t="inlineStr">
        <is>
          <t>Spreading Screen - Map Mode Functionality</t>
        </is>
      </c>
      <c r="C28" s="14" t="inlineStr">
        <is>
          <t>Open the Spreading screen, keep Map Mode active, map a few values from the current page to the model, and then click Mapped Values in the ribbon.</t>
        </is>
      </c>
      <c r="D28" s="14" t="inlineStr">
        <is>
          <t>All values mapped from the current page should be displayed in the Mapped Values pop-up.</t>
        </is>
      </c>
      <c r="E28" s="366" t="inlineStr">
        <is>
          <t>Pending</t>
        </is>
      </c>
      <c r="F28" s="3" t="n"/>
      <c r="G28" s="366" t="inlineStr">
        <is>
          <t>Done</t>
        </is>
      </c>
      <c r="H28" s="3" t="n"/>
      <c r="I28" s="55" t="n"/>
    </row>
    <row r="29" ht="111.75" customHeight="1">
      <c r="A29" s="129" t="inlineStr">
        <is>
          <t>PDF_020</t>
        </is>
      </c>
      <c r="B29" s="14" t="inlineStr">
        <is>
          <t>Spreading Screen - Edit Mode Toggle Visibility</t>
        </is>
      </c>
      <c r="C29" s="14" t="inlineStr">
        <is>
          <t>Open the Spreading screen and click the Map Mode toggle.</t>
        </is>
      </c>
      <c r="D29" s="14" t="inlineStr">
        <is>
          <t>After the toggle is clicked, the button should switch to Edit Mode.</t>
        </is>
      </c>
      <c r="E29" s="366" t="inlineStr">
        <is>
          <t>Pending</t>
        </is>
      </c>
      <c r="F29" s="3" t="n"/>
      <c r="G29" s="366" t="inlineStr">
        <is>
          <t>Done</t>
        </is>
      </c>
      <c r="H29" s="3" t="n"/>
      <c r="I29" s="55" t="n"/>
    </row>
    <row r="30" ht="99.75" customHeight="1">
      <c r="A30" s="129" t="inlineStr">
        <is>
          <t>PDF_021</t>
        </is>
      </c>
      <c r="B30" s="14" t="inlineStr">
        <is>
          <t>Spreading Screen - Edit Mode Functionality</t>
        </is>
      </c>
      <c r="C30" s="14" t="inlineStr">
        <is>
          <t>Open the Spreading screen, switch from Map Mode to Edit Mode, and review the table-editing behavior.</t>
        </is>
      </c>
      <c r="D30" s="14" t="inlineStr">
        <is>
          <t>The user should be able to edit table values in Edit Mode and continue mapping as supported.</t>
        </is>
      </c>
      <c r="E30" s="366" t="inlineStr">
        <is>
          <t>Pending</t>
        </is>
      </c>
      <c r="F30" s="3" t="n"/>
      <c r="G30" s="366" t="inlineStr">
        <is>
          <t>Done</t>
        </is>
      </c>
      <c r="H30" s="3" t="n"/>
      <c r="I30" s="55" t="n"/>
    </row>
    <row r="31" ht="111" customHeight="1">
      <c r="A31" s="129" t="inlineStr">
        <is>
          <t>PDF_022</t>
        </is>
      </c>
      <c r="B31" s="14" t="inlineStr">
        <is>
          <t>Spreading Screen - Disable Single Click Toggle Visibility</t>
        </is>
      </c>
      <c r="C31" s="14" t="inlineStr">
        <is>
          <t>Open the Utilities dropdown on the Spreading screen.</t>
        </is>
      </c>
      <c r="D31" s="14" t="inlineStr">
        <is>
          <t>The Disable Single Click mapping option should be available and should be disabled by default.</t>
        </is>
      </c>
      <c r="E31" s="366" t="inlineStr">
        <is>
          <t>Pending</t>
        </is>
      </c>
      <c r="F31" s="3" t="n"/>
      <c r="G31" s="366" t="inlineStr">
        <is>
          <t>Done</t>
        </is>
      </c>
      <c r="H31" s="3" t="n"/>
      <c r="I31" s="55" t="n"/>
    </row>
    <row r="32" ht="111" customHeight="1">
      <c r="A32" s="129" t="inlineStr">
        <is>
          <t>PDF_023</t>
        </is>
      </c>
      <c r="B32" s="14" t="inlineStr">
        <is>
          <t>Spreading Screen - Enable Single Click Toggle Visibility</t>
        </is>
      </c>
      <c r="C32" s="14" t="inlineStr">
        <is>
          <t>Open the Utilities dropdown, review the Disable Single Click option, and toggle it.</t>
        </is>
      </c>
      <c r="D32" s="14" t="inlineStr">
        <is>
          <t>The toggle should be enabled, and the label should switch to Enable Single Click.</t>
        </is>
      </c>
      <c r="E32" s="366" t="inlineStr">
        <is>
          <t>Pending</t>
        </is>
      </c>
      <c r="F32" s="3" t="n"/>
      <c r="G32" s="366" t="inlineStr">
        <is>
          <t>Done</t>
        </is>
      </c>
      <c r="H32" s="3" t="n"/>
      <c r="I32" s="55" t="n"/>
    </row>
    <row r="33" ht="105.75" customHeight="1">
      <c r="A33" s="129" t="inlineStr">
        <is>
          <t>PDF_024</t>
        </is>
      </c>
      <c r="B33" s="14" t="inlineStr">
        <is>
          <t>Spreading Screen - Disable Single Click Mapping Functionality</t>
        </is>
      </c>
      <c r="C33" s="14" t="inlineStr">
        <is>
          <t>Open the Utilities dropdown, keep Disable Single Click active, and then map a value from the document to the model.</t>
        </is>
      </c>
      <c r="D33" s="14" t="inlineStr">
        <is>
          <t>The user should be able to map the value only by double-clicking.</t>
        </is>
      </c>
      <c r="E33" s="366" t="inlineStr">
        <is>
          <t>Pending</t>
        </is>
      </c>
      <c r="F33" s="3" t="n"/>
      <c r="G33" s="366" t="inlineStr">
        <is>
          <t>Done</t>
        </is>
      </c>
      <c r="H33" s="3" t="n"/>
      <c r="I33" s="55" t="n"/>
    </row>
    <row r="34" ht="122.25" customHeight="1">
      <c r="A34" s="129" t="inlineStr">
        <is>
          <t>PDF_025</t>
        </is>
      </c>
      <c r="B34" s="14" t="inlineStr">
        <is>
          <t>Spreading Screen - Enable Single Click Mapping Functionality</t>
        </is>
      </c>
      <c r="C34" s="14" t="inlineStr">
        <is>
          <t>Open the Utilities dropdown, switch the toggle to Enable Single Click, and then map a value from the document to the model.</t>
        </is>
      </c>
      <c r="D34" s="14" t="inlineStr">
        <is>
          <t>The user should be able to map the value by single-clicking.</t>
        </is>
      </c>
      <c r="E34" s="366" t="inlineStr">
        <is>
          <t>Pending</t>
        </is>
      </c>
      <c r="F34" s="3" t="n"/>
      <c r="G34" s="366" t="inlineStr">
        <is>
          <t>Done</t>
        </is>
      </c>
      <c r="H34" s="3" t="n"/>
      <c r="I34" s="55" t="n"/>
    </row>
    <row r="35" ht="70.5" customHeight="1">
      <c r="A35" s="129" t="inlineStr">
        <is>
          <t>PDF_026</t>
        </is>
      </c>
      <c r="B35" s="14" t="inlineStr">
        <is>
          <t>Spreading Screen - Merge Mode</t>
        </is>
      </c>
      <c r="C35" s="14" t="inlineStr">
        <is>
          <t>In Merge Mode, select two consecutive rows in a table where a line item is split across rows, then right-click and choose Merge Row(s).</t>
        </is>
      </c>
      <c r="D35" s="14" t="inlineStr">
        <is>
          <t>The selected rows should be merged.</t>
        </is>
      </c>
      <c r="E35" s="366" t="inlineStr">
        <is>
          <t>Pending</t>
        </is>
      </c>
      <c r="F35" s="3" t="n"/>
      <c r="G35" s="366" t="inlineStr">
        <is>
          <t>Done</t>
        </is>
      </c>
      <c r="H35" s="3" t="n"/>
      <c r="I35" s="55" t="n"/>
    </row>
    <row r="36" ht="57.75" customHeight="1">
      <c r="A36" s="129" t="inlineStr">
        <is>
          <t>PDF_027</t>
        </is>
      </c>
      <c r="B36" s="14" t="inlineStr">
        <is>
          <t>Spreading Screen - Split Rows</t>
        </is>
      </c>
      <c r="C36" s="14" t="inlineStr">
        <is>
          <t>After merging rows, select the merged row and choose Split Row(s) from the right-click menu.</t>
        </is>
      </c>
      <c r="D36" s="14" t="inlineStr">
        <is>
          <t>The merged row should be split back into separate rows.</t>
        </is>
      </c>
      <c r="E36" s="366" t="inlineStr">
        <is>
          <t>Pending</t>
        </is>
      </c>
      <c r="F36" s="3" t="n"/>
      <c r="G36" s="366" t="inlineStr">
        <is>
          <t>Done</t>
        </is>
      </c>
      <c r="H36" s="3" t="n"/>
      <c r="I36" s="55" t="n"/>
    </row>
    <row r="37" ht="57.75" customHeight="1">
      <c r="A37" s="129" t="inlineStr">
        <is>
          <t>PDF_028</t>
        </is>
      </c>
      <c r="B37" s="14" t="inlineStr">
        <is>
          <t>Spreading Screen - Clear Zone Icon</t>
        </is>
      </c>
      <c r="C37" s="14" t="inlineStr">
        <is>
          <t>Clear a zone from the current page by clicking the clear icon next to the zone name under the relevant category.</t>
        </is>
      </c>
      <c r="D37" s="14" t="inlineStr">
        <is>
          <t>The selected zone should be removed from the document pane, and any mapping from that zone to the model should also be removed.</t>
        </is>
      </c>
      <c r="E37" s="366" t="inlineStr">
        <is>
          <t>Pending</t>
        </is>
      </c>
      <c r="F37" s="3" t="n"/>
      <c r="G37" s="366" t="inlineStr">
        <is>
          <t>Done</t>
        </is>
      </c>
      <c r="H37" s="3" t="n"/>
      <c r="I37" s="55" t="n"/>
    </row>
    <row r="38" ht="95.25" customHeight="1">
      <c r="A38" s="129" t="inlineStr">
        <is>
          <t>PDF_029</t>
        </is>
      </c>
      <c r="B38" s="14" t="inlineStr">
        <is>
          <t>Spreading Screen - Doc to Model Option Visibility</t>
        </is>
      </c>
      <c r="C38" s="14" t="inlineStr">
        <is>
          <t>Open the Navigation category in the document pane.</t>
        </is>
      </c>
      <c r="D38" s="14" t="inlineStr">
        <is>
          <t>The Doc to Model option should be displayed under the Navigation category.</t>
        </is>
      </c>
      <c r="E38" s="366" t="inlineStr">
        <is>
          <t>Pending</t>
        </is>
      </c>
      <c r="F38" s="3" t="n"/>
      <c r="G38" s="366" t="inlineStr">
        <is>
          <t>Done</t>
        </is>
      </c>
      <c r="H38" s="3" t="n"/>
      <c r="I38" s="55" t="n"/>
    </row>
    <row r="39" ht="128.25" customHeight="1">
      <c r="A39" s="129" t="inlineStr">
        <is>
          <t>PDF_030</t>
        </is>
      </c>
      <c r="B39" s="14" t="inlineStr">
        <is>
          <t>Spreading Screen - Doc to Model Functionality</t>
        </is>
      </c>
      <c r="C39" s="14" t="inlineStr">
        <is>
          <t>Use the Doc to Model option from the Navigation category to review mappings from the current document page to the model.</t>
        </is>
      </c>
      <c r="D39" s="14" t="inlineStr">
        <is>
          <t>The mapped values for the current page should be displayed with the related model references.</t>
        </is>
      </c>
      <c r="E39" s="366" t="inlineStr">
        <is>
          <t>Pending</t>
        </is>
      </c>
      <c r="F39" s="3" t="n"/>
      <c r="G39" s="366" t="inlineStr">
        <is>
          <t>Done</t>
        </is>
      </c>
      <c r="H39" s="3" t="n"/>
      <c r="I39" s="55" t="n"/>
    </row>
    <row r="40" ht="113.25" customHeight="1">
      <c r="A40" s="129" t="inlineStr">
        <is>
          <t>PDF_031</t>
        </is>
      </c>
      <c r="B40" s="14" t="inlineStr">
        <is>
          <t>Spreading Screen - Free Text Value Mapping</t>
        </is>
      </c>
      <c r="C40" s="14" t="inlineStr">
        <is>
          <t>Map a value from free text or a paragraph when a table cannot be created.</t>
        </is>
      </c>
      <c r="D40" s="14" t="inlineStr">
        <is>
          <t>The selected free-text value should be mapped successfully.</t>
        </is>
      </c>
      <c r="E40" s="366" t="inlineStr">
        <is>
          <t>Pending</t>
        </is>
      </c>
      <c r="F40" s="3" t="n"/>
      <c r="G40" s="366" t="inlineStr">
        <is>
          <t>Done</t>
        </is>
      </c>
      <c r="H40" s="3" t="n"/>
      <c r="I40" s="55" t="n"/>
    </row>
    <row r="41" ht="129" customHeight="1">
      <c r="A41" s="129" t="inlineStr">
        <is>
          <t>PDF_032</t>
        </is>
      </c>
      <c r="B41" s="14" t="inlineStr">
        <is>
          <t>Spreading Screen - Navigate Text Option Under Navigation Category</t>
        </is>
      </c>
      <c r="C41" s="14" t="inlineStr">
        <is>
          <t>Open the Navigation category in the document pane and review the available options.</t>
        </is>
      </c>
      <c r="D41" s="14" t="inlineStr">
        <is>
          <t>The Navigate Text option should be displayed under the Navigation category.</t>
        </is>
      </c>
      <c r="E41" s="366" t="inlineStr">
        <is>
          <t>Pending</t>
        </is>
      </c>
      <c r="F41" s="3" t="n"/>
      <c r="G41" s="366" t="inlineStr">
        <is>
          <t>Done</t>
        </is>
      </c>
      <c r="H41" s="3" t="n"/>
      <c r="I41" s="55" t="n"/>
    </row>
    <row r="42" ht="61.5" customHeight="1">
      <c r="A42" s="129" t="inlineStr">
        <is>
          <t>PDF_033</t>
        </is>
      </c>
      <c r="B42" s="14" t="inlineStr">
        <is>
          <t>Spreading Screen - Links</t>
        </is>
      </c>
      <c r="C42" s="14" t="inlineStr">
        <is>
          <t>Use the Links option on the Spreading screen to review linked documents for the spread item.</t>
        </is>
      </c>
      <c r="D42" s="14" t="inlineStr">
        <is>
          <t>The user should be able to view and access the linked documents.</t>
        </is>
      </c>
      <c r="E42" s="366" t="inlineStr">
        <is>
          <t>Pending</t>
        </is>
      </c>
      <c r="F42" s="3" t="n"/>
      <c r="G42" s="366" t="inlineStr">
        <is>
          <t>Done</t>
        </is>
      </c>
      <c r="H42" s="3" t="n"/>
      <c r="I42" s="55" t="n"/>
    </row>
    <row r="43" ht="75.75" customHeight="1">
      <c r="A43" s="129" t="inlineStr">
        <is>
          <t>PDF_034</t>
        </is>
      </c>
      <c r="B43" s="368" t="inlineStr">
        <is>
          <t>Spreading Screen - Merge Pages Option Visibility</t>
        </is>
      </c>
      <c r="C43" s="229" t="inlineStr">
        <is>
          <t>Open the Secondary category in the document pane and review the available options.</t>
        </is>
      </c>
      <c r="D43" s="368" t="inlineStr">
        <is>
          <t>The Merge Pages option should be displayed under the Secondary category.</t>
        </is>
      </c>
      <c r="E43" s="366" t="inlineStr">
        <is>
          <t>Pending</t>
        </is>
      </c>
      <c r="F43" s="3" t="n"/>
      <c r="G43" s="366" t="inlineStr">
        <is>
          <t>Done</t>
        </is>
      </c>
      <c r="H43" s="3" t="n"/>
      <c r="I43" s="55" t="n"/>
    </row>
    <row r="44" ht="79.5" customHeight="1">
      <c r="A44" s="129" t="inlineStr">
        <is>
          <t>PDF_035</t>
        </is>
      </c>
      <c r="B44" s="14" t="inlineStr">
        <is>
          <t>Spreading Screen - Merge Pages Functionality</t>
        </is>
      </c>
      <c r="C44" s="14" t="inlineStr">
        <is>
          <t>Open Merge Pages from the Secondary category, align the required pages, and merge them.</t>
        </is>
      </c>
      <c r="D44" s="14" t="inlineStr">
        <is>
          <t>A merged page should be created and added at the end of the PDF.</t>
        </is>
      </c>
      <c r="E44" s="366" t="inlineStr">
        <is>
          <t>Pending</t>
        </is>
      </c>
      <c r="F44" s="3" t="n"/>
      <c r="G44" s="366" t="inlineStr">
        <is>
          <t>Done</t>
        </is>
      </c>
      <c r="H44" s="3" t="n"/>
      <c r="I44" s="55" t="n"/>
    </row>
    <row r="45" ht="95.25" customHeight="1">
      <c r="A45" s="129" t="inlineStr">
        <is>
          <t>PDF_036</t>
        </is>
      </c>
      <c r="B45" s="368" t="inlineStr">
        <is>
          <t>Spreading Screen - Split Window Option Visibility</t>
        </is>
      </c>
      <c r="C45" s="229" t="inlineStr">
        <is>
          <t>Open the Secondary category in the document pane and review the available options.</t>
        </is>
      </c>
      <c r="D45" s="368" t="inlineStr">
        <is>
          <t>The Split Window option should be displayed under the Secondary category.</t>
        </is>
      </c>
      <c r="E45" s="366" t="inlineStr">
        <is>
          <t>Pending</t>
        </is>
      </c>
      <c r="F45" s="3" t="n"/>
      <c r="G45" s="366" t="inlineStr">
        <is>
          <t>Done</t>
        </is>
      </c>
      <c r="H45" s="3" t="n"/>
      <c r="I45" s="55" t="n"/>
    </row>
    <row r="46" ht="95.25" customHeight="1">
      <c r="A46" s="129" t="inlineStr">
        <is>
          <t>PDF_037</t>
        </is>
      </c>
      <c r="B46" s="14" t="inlineStr">
        <is>
          <t>Spreading Screen - Split Window Functionality</t>
        </is>
      </c>
      <c r="C46" s="229" t="inlineStr">
        <is>
          <t>Use the Split Window option on the Spreading screen to split the financial document into two panes.</t>
        </is>
      </c>
      <c r="D46" s="14" t="inlineStr">
        <is>
          <t>The document should be displayed in two panes.</t>
        </is>
      </c>
      <c r="E46" s="366" t="inlineStr">
        <is>
          <t>Pending</t>
        </is>
      </c>
      <c r="F46" s="3" t="n"/>
      <c r="G46" s="366" t="inlineStr">
        <is>
          <t>Done</t>
        </is>
      </c>
      <c r="H46" s="3" t="n"/>
      <c r="I46" s="55" t="n"/>
    </row>
    <row r="47" ht="75" customHeight="1">
      <c r="A47" s="129" t="inlineStr">
        <is>
          <t>PDF_038</t>
        </is>
      </c>
      <c r="B47" s="14" t="inlineStr">
        <is>
          <t>Spreading Screen - Split Window Mapping Functionality</t>
        </is>
      </c>
      <c r="C47" s="14" t="inlineStr">
        <is>
          <t>Enable Split Window and map values using either pane.</t>
        </is>
      </c>
      <c r="D47" s="14" t="inlineStr">
        <is>
          <t>The user should be able to map values from both panes.</t>
        </is>
      </c>
      <c r="E47" s="366" t="inlineStr">
        <is>
          <t>Pending</t>
        </is>
      </c>
      <c r="F47" s="5" t="n">
        <v>70985</v>
      </c>
      <c r="G47" s="366" t="inlineStr">
        <is>
          <t>Done</t>
        </is>
      </c>
      <c r="H47" s="5" t="n"/>
      <c r="I47" s="55" t="n"/>
    </row>
    <row r="48" ht="83.25" customHeight="1">
      <c r="A48" s="129" t="inlineStr">
        <is>
          <t>PDF_039</t>
        </is>
      </c>
      <c r="B48" s="14" t="inlineStr">
        <is>
          <t>Spreading Screen - Close Split Window Pane</t>
        </is>
      </c>
      <c r="C48" s="229" t="inlineStr">
        <is>
          <t>Close the split window pane after opening Split Window.</t>
        </is>
      </c>
      <c r="D48" s="14" t="inlineStr">
        <is>
          <t>The extra pane should be closed, and the document should return to a single-pane view.</t>
        </is>
      </c>
      <c r="E48" s="366" t="inlineStr">
        <is>
          <t>Pending</t>
        </is>
      </c>
      <c r="F48" s="3" t="n"/>
      <c r="G48" s="366" t="inlineStr">
        <is>
          <t>Done</t>
        </is>
      </c>
      <c r="H48" s="3" t="n"/>
      <c r="I48" s="55" t="n"/>
    </row>
    <row r="49" ht="170.25" customHeight="1">
      <c r="A49" s="129" t="inlineStr">
        <is>
          <t>PDF_040</t>
        </is>
      </c>
      <c r="B49" s="14" t="inlineStr">
        <is>
          <t>Spreading Screen - Customer Zone</t>
        </is>
      </c>
      <c r="C49" s="14" t="inlineStr">
        <is>
          <t>Create a Customer Zone from the Spreading screen and review the new zone entry.</t>
        </is>
      </c>
      <c r="D49" s="14" t="inlineStr">
        <is>
          <t>The Customer Zone should be created successfully and should be available for use.</t>
        </is>
      </c>
      <c r="E49" s="366" t="inlineStr">
        <is>
          <t>Pending</t>
        </is>
      </c>
      <c r="F49" s="3" t="n"/>
      <c r="G49" s="366" t="inlineStr">
        <is>
          <t>Done</t>
        </is>
      </c>
      <c r="H49" s="3" t="n"/>
      <c r="I49" s="55" t="n"/>
    </row>
    <row r="50" ht="36" customHeight="1">
      <c r="A50" s="129" t="inlineStr">
        <is>
          <t>PDF_041</t>
        </is>
      </c>
      <c r="B50" s="14" t="inlineStr">
        <is>
          <t>Customer Zone - Duplicate</t>
        </is>
      </c>
      <c r="C50" s="14" t="inlineStr">
        <is>
          <t>Create a Customer Zone that already exists in the list. Then try to create a Customer Zone with the same name as an existing Global Zone.</t>
        </is>
      </c>
      <c r="D50" s="14" t="inlineStr">
        <is>
          <t>A duplicate zone should not be created in either case.</t>
        </is>
      </c>
      <c r="E50" s="366" t="inlineStr">
        <is>
          <t>Pending</t>
        </is>
      </c>
      <c r="F50" s="3" t="n"/>
      <c r="G50" s="366" t="inlineStr">
        <is>
          <t>Done</t>
        </is>
      </c>
      <c r="H50" s="3" t="n"/>
      <c r="I50" s="55" t="n"/>
    </row>
    <row r="51" ht="84.75" customHeight="1">
      <c r="A51" s="129" t="inlineStr">
        <is>
          <t>PDF_042</t>
        </is>
      </c>
      <c r="B51" s="14" t="inlineStr">
        <is>
          <t>Spreading Screen - Mapping from Customer Zone</t>
        </is>
      </c>
      <c r="C51" s="14" t="inlineStr">
        <is>
          <t>Create or detect a table, tag it with a Customer Zone, set the value column, pick a value from the value column, and map it to a model cell.</t>
        </is>
      </c>
      <c r="D51" s="14" t="inlineStr">
        <is>
          <t>The value from the Customer Zone should be mapped to the selected model cell.</t>
        </is>
      </c>
      <c r="E51" s="366" t="inlineStr">
        <is>
          <t>Pending</t>
        </is>
      </c>
      <c r="F51" s="3" t="n"/>
      <c r="G51" s="366" t="inlineStr">
        <is>
          <t>Done</t>
        </is>
      </c>
      <c r="H51" s="3" t="n"/>
      <c r="I51" s="55" t="n"/>
    </row>
    <row r="52" ht="84.75" customHeight="1">
      <c r="A52" s="129" t="inlineStr">
        <is>
          <t>PDF_043</t>
        </is>
      </c>
      <c r="B52" s="368" t="inlineStr">
        <is>
          <t>Spreading Screen - Rotate Option Visibility</t>
        </is>
      </c>
      <c r="C52" s="229" t="inlineStr">
        <is>
          <t>Open the Secondary category in the document pane and review the available options.</t>
        </is>
      </c>
      <c r="D52" s="368" t="inlineStr">
        <is>
          <t>The Rotate option should be displayed under the Secondary category.</t>
        </is>
      </c>
      <c r="E52" s="366" t="inlineStr">
        <is>
          <t>Pending</t>
        </is>
      </c>
      <c r="F52" s="3" t="n"/>
      <c r="G52" s="366" t="inlineStr">
        <is>
          <t>Done</t>
        </is>
      </c>
      <c r="H52" s="3" t="n"/>
      <c r="I52" s="55" t="n"/>
    </row>
    <row r="53" ht="73.5" customHeight="1">
      <c r="A53" s="129" t="inlineStr">
        <is>
          <t>PDF_044</t>
        </is>
      </c>
      <c r="B53" s="14" t="inlineStr">
        <is>
          <t>Spreading Screen - Rotate Functionality</t>
        </is>
      </c>
      <c r="C53" s="14" t="inlineStr">
        <is>
          <t>Click the Rotate option under the Secondary category.</t>
        </is>
      </c>
      <c r="D53" s="14" t="inlineStr">
        <is>
          <t>The current page of the document should rotate clockwise.</t>
        </is>
      </c>
      <c r="E53" s="366" t="inlineStr">
        <is>
          <t>Pending</t>
        </is>
      </c>
      <c r="F53" s="3" t="n"/>
      <c r="G53" s="366" t="inlineStr">
        <is>
          <t>Done</t>
        </is>
      </c>
      <c r="H53" s="3" t="n"/>
      <c r="I53" s="55" t="n"/>
    </row>
    <row r="54" ht="73.5" customHeight="1">
      <c r="A54" s="129" t="inlineStr">
        <is>
          <t>PDF_045</t>
        </is>
      </c>
      <c r="B54" s="368" t="inlineStr">
        <is>
          <t>Spreading Screen - Clean File Option Visibility</t>
        </is>
      </c>
      <c r="C54" s="229" t="inlineStr">
        <is>
          <t>Open the Secondary category in the document pane and review the available options.</t>
        </is>
      </c>
      <c r="D54" s="368" t="inlineStr">
        <is>
          <t>The Clean File dropdown should be displayed under the Secondary category.</t>
        </is>
      </c>
      <c r="E54" s="366" t="inlineStr">
        <is>
          <t>Pending</t>
        </is>
      </c>
      <c r="F54" s="3" t="n"/>
      <c r="G54" s="366" t="inlineStr">
        <is>
          <t>Done</t>
        </is>
      </c>
      <c r="H54" s="3" t="n"/>
      <c r="I54" s="55" t="n"/>
    </row>
    <row r="55" ht="73.5" customHeight="1">
      <c r="A55" s="129" t="inlineStr">
        <is>
          <t>PDF_046</t>
        </is>
      </c>
      <c r="B55" s="368" t="inlineStr">
        <is>
          <t>Spreading Screen - Clean File Dropdown Options</t>
        </is>
      </c>
      <c r="C55" s="229" t="inlineStr">
        <is>
          <t>Open the Secondary category, click Clean File, and review the dropdown options.</t>
        </is>
      </c>
      <c r="D55" s="368" t="inlineStr">
        <is>
          <t>The Clean File dropdown should display Enable and Reset options for Single Page and All Pages.</t>
        </is>
      </c>
      <c r="E55" s="366" t="inlineStr">
        <is>
          <t>Pending</t>
        </is>
      </c>
      <c r="F55" s="3" t="n"/>
      <c r="G55" s="366" t="inlineStr">
        <is>
          <t>Done</t>
        </is>
      </c>
      <c r="H55" s="3" t="n"/>
      <c r="I55" s="55" t="n"/>
    </row>
    <row r="56" ht="63.75" customHeight="1">
      <c r="A56" s="129" t="inlineStr">
        <is>
          <t>PDF_047</t>
        </is>
      </c>
      <c r="B56" s="14" t="inlineStr">
        <is>
          <t>Spreading Screen - Clean File Enable Functionality</t>
        </is>
      </c>
      <c r="C56" s="14" t="inlineStr">
        <is>
          <t>Open Clean File from the Secondary category, click Enable, and verify Clean PDF behavior for No Despeckle, Low Despeckle, and High Despeckle.</t>
        </is>
      </c>
      <c r="D56" s="14" t="inlineStr">
        <is>
          <t>The Clean File pop-up should open, and cleaning should work for all supported options.</t>
        </is>
      </c>
      <c r="E56" s="366" t="inlineStr">
        <is>
          <t>Pending</t>
        </is>
      </c>
      <c r="F56" s="3" t="n"/>
      <c r="G56" s="366" t="inlineStr">
        <is>
          <t>Done</t>
        </is>
      </c>
      <c r="H56" s="3" t="n"/>
      <c r="I56" s="55" t="n"/>
    </row>
    <row r="57" ht="109.5" customHeight="1">
      <c r="A57" s="129" t="inlineStr">
        <is>
          <t>PDF_048</t>
        </is>
      </c>
      <c r="B57" s="14" t="inlineStr">
        <is>
          <t>Spreading Screen - Clean File Reset (Single Page)</t>
        </is>
      </c>
      <c r="C57" s="14" t="inlineStr">
        <is>
          <t>Open Clean File, click Enable, select Single Page in the pop-up, apply cleaning using the available despeckle options, click Accept, and then use Reset for Single Page.</t>
        </is>
      </c>
      <c r="D57" s="14" t="inlineStr">
        <is>
          <t>The selected page should be restored to the original page.</t>
        </is>
      </c>
      <c r="E57" s="366" t="inlineStr">
        <is>
          <t>Pending</t>
        </is>
      </c>
      <c r="F57" s="3" t="n"/>
      <c r="G57" s="366" t="inlineStr">
        <is>
          <t>Done</t>
        </is>
      </c>
      <c r="H57" s="3" t="n"/>
      <c r="I57" s="55" t="n"/>
    </row>
    <row r="58" ht="128.25" customHeight="1">
      <c r="A58" s="129" t="inlineStr">
        <is>
          <t>PDF_049</t>
        </is>
      </c>
      <c r="B58" s="14" t="inlineStr">
        <is>
          <t>Spreading Screen - Clean File Reset (All Pages)</t>
        </is>
      </c>
      <c r="C58" s="14" t="inlineStr">
        <is>
          <t>Open Clean File, click Enable, select All Pages in the pop-up, apply cleaning using the available despeckle options, click Accept, and then use Reset for All Pages.</t>
        </is>
      </c>
      <c r="D58" s="14" t="inlineStr">
        <is>
          <t>All selected pages should be restored to the original file.</t>
        </is>
      </c>
      <c r="E58" s="366" t="inlineStr">
        <is>
          <t>Pending</t>
        </is>
      </c>
      <c r="F58" s="3" t="n"/>
      <c r="G58" s="366" t="inlineStr">
        <is>
          <t>Done</t>
        </is>
      </c>
      <c r="H58" s="3" t="n"/>
      <c r="I58" s="55" t="n"/>
    </row>
    <row r="59" ht="159" customHeight="1">
      <c r="A59" s="129" t="inlineStr">
        <is>
          <t>PDF_050</t>
        </is>
      </c>
      <c r="B59" s="14" t="inlineStr">
        <is>
          <t>Spreading Screen - Clean File Despeckle Options</t>
        </is>
      </c>
      <c r="C59" s="14" t="inlineStr">
        <is>
          <t>Open Clean File, click Enable, and verify the despeckle options in the pop-up for Low, High, and Reset.</t>
        </is>
      </c>
      <c r="D59" s="14" t="inlineStr">
        <is>
          <t>The selected despeckle setting should be applied correctly. Reset should restore the original PDF page.</t>
        </is>
      </c>
      <c r="E59" s="366" t="inlineStr">
        <is>
          <t>Pending</t>
        </is>
      </c>
      <c r="F59" s="3" t="n"/>
      <c r="G59" s="366" t="inlineStr">
        <is>
          <t>Done</t>
        </is>
      </c>
      <c r="H59" s="3" t="n"/>
      <c r="I59" s="55" t="n"/>
    </row>
    <row r="60" ht="60" customHeight="1">
      <c r="A60" s="129" t="inlineStr">
        <is>
          <t>PDF_051</t>
        </is>
      </c>
      <c r="B60" s="14" t="inlineStr">
        <is>
          <t>Spreading Screen - Information Icon</t>
        </is>
      </c>
      <c r="C60" s="14" t="inlineStr">
        <is>
          <t>Click the information icon in the top header and review the displayed help content.</t>
        </is>
      </c>
      <c r="D60" s="14" t="inlineStr">
        <is>
          <t>A pop-up with the icon definitions should be displayed.</t>
        </is>
      </c>
      <c r="E60" s="366" t="inlineStr">
        <is>
          <t>Pending</t>
        </is>
      </c>
      <c r="F60" s="3" t="n"/>
      <c r="G60" s="366" t="inlineStr">
        <is>
          <t>Done</t>
        </is>
      </c>
      <c r="H60" s="3" t="n"/>
      <c r="I60" s="55" t="n"/>
    </row>
    <row r="61" ht="90.75" customHeight="1">
      <c r="A61" s="129" t="inlineStr">
        <is>
          <t>PDF_052</t>
        </is>
      </c>
      <c r="B61" s="14" t="inlineStr">
        <is>
          <t>Spreading Screen - Base Spread Option Visibility</t>
        </is>
      </c>
      <c r="C61" s="14" t="inlineStr">
        <is>
          <t>Open the Utilities dropdown on the Spreading screen.</t>
        </is>
      </c>
      <c r="D61" s="14" t="inlineStr">
        <is>
          <t>The Base Spread option should be visible under the model section.</t>
        </is>
      </c>
      <c r="E61" s="366" t="inlineStr">
        <is>
          <t>Pending</t>
        </is>
      </c>
      <c r="F61" s="3" t="n"/>
      <c r="G61" s="366" t="inlineStr">
        <is>
          <t>Done</t>
        </is>
      </c>
      <c r="H61" s="3" t="n"/>
      <c r="I61" s="55" t="n"/>
    </row>
    <row r="62" ht="97.5" customHeight="1">
      <c r="A62" s="129" t="inlineStr">
        <is>
          <t>PDF_053</t>
        </is>
      </c>
      <c r="B62" s="14" t="inlineStr">
        <is>
          <t>Spreading Screen - Base Spread</t>
        </is>
      </c>
      <c r="C62" s="14" t="inlineStr">
        <is>
          <t>Open Utilities &gt; Base Spread and select a different base period from the pop-up.</t>
        </is>
      </c>
      <c r="D62" s="14" t="inlineStr">
        <is>
          <t>The current-period values should be removed, and the selected base period should be applied.</t>
        </is>
      </c>
      <c r="E62" s="366" t="inlineStr">
        <is>
          <t>Pending</t>
        </is>
      </c>
      <c r="F62" s="3" t="n"/>
      <c r="G62" s="366" t="inlineStr">
        <is>
          <t>Done</t>
        </is>
      </c>
      <c r="H62" s="3" t="n"/>
      <c r="I62" s="55" t="n"/>
    </row>
    <row r="63" ht="98.25" customHeight="1">
      <c r="A63" s="129" t="inlineStr">
        <is>
          <t>PDF_054</t>
        </is>
      </c>
      <c r="B63" s="14" t="inlineStr">
        <is>
          <t>Spreading Screen - Base Spread</t>
        </is>
      </c>
      <c r="C63" s="14" t="inlineStr">
        <is>
          <t>Precondition: At least 5-6 items should be available in Spread status.
Open Utilities &gt; Base Spread, select a base spread from the list, and repeat the change for all available base spreads.</t>
        </is>
      </c>
      <c r="D63" s="14" t="inlineStr">
        <is>
          <t>The user should be able to change the base spread multiple times. Each time the base spread changes, the current-period data should be reset.</t>
        </is>
      </c>
      <c r="E63" s="366" t="inlineStr">
        <is>
          <t>Pending</t>
        </is>
      </c>
      <c r="F63" s="5" t="n"/>
      <c r="G63" s="366" t="inlineStr">
        <is>
          <t>Done</t>
        </is>
      </c>
      <c r="H63" s="5" t="n"/>
      <c r="I63" s="55" t="n"/>
    </row>
    <row r="64" ht="60.75" customHeight="1">
      <c r="A64" s="129" t="inlineStr">
        <is>
          <t>PDF_055</t>
        </is>
      </c>
      <c r="B64" s="14" t="inlineStr">
        <is>
          <t>Spreading Screen - Base Spread</t>
        </is>
      </c>
      <c r="C64" s="14" t="inlineStr">
        <is>
          <t>After changing the base spread, verify that the data is reset. Then set zones again and run autofill.</t>
        </is>
      </c>
      <c r="D64" s="14" t="inlineStr">
        <is>
          <t>The user should be able to autofill data according to the selected base item.</t>
        </is>
      </c>
      <c r="E64" s="366" t="inlineStr">
        <is>
          <t>Pending</t>
        </is>
      </c>
      <c r="F64" s="3" t="n"/>
      <c r="G64" s="366" t="inlineStr">
        <is>
          <t>Done</t>
        </is>
      </c>
      <c r="H64" s="3" t="n"/>
      <c r="I64" s="55" t="n"/>
    </row>
    <row r="65" ht="56.25" customHeight="1">
      <c r="A65" s="129" t="inlineStr">
        <is>
          <t>PDF_056</t>
        </is>
      </c>
      <c r="B65" s="14" t="inlineStr">
        <is>
          <t>Spreading Screen - Base Spread</t>
        </is>
      </c>
      <c r="C65" s="14" t="inlineStr">
        <is>
          <t>Navigate to the Base Spread, click Edit Item, make manual changes, save them, and then try to map values from a table.</t>
        </is>
      </c>
      <c r="D65" s="14" t="inlineStr">
        <is>
          <t>The Edit action should open the base spread for changes, manual changes should be saved, and values should not be mapped from the table in this mode.</t>
        </is>
      </c>
      <c r="E65" s="366" t="inlineStr">
        <is>
          <t>Pending</t>
        </is>
      </c>
      <c r="F65" s="3" t="n"/>
      <c r="G65" s="366" t="inlineStr">
        <is>
          <t>Done</t>
        </is>
      </c>
      <c r="H65" s="3" t="n"/>
      <c r="I65" s="55" t="n"/>
    </row>
    <row r="66" ht="100.5" customHeight="1">
      <c r="A66" s="129" t="inlineStr">
        <is>
          <t>PDF_057</t>
        </is>
      </c>
      <c r="B66" s="14" t="inlineStr">
        <is>
          <t>Spreading Screen - Load Spread Option Visibility</t>
        </is>
      </c>
      <c r="C66" s="14" t="inlineStr">
        <is>
          <t>Open the Utilities dropdown on the Spreading screen.</t>
        </is>
      </c>
      <c r="D66" s="14" t="inlineStr">
        <is>
          <t>The Load Spread option should be visible under the model section.</t>
        </is>
      </c>
      <c r="E66" s="366" t="inlineStr">
        <is>
          <t>Pending</t>
        </is>
      </c>
      <c r="F66" s="3" t="n"/>
      <c r="G66" s="366" t="inlineStr">
        <is>
          <t>Done</t>
        </is>
      </c>
      <c r="H66" s="3" t="n"/>
      <c r="I66" s="55" t="n"/>
    </row>
    <row r="67" ht="92.25" customHeight="1">
      <c r="A67" s="129" t="inlineStr">
        <is>
          <t>PDF_058</t>
        </is>
      </c>
      <c r="B67" s="14" t="inlineStr">
        <is>
          <t>Spreading Screen - Load Spreads</t>
        </is>
      </c>
      <c r="C67" s="14" t="inlineStr">
        <is>
          <t>Open Utilities &gt; Load Spread and select spreads for the customer, up to the supported maximum.</t>
        </is>
      </c>
      <c r="D67" s="14" t="inlineStr">
        <is>
          <t>All selected spreads should be rendered in the model pane.</t>
        </is>
      </c>
      <c r="E67" s="366" t="inlineStr">
        <is>
          <t>Pending</t>
        </is>
      </c>
      <c r="F67" s="5" t="n"/>
      <c r="G67" s="366" t="inlineStr">
        <is>
          <t>Done</t>
        </is>
      </c>
      <c r="H67" s="5" t="n"/>
      <c r="I67" s="55" t="n"/>
    </row>
    <row r="68" ht="62.25" customHeight="1">
      <c r="A68" s="129" t="inlineStr">
        <is>
          <t>PDF_059</t>
        </is>
      </c>
      <c r="B68" s="14" t="inlineStr">
        <is>
          <t>Spreading Screen - Load Spreads</t>
        </is>
      </c>
      <c r="C68" s="14" t="inlineStr">
        <is>
          <t>Open previously loaded spreads, enter manual values in a previous spread, and save the changes.</t>
        </is>
      </c>
      <c r="D68" s="14" t="inlineStr">
        <is>
          <t>The user should be able to enter manual values and save the data.</t>
        </is>
      </c>
      <c r="E68" s="366" t="inlineStr">
        <is>
          <t>Pending</t>
        </is>
      </c>
      <c r="F68" s="3" t="n"/>
      <c r="G68" s="366" t="inlineStr">
        <is>
          <t>Done</t>
        </is>
      </c>
      <c r="H68" s="3" t="n"/>
      <c r="I68" s="55" t="n"/>
    </row>
    <row r="69" ht="30.75" customHeight="1">
      <c r="A69" s="129" t="inlineStr">
        <is>
          <t>PDF_060</t>
        </is>
      </c>
      <c r="B69" s="14" t="inlineStr">
        <is>
          <t>Spreading Screen - Load Spreads</t>
        </is>
      </c>
      <c r="C69" s="14" t="inlineStr">
        <is>
          <t>Load the maximum allowed spreads and verify the edit availability.</t>
        </is>
      </c>
      <c r="D69" s="14" t="inlineStr">
        <is>
          <t>Edit should be enabled only for five previous spreads, along with the Current and Base spreads.</t>
        </is>
      </c>
      <c r="E69" s="366" t="inlineStr">
        <is>
          <t>Pending</t>
        </is>
      </c>
      <c r="F69" s="3" t="n"/>
      <c r="G69" s="366" t="inlineStr">
        <is>
          <t>Done</t>
        </is>
      </c>
      <c r="H69" s="3" t="n"/>
      <c r="I69" s="55" t="n"/>
    </row>
    <row r="70" ht="44.25" customHeight="1">
      <c r="A70" s="129" t="inlineStr">
        <is>
          <t>PDF_061</t>
        </is>
      </c>
      <c r="B70" s="14" t="inlineStr">
        <is>
          <t>Spreading Screen - Load Spreads</t>
        </is>
      </c>
      <c r="C70" s="14" t="inlineStr">
        <is>
          <t>Make changes in a previous spread, then submit the current spread. Reopen the spread where changes were made and verify the updated data.</t>
        </is>
      </c>
      <c r="D70" s="14" t="inlineStr">
        <is>
          <t>The current spread should be submitted successfully, and the changes should be reflected in the updated spread.</t>
        </is>
      </c>
      <c r="E70" s="366" t="inlineStr">
        <is>
          <t>Pending</t>
        </is>
      </c>
      <c r="F70" s="3" t="n"/>
      <c r="G70" s="366" t="inlineStr">
        <is>
          <t>Done</t>
        </is>
      </c>
      <c r="H70" s="3" t="n"/>
      <c r="I70" s="55" t="n"/>
    </row>
    <row r="71" ht="27" customHeight="1">
      <c r="A71" s="129" t="inlineStr">
        <is>
          <t>PDF_062</t>
        </is>
      </c>
      <c r="B71" s="14" t="inlineStr">
        <is>
          <t>Spreading Screen - Load Spreads</t>
        </is>
      </c>
      <c r="C71" s="14" t="inlineStr">
        <is>
          <t>Edit a previous spread, cancel or discard the changes, and review the original spread.</t>
        </is>
      </c>
      <c r="D71" s="14" t="inlineStr">
        <is>
          <t>Discard should work correctly, and the original spread should remain unchanged.</t>
        </is>
      </c>
      <c r="E71" s="366" t="inlineStr">
        <is>
          <t>Pending</t>
        </is>
      </c>
      <c r="F71" s="3" t="n"/>
      <c r="G71" s="366" t="inlineStr">
        <is>
          <t>Done</t>
        </is>
      </c>
      <c r="H71" s="3" t="n"/>
      <c r="I71" s="55" t="n"/>
    </row>
    <row r="72" ht="72.75" customHeight="1">
      <c r="A72" s="129" t="inlineStr">
        <is>
          <t>PDF_063</t>
        </is>
      </c>
      <c r="B72" s="14" t="inlineStr">
        <is>
          <t>Spreading Screen - Unit Scale</t>
        </is>
      </c>
      <c r="C72" s="14" t="inlineStr">
        <is>
          <t>Select a cell in the Current column of the model and apply an option from Unit Scale under the primary category.</t>
        </is>
      </c>
      <c r="D72" s="14" t="inlineStr">
        <is>
          <t>The selected Unit Scale option should be applied to all model cells that support mapped values.</t>
        </is>
      </c>
      <c r="E72" s="366" t="inlineStr">
        <is>
          <t>Pending</t>
        </is>
      </c>
      <c r="F72" s="3" t="n"/>
      <c r="G72" s="366" t="inlineStr">
        <is>
          <t>Done</t>
        </is>
      </c>
      <c r="H72" s="3" t="n"/>
      <c r="I72" s="55" t="n"/>
    </row>
    <row r="73" ht="71.25" customHeight="1">
      <c r="A73" s="129" t="inlineStr">
        <is>
          <t>PDF_064</t>
        </is>
      </c>
      <c r="B73" s="14" t="inlineStr">
        <is>
          <t>Spreading Screen - Conversion</t>
        </is>
      </c>
      <c r="C73" s="14" t="inlineStr">
        <is>
          <t>Select a cell in the Current column of the model and apply a Conversion option under the primary category.</t>
        </is>
      </c>
      <c r="D73" s="14" t="inlineStr">
        <is>
          <t>The selected conversion value should be applied to the active model cell.</t>
        </is>
      </c>
      <c r="E73" s="366" t="inlineStr">
        <is>
          <t>Pending</t>
        </is>
      </c>
      <c r="F73" s="3" t="n"/>
      <c r="G73" s="366" t="inlineStr">
        <is>
          <t>Done</t>
        </is>
      </c>
      <c r="H73" s="3" t="n"/>
      <c r="I73" s="55" t="n"/>
    </row>
    <row r="74" ht="60.75" customHeight="1">
      <c r="A74" s="129" t="inlineStr">
        <is>
          <t>PDF_065</t>
        </is>
      </c>
      <c r="B74" s="14" t="inlineStr">
        <is>
          <t>Spreading Screen - Operator</t>
        </is>
      </c>
      <c r="C74" s="14" t="inlineStr">
        <is>
          <t>Select a model cell, place the cursor in the formula bar expression, choose an operator from the primary category, pick a value from the document, and map it to the active cell.</t>
        </is>
      </c>
      <c r="D74" s="14" t="inlineStr">
        <is>
          <t>The selected operator should be applied to the expression.</t>
        </is>
      </c>
      <c r="E74" s="366" t="inlineStr">
        <is>
          <t>Pending</t>
        </is>
      </c>
      <c r="F74" s="3" t="n"/>
      <c r="G74" s="366" t="inlineStr">
        <is>
          <t>Done</t>
        </is>
      </c>
      <c r="H74" s="3" t="n"/>
      <c r="I74" s="55" t="n"/>
    </row>
    <row r="75" ht="45.75" customHeight="1">
      <c r="A75" s="129" t="inlineStr">
        <is>
          <t>PDF_066</t>
        </is>
      </c>
      <c r="B75" s="14" t="inlineStr">
        <is>
          <t>Spreading Screen - Contra</t>
        </is>
      </c>
      <c r="C75" s="14" t="inlineStr">
        <is>
          <t>Select a model cell, place the cursor in the formula bar expression, and click Contra under the primary category.</t>
        </is>
      </c>
      <c r="D75" s="14" t="inlineStr">
        <is>
          <t>The Contra operation should be applied.</t>
        </is>
      </c>
      <c r="E75" s="366" t="inlineStr">
        <is>
          <t>Pending</t>
        </is>
      </c>
      <c r="F75" s="3" t="n"/>
      <c r="G75" s="366" t="inlineStr">
        <is>
          <t>Done</t>
        </is>
      </c>
      <c r="H75" s="3" t="n"/>
      <c r="I75" s="55" t="n"/>
    </row>
    <row r="76" ht="33.75" customHeight="1">
      <c r="A76" s="129" t="inlineStr">
        <is>
          <t>PDF_067</t>
        </is>
      </c>
      <c r="B76" s="14" t="inlineStr">
        <is>
          <t>Spreading Screen - Positive</t>
        </is>
      </c>
      <c r="C76" s="14" t="inlineStr">
        <is>
          <t>Select a model cell and click Positive under the primary category.</t>
        </is>
      </c>
      <c r="D76" s="14" t="inlineStr">
        <is>
          <t>The Positive operation should be applied.</t>
        </is>
      </c>
      <c r="E76" s="366" t="inlineStr">
        <is>
          <t>Pending</t>
        </is>
      </c>
      <c r="F76" s="3" t="n"/>
      <c r="G76" s="366" t="inlineStr">
        <is>
          <t>Done</t>
        </is>
      </c>
      <c r="H76" s="3" t="n"/>
      <c r="I76" s="55" t="n"/>
    </row>
    <row r="77" ht="30" customHeight="1">
      <c r="A77" s="129" t="inlineStr">
        <is>
          <t>PDF_068</t>
        </is>
      </c>
      <c r="B77" s="14" t="inlineStr">
        <is>
          <t>Spreading Screen - Negative</t>
        </is>
      </c>
      <c r="C77" s="14" t="inlineStr">
        <is>
          <t>Select a model cell and click Negative under the primary category.</t>
        </is>
      </c>
      <c r="D77" s="14" t="inlineStr">
        <is>
          <t>The Negative operation should be applied.</t>
        </is>
      </c>
      <c r="E77" s="366" t="inlineStr">
        <is>
          <t>Pending</t>
        </is>
      </c>
      <c r="F77" s="3" t="n"/>
      <c r="G77" s="366" t="inlineStr">
        <is>
          <t>Done</t>
        </is>
      </c>
      <c r="H77" s="3" t="n"/>
      <c r="I77" s="55" t="n"/>
    </row>
    <row r="78" ht="33.75" customHeight="1">
      <c r="A78" s="129" t="inlineStr">
        <is>
          <t>PDF_069</t>
        </is>
      </c>
      <c r="B78" s="14" t="inlineStr">
        <is>
          <t>Spreading Screen - Account Category</t>
        </is>
      </c>
      <c r="C78" s="14" t="inlineStr">
        <is>
          <t>Use the account category icon on the lower-right side of the model pane to navigate between categories.</t>
        </is>
      </c>
      <c r="D78" s="14" t="inlineStr">
        <is>
          <t>The selected category should be shown at the top of the model rows.</t>
        </is>
      </c>
      <c r="E78" s="366" t="inlineStr">
        <is>
          <t>Pending</t>
        </is>
      </c>
      <c r="F78" s="3" t="n"/>
      <c r="G78" s="366" t="inlineStr">
        <is>
          <t>Done</t>
        </is>
      </c>
      <c r="H78" s="3" t="n"/>
      <c r="I78" s="55" t="n"/>
    </row>
    <row r="79" ht="45.75" customHeight="1">
      <c r="A79" s="129" t="inlineStr">
        <is>
          <t>PDF_070</t>
        </is>
      </c>
      <c r="B79" s="14" t="inlineStr">
        <is>
          <t>Spreading Screen - Show Currency</t>
        </is>
      </c>
      <c r="C79" s="14" t="inlineStr">
        <is>
          <t>Click Show Currency under the Secondary category in the model pane.</t>
        </is>
      </c>
      <c r="D79" s="14" t="inlineStr">
        <is>
          <t>The Currency and Unit columns should be displayed in the model pane, and the button label should change to Hide Currency.</t>
        </is>
      </c>
      <c r="E79" s="366" t="inlineStr">
        <is>
          <t>Pending</t>
        </is>
      </c>
      <c r="F79" s="3" t="n"/>
      <c r="G79" s="366" t="inlineStr">
        <is>
          <t>Done</t>
        </is>
      </c>
      <c r="H79" s="3" t="n"/>
      <c r="I79" s="55" t="n"/>
    </row>
    <row r="80" ht="43.5" customHeight="1">
      <c r="A80" s="129" t="inlineStr">
        <is>
          <t>PDF_071</t>
        </is>
      </c>
      <c r="B80" s="14" t="inlineStr">
        <is>
          <t>Spreading Screen - Hide Currency</t>
        </is>
      </c>
      <c r="C80" s="14" t="inlineStr">
        <is>
          <t>Click Hide Currency under the Secondary category in the model pane.</t>
        </is>
      </c>
      <c r="D80" s="14" t="inlineStr">
        <is>
          <t>The Currency and Unit columns should be hidden.</t>
        </is>
      </c>
      <c r="E80" s="366" t="inlineStr">
        <is>
          <t>Pending</t>
        </is>
      </c>
      <c r="F80" s="3" t="n"/>
      <c r="G80" s="366" t="inlineStr">
        <is>
          <t>Done</t>
        </is>
      </c>
      <c r="H80" s="3" t="n"/>
      <c r="I80" s="55" t="n"/>
    </row>
    <row r="81" ht="43.5" customHeight="1">
      <c r="A81" s="129" t="inlineStr">
        <is>
          <t>PDF_072</t>
        </is>
      </c>
      <c r="B81" s="14" t="inlineStr">
        <is>
          <t>Spreading Screen - Hide Unused</t>
        </is>
      </c>
      <c r="C81" s="14" t="inlineStr">
        <is>
          <t>Click Hide Unused under the Secondary category in the model pane.</t>
        </is>
      </c>
      <c r="D81" s="14" t="inlineStr">
        <is>
          <t>Only model cells that contain values should remain visible, and the button label should change to Show Unused.</t>
        </is>
      </c>
      <c r="E81" s="366" t="inlineStr">
        <is>
          <t>Pending</t>
        </is>
      </c>
      <c r="F81" s="3" t="n"/>
      <c r="G81" s="366" t="inlineStr">
        <is>
          <t>Done</t>
        </is>
      </c>
      <c r="H81" s="3" t="n"/>
      <c r="I81" s="55" t="n"/>
    </row>
    <row r="82" ht="42.75" customHeight="1">
      <c r="A82" s="129" t="inlineStr">
        <is>
          <t>PDF_073</t>
        </is>
      </c>
      <c r="B82" s="14" t="inlineStr">
        <is>
          <t>Spreading Screen - Show Unused</t>
        </is>
      </c>
      <c r="C82" s="14" t="inlineStr">
        <is>
          <t>Click Show Unused under the Secondary category in the model pane.</t>
        </is>
      </c>
      <c r="D82" s="14" t="inlineStr">
        <is>
          <t>All model cells should be visible, regardless of whether they contain values.</t>
        </is>
      </c>
      <c r="E82" s="366" t="inlineStr">
        <is>
          <t>Pending</t>
        </is>
      </c>
      <c r="F82" s="3" t="n"/>
      <c r="G82" s="366" t="inlineStr">
        <is>
          <t>Done</t>
        </is>
      </c>
      <c r="H82" s="3" t="n"/>
      <c r="I82" s="55" t="n"/>
    </row>
    <row r="83" ht="42" customHeight="1">
      <c r="A83" s="129" t="inlineStr">
        <is>
          <t>PDF_074</t>
        </is>
      </c>
      <c r="B83" s="14" t="inlineStr">
        <is>
          <t>Spreading Screen - Show Variance</t>
        </is>
      </c>
      <c r="C83" s="14" t="inlineStr">
        <is>
          <t>Click Show Variance under the Secondary category in the model pane.</t>
        </is>
      </c>
      <c r="D83" s="14" t="inlineStr">
        <is>
          <t>The Variance column should be displayed in the model pane, and the button label should change to Hide Variance.</t>
        </is>
      </c>
      <c r="E83" s="366" t="inlineStr">
        <is>
          <t>Pending</t>
        </is>
      </c>
      <c r="F83" s="3" t="n"/>
      <c r="G83" s="366" t="inlineStr">
        <is>
          <t>Done</t>
        </is>
      </c>
      <c r="H83" s="3" t="n"/>
      <c r="I83" s="55" t="n"/>
    </row>
    <row r="84" ht="49.5" customHeight="1">
      <c r="A84" s="129" t="inlineStr">
        <is>
          <t>PDF_075</t>
        </is>
      </c>
      <c r="B84" s="14" t="inlineStr">
        <is>
          <t>Spreading Screen - Hide Variance</t>
        </is>
      </c>
      <c r="C84" s="14" t="inlineStr">
        <is>
          <t>Click Hide Variance under the Secondary category in the model pane.</t>
        </is>
      </c>
      <c r="D84" s="14" t="inlineStr">
        <is>
          <t>The Variance column should be hidden.</t>
        </is>
      </c>
      <c r="E84" s="366" t="inlineStr">
        <is>
          <t>Pending</t>
        </is>
      </c>
      <c r="F84" s="3" t="n"/>
      <c r="G84" s="366" t="inlineStr">
        <is>
          <t>Done</t>
        </is>
      </c>
      <c r="H84" s="3" t="n"/>
      <c r="I84" s="55" t="n"/>
    </row>
    <row r="85" ht="88.5" customHeight="1">
      <c r="A85" s="129" t="inlineStr">
        <is>
          <t>PDF_076</t>
        </is>
      </c>
      <c r="B85" s="14" t="inlineStr">
        <is>
          <t>Spreading Screen - Mapped Cell</t>
        </is>
      </c>
      <c r="C85" s="14" t="inlineStr">
        <is>
          <t>Open the Navigation category on the model side, click Model to Doc, and review the mapped values for the selected cell in the Mapped Cell pop-up.</t>
        </is>
      </c>
      <c r="D85" s="14" t="inlineStr">
        <is>
          <t>The Mapped Value pop-up should show the mapping details for the current cell.</t>
        </is>
      </c>
      <c r="E85" s="366" t="inlineStr">
        <is>
          <t>Pending</t>
        </is>
      </c>
      <c r="F85" s="3" t="n"/>
      <c r="G85" s="366" t="inlineStr">
        <is>
          <t>Done</t>
        </is>
      </c>
      <c r="H85" s="3" t="n"/>
      <c r="I85" s="55" t="n"/>
    </row>
    <row r="86" ht="77.25" customHeight="1">
      <c r="A86" s="129" t="inlineStr">
        <is>
          <t>PDF_077</t>
        </is>
      </c>
      <c r="B86" s="14" t="inlineStr">
        <is>
          <t>Spreading Screen - Edit Model</t>
        </is>
      </c>
      <c r="C86" s="14" t="inlineStr">
        <is>
          <t>Open the Utilities dropdown and verify that Edit Model in the ribbon is hidden or disabled. Also verify that Insert Row Above, Insert Row Below, and Relabel options are hidden in the context menu.</t>
        </is>
      </c>
      <c r="D86" s="14" t="inlineStr">
        <is>
          <t>The user should not be able to edit the model from the Spreading screen.</t>
        </is>
      </c>
      <c r="E86" s="366" t="inlineStr">
        <is>
          <t>Pending</t>
        </is>
      </c>
      <c r="F86" s="3" t="n"/>
      <c r="G86" s="366" t="inlineStr">
        <is>
          <t>Done</t>
        </is>
      </c>
      <c r="H86" s="3" t="n"/>
      <c r="I86" s="55" t="n"/>
    </row>
    <row r="87" ht="45.75" customHeight="1">
      <c r="A87" s="129" t="inlineStr">
        <is>
          <t>PDF_078</t>
        </is>
      </c>
      <c r="B87" s="14" t="inlineStr">
        <is>
          <t>Spreading Screen - Comments</t>
        </is>
      </c>
      <c r="C87" s="14" t="inlineStr">
        <is>
          <t>Click Comments under the primary category in the model pane for cells with mapped values.</t>
        </is>
      </c>
      <c r="D87" s="14" t="inlineStr">
        <is>
          <t>Comments should be generated for cells with mapped values.</t>
        </is>
      </c>
      <c r="E87" s="366" t="inlineStr">
        <is>
          <t>Pending</t>
        </is>
      </c>
      <c r="F87" s="3" t="n"/>
      <c r="G87" s="366" t="inlineStr">
        <is>
          <t>Done</t>
        </is>
      </c>
      <c r="H87" s="3" t="n"/>
      <c r="I87" s="55" t="n"/>
    </row>
    <row r="88" ht="51" customHeight="1">
      <c r="A88" s="129" t="inlineStr">
        <is>
          <t>PDF_079</t>
        </is>
      </c>
      <c r="B88" s="14" t="inlineStr">
        <is>
          <t>Spreading Screen - Remove Comments</t>
        </is>
      </c>
      <c r="C88" s="14" t="inlineStr">
        <is>
          <t>After generating comments, click Remove Comments.</t>
        </is>
      </c>
      <c r="D88" s="14" t="inlineStr">
        <is>
          <t>The generated comments should be removed.</t>
        </is>
      </c>
      <c r="E88" s="366" t="inlineStr">
        <is>
          <t>Pending</t>
        </is>
      </c>
      <c r="F88" s="3" t="n"/>
      <c r="G88" s="366" t="inlineStr">
        <is>
          <t>Done</t>
        </is>
      </c>
      <c r="H88" s="3" t="n"/>
      <c r="I88" s="55" t="n"/>
    </row>
    <row r="89" ht="52.5" customHeight="1">
      <c r="A89" s="129" t="inlineStr">
        <is>
          <t>PDF_080</t>
        </is>
      </c>
      <c r="B89" s="14" t="inlineStr">
        <is>
          <t>Modify Item Details</t>
        </is>
      </c>
      <c r="C89" s="14" t="inlineStr">
        <is>
          <t>Verify that the Edit button is available to modify item details. Then change fields such as Statement Date, Audit Method, Currency, Unit, and Spread Type.</t>
        </is>
      </c>
      <c r="D89" s="14" t="inlineStr">
        <is>
          <t>The item details should be updated successfully.</t>
        </is>
      </c>
      <c r="E89" s="366" t="inlineStr">
        <is>
          <t>Pending</t>
        </is>
      </c>
      <c r="F89" s="3" t="n"/>
      <c r="G89" s="366" t="inlineStr">
        <is>
          <t>Done</t>
        </is>
      </c>
      <c r="H89" s="3" t="n"/>
      <c r="I89" s="55" t="n"/>
    </row>
    <row r="90" ht="39.75" customHeight="1">
      <c r="A90" s="129" t="inlineStr">
        <is>
          <t>PDF_081</t>
        </is>
      </c>
      <c r="B90" s="14" t="inlineStr">
        <is>
          <t>Spreading Screen - Zoom</t>
        </is>
      </c>
      <c r="C90" s="14" t="inlineStr">
        <is>
          <t>Use the zoom control in the ribbon to zoom in and out of the model.</t>
        </is>
      </c>
      <c r="D90" s="14" t="inlineStr">
        <is>
          <t>The model pane size should be adjusted according to the selected zoom level.</t>
        </is>
      </c>
      <c r="E90" s="366" t="inlineStr">
        <is>
          <t>Pending</t>
        </is>
      </c>
      <c r="F90" s="3" t="n"/>
      <c r="G90" s="366" t="inlineStr">
        <is>
          <t>Done</t>
        </is>
      </c>
      <c r="H90" s="3" t="n"/>
      <c r="I90" s="55" t="n"/>
    </row>
    <row r="91" ht="45.75" customHeight="1">
      <c r="A91" s="129" t="inlineStr">
        <is>
          <t>PDF_082</t>
        </is>
      </c>
      <c r="B91" s="14" t="inlineStr">
        <is>
          <t>Spreading Screen - Autofill - First Time Spread</t>
        </is>
      </c>
      <c r="C91" s="14" t="inlineStr">
        <is>
          <t>Verify the Autofill option for a first-time spread when no base period or template is available.</t>
        </is>
      </c>
      <c r="D91" s="14" t="inlineStr">
        <is>
          <t>The Autofill button in the ribbon should be disabled.</t>
        </is>
      </c>
      <c r="E91" s="366" t="inlineStr">
        <is>
          <t>Pending</t>
        </is>
      </c>
      <c r="F91" s="3" t="n"/>
      <c r="G91" s="366" t="inlineStr">
        <is>
          <t>Done</t>
        </is>
      </c>
      <c r="H91" s="3" t="n"/>
      <c r="I91" s="55" t="n"/>
    </row>
    <row r="92" ht="43.5" customHeight="1">
      <c r="A92" s="129" t="inlineStr">
        <is>
          <t>PDF_083</t>
        </is>
      </c>
      <c r="B92" s="14" t="inlineStr">
        <is>
          <t>Spreading Screen - Autofill</t>
        </is>
      </c>
      <c r="C92" s="14" t="inlineStr">
        <is>
          <t>Run Autofill in the current spread based on the mappings available in the base spread.</t>
        </is>
      </c>
      <c r="D92" s="14" t="inlineStr">
        <is>
          <t>Autofill should populate the values, and the Autofill button should then be disabled.</t>
        </is>
      </c>
      <c r="E92" s="366" t="inlineStr">
        <is>
          <t>Pending</t>
        </is>
      </c>
      <c r="F92" s="3" t="n"/>
      <c r="G92" s="366" t="inlineStr">
        <is>
          <t>Done</t>
        </is>
      </c>
      <c r="H92" s="3" t="n"/>
      <c r="I92" s="55" t="n"/>
    </row>
    <row r="93" ht="24" customHeight="1">
      <c r="A93" s="129" t="inlineStr">
        <is>
          <t>PDF_084</t>
        </is>
      </c>
      <c r="B93" s="14" t="inlineStr">
        <is>
          <t>Spreading Screen - Autofill</t>
        </is>
      </c>
      <c r="C93" s="14" t="inlineStr">
        <is>
          <t>Detect or draw a new zone in the document and review the Autofill button state.</t>
        </is>
      </c>
      <c r="D93" s="14" t="inlineStr">
        <is>
          <t>Autofill should be enabled for newly added zones.</t>
        </is>
      </c>
      <c r="E93" s="366" t="inlineStr">
        <is>
          <t>Pending</t>
        </is>
      </c>
      <c r="F93" s="3" t="n"/>
      <c r="G93" s="366" t="inlineStr">
        <is>
          <t>Done</t>
        </is>
      </c>
      <c r="H93" s="3" t="n"/>
      <c r="I93" s="55" t="n"/>
    </row>
    <row r="94" ht="74.25" customHeight="1">
      <c r="A94" s="129" t="inlineStr">
        <is>
          <t>PDF_085</t>
        </is>
      </c>
      <c r="B94" s="14" t="inlineStr">
        <is>
          <t>Spreading Screen - Save as Draft</t>
        </is>
      </c>
      <c r="C94" s="14" t="inlineStr">
        <is>
          <t>Click Save as Draft on the Spreading screen after entering values.</t>
        </is>
      </c>
      <c r="D94" s="14" t="inlineStr">
        <is>
          <t>The spread should be saved as a draft.</t>
        </is>
      </c>
      <c r="E94" s="366" t="inlineStr">
        <is>
          <t>Pending</t>
        </is>
      </c>
      <c r="F94" s="3" t="n"/>
      <c r="G94" s="366" t="inlineStr">
        <is>
          <t>Done</t>
        </is>
      </c>
      <c r="H94" s="3" t="n"/>
      <c r="I94" s="55" t="n"/>
    </row>
    <row r="95" ht="65.25" customHeight="1">
      <c r="A95" s="129" t="inlineStr">
        <is>
          <t>PDF_086</t>
        </is>
      </c>
      <c r="B95" s="14" t="inlineStr">
        <is>
          <t>Spreading Screen - Submit Spread</t>
        </is>
      </c>
      <c r="C95" s="14" t="inlineStr">
        <is>
          <t>Click Submit Spread in the ribbon, enter comments, and submit the spread.</t>
        </is>
      </c>
      <c r="D95" s="14" t="inlineStr">
        <is>
          <t>The spread should be submitted with the provided comments.</t>
        </is>
      </c>
      <c r="E95" s="366" t="inlineStr">
        <is>
          <t>Pending</t>
        </is>
      </c>
      <c r="F95" s="3" t="n"/>
      <c r="G95" s="366" t="inlineStr">
        <is>
          <t>Done</t>
        </is>
      </c>
      <c r="H95" s="3" t="n"/>
      <c r="I95" s="55" t="n"/>
    </row>
    <row r="96" ht="72.75" customHeight="1">
      <c r="A96" s="129" t="inlineStr">
        <is>
          <t>PDF_087</t>
        </is>
      </c>
      <c r="B96" s="14" t="inlineStr">
        <is>
          <t>Spreading Screen - Validation</t>
        </is>
      </c>
      <c r="C96" s="14" t="inlineStr">
        <is>
          <t>Click Validate on the Spreading screen. If validation failures exist, review the details shown in the validation pop-up.</t>
        </is>
      </c>
      <c r="D96" s="14" t="inlineStr">
        <is>
          <t>The Validation pop-up should be displayed with the required validation details.</t>
        </is>
      </c>
      <c r="E96" s="366" t="inlineStr">
        <is>
          <t>Pending</t>
        </is>
      </c>
      <c r="F96" s="3" t="n"/>
      <c r="G96" s="366" t="inlineStr">
        <is>
          <t>Done</t>
        </is>
      </c>
      <c r="H96" s="3" t="n"/>
      <c r="I96" s="55" t="n"/>
    </row>
    <row r="97" ht="42.75" customHeight="1">
      <c r="A97" s="129" t="inlineStr">
        <is>
          <t>PDF_088</t>
        </is>
      </c>
      <c r="B97" s="14" t="inlineStr">
        <is>
          <t>Spreading Screen - Validation</t>
        </is>
      </c>
      <c r="C97" s="14" t="inlineStr">
        <is>
          <t>Review the color indicator on the Validation button.</t>
        </is>
      </c>
      <c r="D97" s="14" t="inlineStr">
        <is>
          <t>The Validation status should be shown in green when validation passes and in red when validation fails.</t>
        </is>
      </c>
      <c r="E97" s="366" t="inlineStr">
        <is>
          <t>Pending</t>
        </is>
      </c>
      <c r="F97" s="3" t="n"/>
      <c r="G97" s="366" t="inlineStr">
        <is>
          <t>Out of Scope</t>
        </is>
      </c>
      <c r="H97" s="3" t="n"/>
      <c r="I97" s="55" t="n"/>
    </row>
    <row r="98" ht="58.5" customHeight="1">
      <c r="A98" s="129" t="inlineStr">
        <is>
          <t>PDF_089</t>
        </is>
      </c>
      <c r="B98" s="14" t="inlineStr">
        <is>
          <t>Spreading Screen - Validation</t>
        </is>
      </c>
      <c r="C98" s="14" t="inlineStr">
        <is>
          <t>Verify the submit behavior for both validation states:
1. When the validation icon is green.
2. When the validation icon is red.</t>
        </is>
      </c>
      <c r="D98" s="14" t="inlineStr">
        <is>
          <t>1. When the validation icon is green, the spread should be submitted without validation-related errors.
2. When the validation icon is red, the validation issues must be cleared before the spread can be submitted.</t>
        </is>
      </c>
      <c r="E98" s="366" t="inlineStr">
        <is>
          <t>Pending</t>
        </is>
      </c>
      <c r="F98" s="3" t="n"/>
      <c r="G98" s="366" t="inlineStr">
        <is>
          <t>Out of Scope</t>
        </is>
      </c>
      <c r="H98" s="3" t="n"/>
      <c r="I98" s="55" t="n"/>
    </row>
    <row r="99" ht="43.5" customHeight="1">
      <c r="A99" s="129" t="inlineStr">
        <is>
          <t>PDF_090</t>
        </is>
      </c>
      <c r="B99" s="14" t="inlineStr">
        <is>
          <t>Spreading Screen - Validation</t>
        </is>
      </c>
      <c r="C99" s="14" t="inlineStr">
        <is>
          <t>Verify validation behavior based on the configured validation switch settings.</t>
        </is>
      </c>
      <c r="D99" s="14" t="inlineStr">
        <is>
          <t>If the validation status is green, no configuration change should be required. If the validation status is red, the configuration should be updated as applicable.</t>
        </is>
      </c>
      <c r="E99" s="366" t="inlineStr">
        <is>
          <t>Pending</t>
        </is>
      </c>
      <c r="F99" s="3" t="n"/>
      <c r="G99" s="366" t="inlineStr">
        <is>
          <t>Out of Scope</t>
        </is>
      </c>
      <c r="H99" s="3" t="n"/>
      <c r="I99" s="55" t="inlineStr">
        <is>
          <t>[Needs QA Review: original wording ambiguous]</t>
        </is>
      </c>
    </row>
    <row r="100" ht="98.25" customHeight="1">
      <c r="A100" s="129" t="inlineStr">
        <is>
          <t>PDF_091</t>
        </is>
      </c>
      <c r="B100" s="14" t="inlineStr">
        <is>
          <t>Spreading Screen - Autofill</t>
        </is>
      </c>
      <c r="C100" s="14" t="inlineStr">
        <is>
          <t>Verify that Autofill works only for zones tagged in the document. Clear a zone and tag it again so that the zone is treated as new, then run Autofill and review the expression update.</t>
        </is>
      </c>
      <c r="D100" s="14" t="inlineStr">
        <is>
          <t>Autofill should work for zones that are cleared and tagged again, and NA values in the base expression should be replaced with values mapped from the new zone where applicable.</t>
        </is>
      </c>
      <c r="E100" s="366" t="inlineStr">
        <is>
          <t>Pending</t>
        </is>
      </c>
      <c r="F100" s="5" t="n"/>
      <c r="G100" s="366" t="inlineStr">
        <is>
          <t>Done</t>
        </is>
      </c>
      <c r="H100" s="5" t="n"/>
      <c r="I100" s="55" t="n"/>
    </row>
    <row r="101" ht="114.75" customHeight="1">
      <c r="A101" s="129" t="inlineStr">
        <is>
          <t>PDF_092</t>
        </is>
      </c>
      <c r="B101" s="14" t="inlineStr">
        <is>
          <t>Spreading Screen - Autofill</t>
        </is>
      </c>
      <c r="C101" s="14" t="inlineStr">
        <is>
          <t>1. Set a value column in the tagged zone.
2. Click Autofill.
3. Review the model cells autofilled from the tagged zone.</t>
        </is>
      </c>
      <c r="D101" s="14" t="inlineStr">
        <is>
          <t>Expressions should be loaded only for cells that are autofilled after the Autofill action is triggered.</t>
        </is>
      </c>
      <c r="E101" s="366" t="inlineStr">
        <is>
          <t>Pending</t>
        </is>
      </c>
      <c r="F101" s="3" t="n"/>
      <c r="G101" s="366" t="inlineStr">
        <is>
          <t>Done</t>
        </is>
      </c>
      <c r="H101" s="3" t="n"/>
      <c r="I101" s="55" t="n"/>
    </row>
    <row r="102" ht="63" customHeight="1">
      <c r="A102" s="129" t="inlineStr">
        <is>
          <t>PDF_093</t>
        </is>
      </c>
      <c r="B102" s="14" t="inlineStr">
        <is>
          <t>Spreading Screen - Autofill</t>
        </is>
      </c>
      <c r="C102" s="14" t="inlineStr">
        <is>
          <t>Verify Autofill when an expression contains multiply or divide operators and one mapped value is missing.</t>
        </is>
      </c>
      <c r="D102" s="14" t="inlineStr">
        <is>
          <t>The missing value in the expression should be replaced with NA. The expression should not be computed with NA, so the cell may display #NAME as applicable.</t>
        </is>
      </c>
      <c r="E102" s="366" t="inlineStr">
        <is>
          <t>Pending</t>
        </is>
      </c>
      <c r="F102" s="3" t="n"/>
      <c r="G102" s="366" t="inlineStr">
        <is>
          <t>Done</t>
        </is>
      </c>
      <c r="H102" s="3" t="n"/>
      <c r="I102" s="55" t="n"/>
    </row>
    <row r="103" ht="51.75" customHeight="1">
      <c r="A103" s="129" t="inlineStr">
        <is>
          <t>PDF_094</t>
        </is>
      </c>
      <c r="B103" s="14" t="inlineStr">
        <is>
          <t>Spreading Screen - Autofill</t>
        </is>
      </c>
      <c r="C103" s="14" t="inlineStr">
        <is>
          <t>Verify Autofill when an expression contains only plus and minus operators and one mapped value is missing.</t>
        </is>
      </c>
      <c r="D103" s="14" t="inlineStr">
        <is>
          <t>The expression should be adjusted automatically when only plus and minus operators are present.</t>
        </is>
      </c>
      <c r="E103" s="366" t="inlineStr">
        <is>
          <t>Pending</t>
        </is>
      </c>
      <c r="F103" s="3" t="n"/>
      <c r="G103" s="366" t="inlineStr">
        <is>
          <t>Done</t>
        </is>
      </c>
      <c r="H103" s="3" t="n"/>
      <c r="I103" s="55" t="n"/>
    </row>
    <row r="104" ht="96" customHeight="1">
      <c r="A104" s="129" t="inlineStr">
        <is>
          <t>PDF_095</t>
        </is>
      </c>
      <c r="B104" s="14" t="inlineStr">
        <is>
          <t>Spreading Screen - Autofill</t>
        </is>
      </c>
      <c r="C104" s="14" t="inlineStr">
        <is>
          <t>Verify that adding a data column, removing a data column, switching a data column, clearing a zone, or deleting a zone causes the zone to be treated as new. Then run Autofill again.</t>
        </is>
      </c>
      <c r="D104" s="14" t="inlineStr">
        <is>
          <t>The zone should be processed again as a new zone, and Autofill should rerun for that zone.</t>
        </is>
      </c>
      <c r="E104" s="366" t="inlineStr">
        <is>
          <t>Pending</t>
        </is>
      </c>
      <c r="F104" s="3" t="n"/>
      <c r="G104" s="366" t="inlineStr">
        <is>
          <t>Done</t>
        </is>
      </c>
      <c r="H104" s="3" t="n"/>
      <c r="I104" s="55" t="n"/>
    </row>
    <row r="105" ht="33.75" customHeight="1">
      <c r="A105" s="129" t="inlineStr">
        <is>
          <t>PDF_096</t>
        </is>
      </c>
      <c r="B105" s="14" t="inlineStr">
        <is>
          <t>Spreading Screen - Autofill</t>
        </is>
      </c>
      <c r="C105" s="14" t="inlineStr">
        <is>
          <t>Detect a new zone, add a missing zone, or clear an already tagged zone, and then review the Autofill button state.</t>
        </is>
      </c>
      <c r="D105" s="14" t="inlineStr">
        <is>
          <t>The Autofill button in the ribbon should be enabled.</t>
        </is>
      </c>
      <c r="E105" s="366" t="inlineStr">
        <is>
          <t>Pending</t>
        </is>
      </c>
      <c r="F105" s="3" t="n"/>
      <c r="G105" s="366" t="inlineStr">
        <is>
          <t>Done</t>
        </is>
      </c>
      <c r="H105" s="3" t="n"/>
      <c r="I105" s="55" t="n"/>
    </row>
    <row r="106" ht="32.25" customHeight="1">
      <c r="A106" s="129" t="inlineStr">
        <is>
          <t>PDF_097</t>
        </is>
      </c>
      <c r="B106" s="14" t="inlineStr">
        <is>
          <t>Spreading Screen - Autofill</t>
        </is>
      </c>
      <c r="C106" s="14" t="inlineStr">
        <is>
          <t>Click Clear Zone and review the affected expression based on the base spread.</t>
        </is>
      </c>
      <c r="D106" s="14" t="inlineStr">
        <is>
          <t>NA should replace the mapped value that came from the cleared zone.</t>
        </is>
      </c>
      <c r="E106" s="366" t="inlineStr">
        <is>
          <t>Pending</t>
        </is>
      </c>
      <c r="F106" s="3" t="n"/>
      <c r="G106" s="366" t="inlineStr">
        <is>
          <t>Done</t>
        </is>
      </c>
      <c r="H106" s="3" t="n"/>
      <c r="I106" s="55" t="n"/>
    </row>
    <row r="107" ht="36" customHeight="1">
      <c r="A107" s="129" t="inlineStr">
        <is>
          <t>PDF_098</t>
        </is>
      </c>
      <c r="B107" s="14" t="inlineStr">
        <is>
          <t>Spreading Screen - Autofill</t>
        </is>
      </c>
      <c r="C107" s="14" t="inlineStr">
        <is>
          <t>Map a new value into a cell that is not part of the base-spread expression, then run Autofill again.</t>
        </is>
      </c>
      <c r="D107" s="14" t="inlineStr">
        <is>
          <t>The newly mapped value that is not part of the base expression should be retained after Autofill.</t>
        </is>
      </c>
      <c r="E107" s="366" t="inlineStr">
        <is>
          <t>Pending</t>
        </is>
      </c>
      <c r="F107" s="3" t="n"/>
      <c r="G107" s="366" t="inlineStr">
        <is>
          <t>Done</t>
        </is>
      </c>
      <c r="H107" s="3" t="n"/>
      <c r="I107" s="55" t="n"/>
    </row>
    <row r="108" ht="24" customHeight="1">
      <c r="A108" s="129" t="inlineStr">
        <is>
          <t>PDF_099</t>
        </is>
      </c>
      <c r="B108" s="14" t="inlineStr">
        <is>
          <t>Spreading Screen - Edit Spread</t>
        </is>
      </c>
      <c r="C108" s="14" t="inlineStr">
        <is>
          <t>Select the Base Spread column and click Edit Spread.</t>
        </is>
      </c>
      <c r="D108" s="14" t="inlineStr">
        <is>
          <t>The selected Base Spread should be enabled for editing, and the current spread should be saved.</t>
        </is>
      </c>
      <c r="E108" s="366" t="inlineStr">
        <is>
          <t>Pending</t>
        </is>
      </c>
      <c r="F108" s="3" t="n"/>
      <c r="G108" s="366" t="inlineStr">
        <is>
          <t>Done</t>
        </is>
      </c>
      <c r="H108" s="3" t="n"/>
      <c r="I108" s="55" t="n"/>
    </row>
    <row r="109">
      <c r="A109" s="129" t="inlineStr">
        <is>
          <t>PDF_100</t>
        </is>
      </c>
      <c r="B109" s="14" t="inlineStr">
        <is>
          <t>Spreading Screen - Edit Spread</t>
        </is>
      </c>
      <c r="C109" s="14" t="inlineStr">
        <is>
          <t>Make manual changes in the Base Spread.</t>
        </is>
      </c>
      <c r="D109" s="14" t="inlineStr">
        <is>
          <t>Only manual changes should be allowed in the Base Spread.</t>
        </is>
      </c>
      <c r="E109" s="366" t="inlineStr">
        <is>
          <t>Pending</t>
        </is>
      </c>
      <c r="F109" s="3" t="n"/>
      <c r="G109" s="366" t="inlineStr">
        <is>
          <t>Done</t>
        </is>
      </c>
      <c r="H109" s="3" t="n"/>
      <c r="I109" s="55" t="n"/>
    </row>
    <row r="110" ht="30.75" customHeight="1">
      <c r="A110" s="129" t="inlineStr">
        <is>
          <t>PDF_101</t>
        </is>
      </c>
      <c r="B110" s="14" t="inlineStr">
        <is>
          <t>Spreading Screen - Autofill</t>
        </is>
      </c>
      <c r="C110" s="14" t="inlineStr">
        <is>
          <t>Verify that Spreadsmart retains expressions in which ribbon tools were applied.</t>
        </is>
      </c>
      <c r="D110" s="14" t="inlineStr">
        <is>
          <t>Cells with ribbon-based functions should be remembered by the system during Autofill.</t>
        </is>
      </c>
      <c r="E110" s="366" t="inlineStr">
        <is>
          <t>Pending</t>
        </is>
      </c>
      <c r="F110" s="3" t="n"/>
      <c r="G110" s="366" t="inlineStr">
        <is>
          <t>Done</t>
        </is>
      </c>
      <c r="H110" s="3" t="n"/>
      <c r="I110" s="55" t="n"/>
    </row>
    <row r="111" ht="24" customHeight="1">
      <c r="A111" s="129" t="inlineStr">
        <is>
          <t>PDF_102</t>
        </is>
      </c>
      <c r="B111" s="14" t="inlineStr">
        <is>
          <t>Spreading Screen - Autofill</t>
        </is>
      </c>
      <c r="C111" s="14" t="inlineStr">
        <is>
          <t>Verify that Unit Scale operations are not retained during Autofill.</t>
        </is>
      </c>
      <c r="D111" s="14" t="inlineStr">
        <is>
          <t>Unit Scale should not be reapplied to cells during Autofill.</t>
        </is>
      </c>
      <c r="E111" s="366" t="inlineStr">
        <is>
          <t>Pending</t>
        </is>
      </c>
      <c r="F111" s="3" t="n"/>
      <c r="G111" s="366" t="inlineStr">
        <is>
          <t>Done</t>
        </is>
      </c>
      <c r="H111" s="3" t="n"/>
      <c r="I111" s="55" t="n"/>
    </row>
    <row r="112" ht="36" customHeight="1">
      <c r="A112" s="129" t="inlineStr">
        <is>
          <t>PDF_103</t>
        </is>
      </c>
      <c r="B112" s="14" t="inlineStr">
        <is>
          <t>Spreading Screen - Missing Zones Error Log</t>
        </is>
      </c>
      <c r="C112" s="14" t="inlineStr">
        <is>
          <t>Run Autofill so that the system compares zones in the current and previous documents. Then open the Error Log.</t>
        </is>
      </c>
      <c r="D112" s="14" t="inlineStr">
        <is>
          <t>Missing zone names should be displayed in the Error Log panel, with navigation support to the previous document.</t>
        </is>
      </c>
      <c r="E112" s="366" t="inlineStr">
        <is>
          <t>Pending</t>
        </is>
      </c>
      <c r="F112" s="3" t="n"/>
      <c r="G112" s="366" t="inlineStr">
        <is>
          <t>Done</t>
        </is>
      </c>
      <c r="H112" s="3" t="n"/>
      <c r="I112" s="55" t="n"/>
    </row>
    <row r="113" ht="24" customHeight="1">
      <c r="A113" s="129" t="inlineStr">
        <is>
          <t>PDF_104</t>
        </is>
      </c>
      <c r="B113" s="14" t="inlineStr">
        <is>
          <t>Spreading Screen - Visual Cue Editing</t>
        </is>
      </c>
      <c r="C113" s="14" t="inlineStr">
        <is>
          <t>Modify a line item using the visual cue and then run Autofill.</t>
        </is>
      </c>
      <c r="D113" s="14" t="inlineStr">
        <is>
          <t>Changes made through the visual cue should be retained during Autofill.</t>
        </is>
      </c>
      <c r="E113" s="366" t="inlineStr">
        <is>
          <t>Pending</t>
        </is>
      </c>
      <c r="F113" s="3" t="n"/>
      <c r="G113" s="366" t="inlineStr">
        <is>
          <t>Done</t>
        </is>
      </c>
      <c r="H113" s="3" t="n"/>
      <c r="I113" s="55" t="n"/>
    </row>
    <row r="114" ht="36" customHeight="1">
      <c r="A114" s="129" t="inlineStr">
        <is>
          <t>PDF_105</t>
        </is>
      </c>
      <c r="B114" s="14" t="inlineStr">
        <is>
          <t>Spreading Screen - Count of Value Columns</t>
        </is>
      </c>
      <c r="C114" s="14" t="inlineStr">
        <is>
          <t>In the base spread, set only one value column (VC1). In the subsequent spread, set two value columns (VC1 and VC2) and run Autofill.</t>
        </is>
      </c>
      <c r="D114" s="14" t="inlineStr">
        <is>
          <t>Autofill should populate values only for VC1.</t>
        </is>
      </c>
      <c r="E114" s="366" t="inlineStr">
        <is>
          <t>Pending</t>
        </is>
      </c>
      <c r="F114" s="3" t="n"/>
      <c r="G114" s="366" t="inlineStr">
        <is>
          <t>Done</t>
        </is>
      </c>
      <c r="H114" s="3" t="n"/>
      <c r="I114" s="55" t="n"/>
    </row>
    <row r="115" ht="60" customHeight="1">
      <c r="A115" s="129" t="inlineStr">
        <is>
          <t>PDF_106</t>
        </is>
      </c>
      <c r="B115" s="14" t="inlineStr">
        <is>
          <t>Spreading Screen - Count of Value Columns</t>
        </is>
      </c>
      <c r="C115" s="14" t="inlineStr">
        <is>
          <t>In the base spread, set two value columns (VC1 and VC2). In the subsequent spread, set only one value column (VC1) and run Autofill.</t>
        </is>
      </c>
      <c r="D115" s="14" t="inlineStr">
        <is>
          <t>Autofill should populate values only for VC1. VC2 values should be replaced with NA where applicable, based on the operator rules in the expression.</t>
        </is>
      </c>
      <c r="E115" s="366" t="inlineStr">
        <is>
          <t>Pending</t>
        </is>
      </c>
      <c r="F115" s="3" t="n"/>
      <c r="G115" s="366" t="inlineStr">
        <is>
          <t>Done</t>
        </is>
      </c>
      <c r="H115" s="3" t="n"/>
      <c r="I115" s="55" t="n"/>
    </row>
    <row r="116" ht="24" customHeight="1">
      <c r="A116" s="129" t="inlineStr">
        <is>
          <t>PDF_107</t>
        </is>
      </c>
      <c r="B116" s="14" t="inlineStr">
        <is>
          <t>Spreading Screen - Switch Between Current and Base Tabs</t>
        </is>
      </c>
      <c r="C116" s="14" t="inlineStr">
        <is>
          <t>Switch between the Current and Base tabs on the Spreading screen.</t>
        </is>
      </c>
      <c r="D116" s="14" t="inlineStr">
        <is>
          <t>The user should be able to switch between the tabs successfully.</t>
        </is>
      </c>
      <c r="E116" s="366" t="inlineStr">
        <is>
          <t>Pending</t>
        </is>
      </c>
      <c r="F116" s="3" t="n"/>
      <c r="G116" s="366" t="inlineStr">
        <is>
          <t>Done</t>
        </is>
      </c>
      <c r="H116" s="3" t="n"/>
      <c r="I116" s="55" t="n"/>
    </row>
    <row r="117" ht="30.75" customHeight="1">
      <c r="A117" s="129" t="inlineStr">
        <is>
          <t>PDF_108</t>
        </is>
      </c>
      <c r="B117" s="14" t="inlineStr">
        <is>
          <t>Spreading Screen - Search</t>
        </is>
      </c>
      <c r="C117" s="14" t="inlineStr">
        <is>
          <t>Search within the document.</t>
        </is>
      </c>
      <c r="D117" s="14" t="inlineStr">
        <is>
          <t>Relevant search results should be displayed.</t>
        </is>
      </c>
      <c r="E117" s="366" t="inlineStr">
        <is>
          <t>Pending</t>
        </is>
      </c>
      <c r="F117" s="3" t="n"/>
      <c r="G117" s="366" t="inlineStr">
        <is>
          <t>Done</t>
        </is>
      </c>
      <c r="H117" s="3" t="n"/>
      <c r="I117" s="55" t="n"/>
    </row>
    <row r="118" ht="38.25" customHeight="1">
      <c r="A118" s="129" t="inlineStr">
        <is>
          <t>PDF_109</t>
        </is>
      </c>
      <c r="B118" s="14" t="inlineStr">
        <is>
          <t>Spreading Screen - Search</t>
        </is>
      </c>
      <c r="C118" s="14" t="inlineStr">
        <is>
          <t>Navigate between document pages using the Previous button, the Next button, and the page number field.</t>
        </is>
      </c>
      <c r="D118" s="14" t="inlineStr">
        <is>
          <t>The user should be navigated to the selected page.</t>
        </is>
      </c>
      <c r="E118" s="366" t="inlineStr">
        <is>
          <t>Pending</t>
        </is>
      </c>
      <c r="F118" s="3" t="n"/>
      <c r="G118" s="366" t="inlineStr">
        <is>
          <t>Done</t>
        </is>
      </c>
      <c r="H118" s="3" t="n"/>
      <c r="I118" s="55" t="n"/>
    </row>
    <row r="119">
      <c r="A119" s="129" t="inlineStr">
        <is>
          <t>PDF_110</t>
        </is>
      </c>
      <c r="B119" s="14" t="inlineStr">
        <is>
          <t>Spreading Screen - Thumbnail View</t>
        </is>
      </c>
      <c r="C119" s="14" t="inlineStr">
        <is>
          <t>Open the thumbnail view for the document.</t>
        </is>
      </c>
      <c r="D119" s="14" t="inlineStr">
        <is>
          <t>The document pages should be visible in thumbnail view.</t>
        </is>
      </c>
      <c r="E119" s="366" t="inlineStr">
        <is>
          <t>Pending</t>
        </is>
      </c>
      <c r="F119" s="3" t="n"/>
      <c r="G119" s="366" t="inlineStr">
        <is>
          <t>Done</t>
        </is>
      </c>
      <c r="H119" s="3" t="n"/>
      <c r="I119" s="55" t="n"/>
    </row>
    <row r="120">
      <c r="A120" s="129" t="inlineStr">
        <is>
          <t>PDF_111</t>
        </is>
      </c>
      <c r="B120" s="14" t="inlineStr">
        <is>
          <t>Spreading Screen - Thumbnail View</t>
        </is>
      </c>
      <c r="C120" s="14" t="inlineStr">
        <is>
          <t>Navigate to a page using the thumbnail section.</t>
        </is>
      </c>
      <c r="D120" s="14" t="inlineStr">
        <is>
          <t>The user should be navigated to the selected page.</t>
        </is>
      </c>
      <c r="E120" s="366" t="inlineStr">
        <is>
          <t>Pending</t>
        </is>
      </c>
      <c r="F120" s="3" t="n"/>
      <c r="G120" s="366" t="inlineStr">
        <is>
          <t>Done</t>
        </is>
      </c>
      <c r="H120" s="3" t="n"/>
      <c r="I120" s="55" t="n"/>
    </row>
    <row r="121" ht="33" customHeight="1">
      <c r="A121" s="129" t="inlineStr">
        <is>
          <t>PDF_112</t>
        </is>
      </c>
      <c r="B121" s="14" t="inlineStr">
        <is>
          <t>Spreading Screen - Zoom In/Out the PDF Pane</t>
        </is>
      </c>
      <c r="C121" s="14" t="inlineStr">
        <is>
          <t>Adjust the document size using the + and - buttons and the automatic zoom dropdown.</t>
        </is>
      </c>
      <c r="D121" s="14" t="inlineStr">
        <is>
          <t>The document size should be adjusted according to the selected option.</t>
        </is>
      </c>
      <c r="E121" s="366" t="inlineStr">
        <is>
          <t>Pending</t>
        </is>
      </c>
      <c r="F121" s="3" t="n"/>
      <c r="G121" s="366" t="inlineStr">
        <is>
          <t>Done</t>
        </is>
      </c>
      <c r="H121" s="3" t="n"/>
      <c r="I121" s="55" t="n"/>
    </row>
    <row r="122" ht="75.75" customHeight="1">
      <c r="A122" s="129" t="inlineStr">
        <is>
          <t>PDF_113</t>
        </is>
      </c>
      <c r="B122" s="14" t="inlineStr">
        <is>
          <t>Spreading Screen - Show/Hide Smart Fill</t>
        </is>
      </c>
      <c r="C122" s="14" t="inlineStr">
        <is>
          <t>Open the Secondary category, click Show/Hide Smart Fill, and review the icons shown against line items autofilled using Global or Customer Taxonomy.</t>
        </is>
      </c>
      <c r="D122" s="14" t="inlineStr">
        <is>
          <t>The relevant Smart Fill icons should be displayed.</t>
        </is>
      </c>
      <c r="E122" s="366" t="inlineStr">
        <is>
          <t>Pending</t>
        </is>
      </c>
      <c r="F122" s="3" t="n"/>
      <c r="G122" s="366" t="inlineStr">
        <is>
          <t>Done</t>
        </is>
      </c>
      <c r="H122" s="3" t="n"/>
      <c r="I122" s="55" t="n"/>
    </row>
    <row r="123" ht="34.5" customHeight="1">
      <c r="A123" s="129" t="inlineStr">
        <is>
          <t>PDF_114</t>
        </is>
      </c>
      <c r="B123" s="14" t="inlineStr">
        <is>
          <t>Insert New Row</t>
        </is>
      </c>
      <c r="C123" s="14" t="inlineStr">
        <is>
          <t>Right-click a model cell, insert a new row above or below, enter the account name, and save.</t>
        </is>
      </c>
      <c r="D123" s="14" t="inlineStr">
        <is>
          <t>A new row should be added and displayed in the model.</t>
        </is>
      </c>
      <c r="E123" s="366" t="inlineStr">
        <is>
          <t>Pending</t>
        </is>
      </c>
      <c r="F123" s="3" t="n"/>
      <c r="G123" s="366" t="inlineStr">
        <is>
          <t>Done</t>
        </is>
      </c>
      <c r="H123" s="3" t="n"/>
      <c r="I123" s="55" t="n"/>
    </row>
    <row r="124" ht="53.25" customHeight="1">
      <c r="A124" s="129" t="inlineStr">
        <is>
          <t>PDF_115</t>
        </is>
      </c>
      <c r="B124" s="14" t="inlineStr">
        <is>
          <t>Insert New Row</t>
        </is>
      </c>
      <c r="C124" s="14" t="inlineStr">
        <is>
          <t>Add a new row, map values from the PDF into the new row, repeat the action several times, and verify Save as Draft after each addition.</t>
        </is>
      </c>
      <c r="D124" s="14" t="inlineStr">
        <is>
          <t>The user should be able to add multiple rows and map values. Save as Draft should continue to work after each inserted row.</t>
        </is>
      </c>
      <c r="E124" s="366" t="inlineStr">
        <is>
          <t>Pending</t>
        </is>
      </c>
      <c r="F124" s="3" t="n"/>
      <c r="G124" s="366" t="inlineStr">
        <is>
          <t>Done</t>
        </is>
      </c>
      <c r="H124" s="3" t="n"/>
      <c r="I124" s="55" t="n"/>
    </row>
    <row r="125" ht="24" customHeight="1">
      <c r="A125" s="129" t="inlineStr">
        <is>
          <t>PDF_116</t>
        </is>
      </c>
      <c r="B125" s="14" t="inlineStr">
        <is>
          <t>Relabel Row</t>
        </is>
      </c>
      <c r="C125" s="14" t="inlineStr">
        <is>
          <t>Right-click a model cell, choose Relabel Row, update the account name, and save.</t>
        </is>
      </c>
      <c r="D125" s="14" t="inlineStr">
        <is>
          <t>The updated account name should be reflected in the existing row after saving.</t>
        </is>
      </c>
      <c r="E125" s="366" t="inlineStr">
        <is>
          <t>Pending</t>
        </is>
      </c>
      <c r="F125" s="3" t="n"/>
      <c r="G125" s="366" t="inlineStr">
        <is>
          <t>Done</t>
        </is>
      </c>
      <c r="H125" s="3" t="n"/>
      <c r="I125" s="55" t="n"/>
    </row>
    <row r="126" ht="24" customHeight="1">
      <c r="A126" s="129" t="inlineStr">
        <is>
          <t>PDF_117</t>
        </is>
      </c>
      <c r="B126" s="14" t="inlineStr">
        <is>
          <t>Group/Ungroup Rows</t>
        </is>
      </c>
      <c r="C126" s="14" t="inlineStr">
        <is>
          <t>Select rows, right-click to group them, and then right-click again to ungroup them.</t>
        </is>
      </c>
      <c r="D126" s="14" t="inlineStr">
        <is>
          <t>Group and Ungroup should work correctly.</t>
        </is>
      </c>
      <c r="E126" s="366" t="inlineStr">
        <is>
          <t>Pending</t>
        </is>
      </c>
      <c r="F126" s="3" t="n"/>
      <c r="G126" s="366" t="inlineStr">
        <is>
          <t>Done</t>
        </is>
      </c>
      <c r="H126" s="3" t="n"/>
      <c r="I126" s="55" t="n"/>
    </row>
    <row r="127" ht="24" customHeight="1">
      <c r="A127" s="129" t="inlineStr">
        <is>
          <t>PDF_118</t>
        </is>
      </c>
      <c r="B127" s="14" t="inlineStr">
        <is>
          <t>Hide/Unhide Rows</t>
        </is>
      </c>
      <c r="C127" s="14" t="inlineStr">
        <is>
          <t>Hide rows using the right-click menu, and then unhide them.</t>
        </is>
      </c>
      <c r="D127" s="14" t="inlineStr">
        <is>
          <t>Hide and Unhide should work correctly.</t>
        </is>
      </c>
      <c r="E127" s="366" t="inlineStr">
        <is>
          <t>Pending</t>
        </is>
      </c>
      <c r="F127" s="3" t="n"/>
      <c r="G127" s="366" t="inlineStr">
        <is>
          <t>Done</t>
        </is>
      </c>
      <c r="H127" s="3" t="n"/>
      <c r="I127" s="55" t="n"/>
    </row>
    <row r="128" ht="36" customHeight="1">
      <c r="A128" s="129" t="inlineStr">
        <is>
          <t>PDF_119</t>
        </is>
      </c>
      <c r="B128" s="14" t="inlineStr">
        <is>
          <t>Freeze/Unfreeze Rows</t>
        </is>
      </c>
      <c r="C128" s="14" t="inlineStr">
        <is>
          <t>Right-click a model cell and freeze rows. Scroll through the model, then unfreeze the rows and scroll again.</t>
        </is>
      </c>
      <c r="D128" s="14" t="inlineStr">
        <is>
          <t>Rows above the frozen row should remain fixed while scrolling. After unfreezing, all rows should scroll normally.</t>
        </is>
      </c>
      <c r="E128" s="366" t="inlineStr">
        <is>
          <t>Pending</t>
        </is>
      </c>
      <c r="F128" s="3" t="n"/>
      <c r="G128" s="366" t="inlineStr">
        <is>
          <t>Done</t>
        </is>
      </c>
      <c r="H128" s="3" t="n"/>
      <c r="I128" s="55" t="n"/>
    </row>
    <row r="129" ht="109.5" customHeight="1">
      <c r="A129" s="129" t="inlineStr">
        <is>
          <t>PDF_120</t>
        </is>
      </c>
      <c r="B129" s="14" t="inlineStr">
        <is>
          <t>Double Click/Single Click</t>
        </is>
      </c>
      <c r="C129" s="14" t="inlineStr">
        <is>
          <t>Open the Utilities dropdown, enable and disable the Single Click setting, and verify the value-selection behavior when mapping.</t>
        </is>
      </c>
      <c r="D129" s="14" t="inlineStr">
        <is>
          <t>Single-click and double-click selection should work according to the configured setting.</t>
        </is>
      </c>
      <c r="E129" s="366" t="inlineStr">
        <is>
          <t>Pending</t>
        </is>
      </c>
      <c r="F129" s="3" t="n"/>
      <c r="G129" s="366" t="inlineStr">
        <is>
          <t>Done</t>
        </is>
      </c>
      <c r="H129" s="3" t="n"/>
      <c r="I129" s="55" t="n"/>
    </row>
    <row r="130" ht="46.5" customHeight="1">
      <c r="A130" s="129" t="inlineStr">
        <is>
          <t>PDF_121</t>
        </is>
      </c>
      <c r="B130" s="14" t="inlineStr">
        <is>
          <t>Submit for QC</t>
        </is>
      </c>
      <c r="C130" s="14" t="inlineStr">
        <is>
          <t>Submit the item for QC and then verify the item in the QC pool using a checker user.</t>
        </is>
      </c>
      <c r="D130" s="14" t="inlineStr">
        <is>
          <t>Submit for QC should work, and the item should move to the QC pool.</t>
        </is>
      </c>
      <c r="E130" s="366" t="inlineStr">
        <is>
          <t>Pending</t>
        </is>
      </c>
      <c r="F130" s="3" t="n"/>
      <c r="G130" s="366" t="inlineStr">
        <is>
          <t>Done</t>
        </is>
      </c>
      <c r="H130" s="3" t="n"/>
      <c r="I130" s="55" t="n"/>
    </row>
    <row r="131" ht="65.25" customHeight="1">
      <c r="A131" s="129" t="inlineStr">
        <is>
          <t>PDF_122</t>
        </is>
      </c>
      <c r="B131" s="14" t="inlineStr">
        <is>
          <t>String Data Cell</t>
        </is>
      </c>
      <c r="C131" s="14" t="inlineStr">
        <is>
          <t>Insert a new row on the Spreading screen, set the data type to String, and enter alphabetic, numeric, and alphanumeric values.</t>
        </is>
      </c>
      <c r="D131" s="14" t="inlineStr">
        <is>
          <t>The user should be able to add a String row, and the data should be entered without errors.</t>
        </is>
      </c>
      <c r="E131" s="366" t="inlineStr">
        <is>
          <t>Pending</t>
        </is>
      </c>
      <c r="F131" s="14" t="n"/>
      <c r="G131" s="366" t="inlineStr">
        <is>
          <t>Done</t>
        </is>
      </c>
      <c r="H131" s="14" t="n"/>
      <c r="I131" s="55" t="n"/>
    </row>
    <row r="132" ht="65.25" customHeight="1">
      <c r="A132" s="129" t="inlineStr">
        <is>
          <t>PDF_123</t>
        </is>
      </c>
      <c r="B132" s="14" t="inlineStr">
        <is>
          <t>String Data Cell</t>
        </is>
      </c>
      <c r="C132" s="14" t="inlineStr">
        <is>
          <t>Case 1: Enter a manual value in a String cell and then map text from the page.
Case 2: Map free text into a String cell and then overwrite it with a manual value.</t>
        </is>
      </c>
      <c r="D132" s="14" t="inlineStr">
        <is>
          <t>Case 1: Manual and mapped values should be displayed correctly without any operator between them.
Case 2: The mapped cell should display only the manual value.</t>
        </is>
      </c>
      <c r="E132" s="366" t="inlineStr">
        <is>
          <t>Pending</t>
        </is>
      </c>
      <c r="F132" s="14" t="n"/>
      <c r="G132" s="366" t="inlineStr">
        <is>
          <t>Done</t>
        </is>
      </c>
      <c r="H132" s="14" t="n"/>
      <c r="I132" s="55" t="n"/>
    </row>
    <row r="133" ht="72" customHeight="1">
      <c r="A133" s="129" t="inlineStr">
        <is>
          <t>PDF_124</t>
        </is>
      </c>
      <c r="B133" s="14" t="inlineStr">
        <is>
          <t>String Data Cell</t>
        </is>
      </c>
      <c r="C133" s="14" t="inlineStr">
        <is>
          <t>Map values into a String cell, perform Submit and Continue, and run Autofill. Then map free text into the same String cell, change the value column, and review the warning about data loss.</t>
        </is>
      </c>
      <c r="D133" s="14" t="inlineStr">
        <is>
          <t>The user should be able to Autofill values into the String cell. Free text should be mapped correctly, and the values should be removed when the value column is removed.</t>
        </is>
      </c>
      <c r="E133" s="366" t="inlineStr">
        <is>
          <t>Pending</t>
        </is>
      </c>
      <c r="F133" s="14" t="n"/>
      <c r="G133" s="366" t="inlineStr">
        <is>
          <t>Done</t>
        </is>
      </c>
      <c r="H133" s="14" t="n"/>
      <c r="I133" s="55" t="n"/>
    </row>
    <row r="134" ht="87.75" customHeight="1">
      <c r="A134" s="129" t="inlineStr">
        <is>
          <t>PDF_125</t>
        </is>
      </c>
      <c r="B134" s="14" t="inlineStr">
        <is>
          <t>DateTime Cell</t>
        </is>
      </c>
      <c r="C134" s="14" t="inlineStr">
        <is>
          <t>Insert a new row on the Spreading screen, set the data type to DateTime, map a year to the cell, and review the mapped value from the Mapped Cells ribbon.</t>
        </is>
      </c>
      <c r="D134" s="14" t="inlineStr">
        <is>
          <t>A DateTime cell should be added, the year should be entered successfully, and the Mapped Cells view should display the correct value.</t>
        </is>
      </c>
      <c r="E134" s="366" t="inlineStr">
        <is>
          <t>Pending</t>
        </is>
      </c>
      <c r="F134" s="14" t="n"/>
      <c r="G134" s="366" t="inlineStr">
        <is>
          <t>Blocked</t>
        </is>
      </c>
      <c r="H134" s="14" t="n"/>
      <c r="I134" s="223" t="inlineStr">
        <is>
          <t>Issue still exists. Functionality not clear 
https://dev.azure.com/ITC-ProductPlatforms/Spreadsmart%20V2/_workitems/edit/66452</t>
        </is>
      </c>
    </row>
    <row r="135" ht="48.75" customHeight="1">
      <c r="A135" s="129" t="inlineStr">
        <is>
          <t>PDF_126</t>
        </is>
      </c>
      <c r="B135" s="14" t="inlineStr">
        <is>
          <t>Validations Modify</t>
        </is>
      </c>
      <c r="C135" s="14" t="inlineStr">
        <is>
          <t>Modify a validation formula on the Spreading screen, add a number using the + operator, remove it, and then submit the spread when the validation becomes TRUE.</t>
        </is>
      </c>
      <c r="D135" s="14" t="inlineStr">
        <is>
          <t>The user should be able to modify the validation, add and remove the number, and submit the spread successfully.</t>
        </is>
      </c>
      <c r="E135" s="366" t="inlineStr">
        <is>
          <t>Pending</t>
        </is>
      </c>
      <c r="F135" s="14" t="n"/>
      <c r="G135" s="366" t="inlineStr">
        <is>
          <t>Done</t>
        </is>
      </c>
      <c r="H135" s="14" t="n"/>
      <c r="I135" s="55" t="n"/>
    </row>
    <row r="136" ht="54.75" customHeight="1">
      <c r="A136" s="129" t="inlineStr">
        <is>
          <t>PDF_127</t>
        </is>
      </c>
      <c r="B136" s="14" t="inlineStr">
        <is>
          <t>Expression</t>
        </is>
      </c>
      <c r="C136" s="14" t="inlineStr">
        <is>
          <t>Map values to build the expression (A+B+C), then replace the + operator with a conversion of Divide by 100 and review the expression.</t>
        </is>
      </c>
      <c r="D136" s="14" t="inlineStr">
        <is>
          <t>The expression should be updated to A/100+B+C.</t>
        </is>
      </c>
      <c r="E136" s="366" t="inlineStr">
        <is>
          <t>Pending</t>
        </is>
      </c>
      <c r="F136" s="14" t="inlineStr">
        <is>
          <t>Existing bug.</t>
        </is>
      </c>
      <c r="G136" s="366" t="inlineStr">
        <is>
          <t>Done</t>
        </is>
      </c>
      <c r="H136" s="14" t="n"/>
      <c r="I136" s="223" t="n"/>
    </row>
    <row r="137" ht="72.75" customHeight="1">
      <c r="A137" s="129" t="inlineStr">
        <is>
          <t>PDF_128</t>
        </is>
      </c>
      <c r="B137" s="14" t="inlineStr">
        <is>
          <t>Expression</t>
        </is>
      </c>
      <c r="C137" s="14" t="inlineStr">
        <is>
          <t>Map values using Negative, Contra, and Absolute operations to form NEG(A+B+C). Then click Clear Zone and review the expression cell.</t>
        </is>
      </c>
      <c r="D137" s="14" t="inlineStr">
        <is>
          <t>The expression should become blank after the zone is cleared. The expression cell may display junk data or #NAME, as observed in the original scenario.</t>
        </is>
      </c>
      <c r="E137" s="366" t="inlineStr">
        <is>
          <t>Pending</t>
        </is>
      </c>
      <c r="F137" s="14" t="n"/>
      <c r="G137" s="366" t="inlineStr">
        <is>
          <t>Done</t>
        </is>
      </c>
      <c r="H137" s="14" t="n"/>
      <c r="I137" s="223" t="inlineStr">
        <is>
          <t>[Needs QA Review: original scenario documents intermittent behavior]</t>
        </is>
      </c>
    </row>
    <row r="138" ht="60" customHeight="1">
      <c r="A138" s="129" t="inlineStr">
        <is>
          <t>PDF_129</t>
        </is>
      </c>
      <c r="B138" s="14" t="inlineStr">
        <is>
          <t>Expression</t>
        </is>
      </c>
      <c r="C138" s="14" t="inlineStr">
        <is>
          <t>Map values using Unit Scale and Conversion to form ((A+B+C)/10)*100. Select the full expression in the formula bar, map another value from the file, and review the expression cell.</t>
        </is>
      </c>
      <c r="D138" s="14" t="inlineStr">
        <is>
          <t>The expression should either update correctly or remain unchanged. The expression cell may display junk data or #NAME, as observed in the original scenario.</t>
        </is>
      </c>
      <c r="E138" s="366" t="inlineStr">
        <is>
          <t>Pending</t>
        </is>
      </c>
      <c r="F138" s="14" t="n"/>
      <c r="G138" s="366" t="inlineStr">
        <is>
          <t>Done</t>
        </is>
      </c>
      <c r="H138" s="14" t="n"/>
      <c r="I138" s="223" t="inlineStr">
        <is>
          <t>[Needs QA Review: original scenario documents intermittent behavior]</t>
        </is>
      </c>
    </row>
    <row r="139" ht="60" customHeight="1">
      <c r="A139" s="129" t="inlineStr">
        <is>
          <t>PDF_130</t>
        </is>
      </c>
      <c r="B139" s="14" t="inlineStr">
        <is>
          <t>Expression</t>
        </is>
      </c>
      <c r="C139" s="14" t="inlineStr">
        <is>
          <t>Map values using operators from the menu bar to build an expression such as (A+B-C*D+E/F). Then validate Clear Zone and Autofill behavior and review the expression cell.</t>
        </is>
      </c>
      <c r="D139" s="14" t="inlineStr">
        <is>
          <t>The expression should behave according to the defined operations. The cell may display junk values in the expression, as noted in the original scenario.</t>
        </is>
      </c>
      <c r="E139" s="366" t="inlineStr">
        <is>
          <t>Pending</t>
        </is>
      </c>
      <c r="F139" s="14" t="n"/>
      <c r="G139" s="366" t="inlineStr">
        <is>
          <t>Done</t>
        </is>
      </c>
      <c r="H139" s="14" t="n"/>
      <c r="I139" s="223" t="inlineStr">
        <is>
          <t>[Needs QA Review: original scenario references console-log validation and intermittent behavior]</t>
        </is>
      </c>
    </row>
    <row r="140" ht="120.75" customHeight="1">
      <c r="A140" s="129" t="inlineStr">
        <is>
          <t>PDF_131</t>
        </is>
      </c>
      <c r="B140" s="14" t="inlineStr">
        <is>
          <t>Exclusion - Brackets</t>
        </is>
      </c>
      <c r="C140" s="14" t="inlineStr">
        <is>
          <t>Precondition: Template line item = Cash and revenue; spreading line item = a) Cash and revenue.
Set a zone, select a value column, and run Autofill from the template. Then add prefixes such as a), b), and c) in Exclusion Management and run Autofill again.</t>
        </is>
      </c>
      <c r="D140" s="14" t="inlineStr">
        <is>
          <t>Case 1: Autofill should not occur when there is no applicable opening bracket scenario for excluding inner text.
Case 2: Autofill should occur after the prefix is added in Exclusion Management.</t>
        </is>
      </c>
      <c r="E140" s="366" t="inlineStr">
        <is>
          <t>Pending</t>
        </is>
      </c>
      <c r="F140" s="14" t="n"/>
      <c r="G140" s="366" t="inlineStr">
        <is>
          <t>Done</t>
        </is>
      </c>
      <c r="H140" s="14" t="n"/>
      <c r="I140" s="223" t="n"/>
    </row>
    <row r="141" ht="48" customHeight="1">
      <c r="A141" s="129" t="inlineStr">
        <is>
          <t>PDF_132</t>
        </is>
      </c>
      <c r="B141" s="14" t="inlineStr">
        <is>
          <t>Customer Taxonomy</t>
        </is>
      </c>
      <c r="C141" s="14" t="inlineStr">
        <is>
          <t>Use Global Taxonomy in a spread, perform Submit and Continue, switch data columns, run Autofill, and then submit the spread. When the Undo Customer Taxonomy pop-up appears, check and uncheck keywords and submit again.</t>
        </is>
      </c>
      <c r="D141" s="14" t="inlineStr">
        <is>
          <t>The user should be able to submit and autofill the spread. The Undo Customer Taxonomy pop-up should display related keywords, and the check/uncheck behavior should work correctly.</t>
        </is>
      </c>
      <c r="E141" s="366" t="inlineStr">
        <is>
          <t>Pending</t>
        </is>
      </c>
      <c r="F141" s="363" t="n">
        <v>71133</v>
      </c>
      <c r="G141" s="366" t="inlineStr">
        <is>
          <t>Done</t>
        </is>
      </c>
      <c r="H141" s="363" t="n"/>
      <c r="I141" s="223" t="n"/>
    </row>
    <row r="142" ht="123" customHeight="1">
      <c r="A142" s="129" t="inlineStr">
        <is>
          <t>PDF_133</t>
        </is>
      </c>
      <c r="B142" s="14" t="inlineStr">
        <is>
          <t>Edit Table</t>
        </is>
      </c>
      <c r="C142" s="14" t="inlineStr">
        <is>
          <t>1. Open the Spreading screen and click Detect Table under the default primary category.
2. Merge the first and second columns and set the third column as the value column.
3. Switch to Edit Mode and draw a column between the first and second columns.
4. Review whether the value column shifts to the left, then remove the shifted value column.</t>
        </is>
      </c>
      <c r="D142" s="14" t="inlineStr">
        <is>
          <t>The user should be able to edit the columns, and the value column should be removable.</t>
        </is>
      </c>
      <c r="E142" s="366" t="inlineStr">
        <is>
          <t>Pending</t>
        </is>
      </c>
      <c r="F142" s="363" t="n">
        <v>71074</v>
      </c>
      <c r="G142" s="366" t="inlineStr">
        <is>
          <t>Out of Scope</t>
        </is>
      </c>
      <c r="H142" s="363" t="n"/>
      <c r="I142" s="223" t="n"/>
    </row>
    <row r="143" ht="60" customHeight="1">
      <c r="A143" s="129" t="inlineStr">
        <is>
          <t>PDF_134</t>
        </is>
      </c>
      <c r="B143" s="368" t="inlineStr">
        <is>
          <t>Exclusion - Free Text</t>
        </is>
      </c>
      <c r="C143" s="368" t="inlineStr">
        <is>
          <t>Select free text from a paragraph, map values that include currency and units, and verify that exclusion rules are applied correctly during mapping.</t>
        </is>
      </c>
      <c r="D143" s="368" t="inlineStr">
        <is>
          <t>The values should be mapped without errors or incorrect exclusion behavior.</t>
        </is>
      </c>
      <c r="E143" s="366" t="inlineStr">
        <is>
          <t>Pending</t>
        </is>
      </c>
      <c r="F143" s="363" t="n"/>
      <c r="G143" s="366" t="inlineStr">
        <is>
          <t>Done</t>
        </is>
      </c>
      <c r="H143" s="363" t="n"/>
      <c r="I143" s="223" t="n"/>
    </row>
    <row r="144" ht="43.5" customHeight="1">
      <c r="A144" s="129" t="inlineStr">
        <is>
          <t>PDF_135</t>
        </is>
      </c>
      <c r="B144" s="14" t="inlineStr">
        <is>
          <t>Exclusion - Free Text</t>
        </is>
      </c>
      <c r="C144" s="14" t="inlineStr">
        <is>
          <t>Verify exclusion handling for values with:
1. a closing bracket and dot `)`
2. only an opening bracket `(`
3. `/-`</t>
        </is>
      </c>
      <c r="D144" s="14" t="inlineStr">
        <is>
          <t>Exclusion should be applied correctly, and the value should be mapped.</t>
        </is>
      </c>
      <c r="E144" s="366" t="inlineStr">
        <is>
          <t>Pending</t>
        </is>
      </c>
      <c r="F144" s="363" t="n"/>
      <c r="G144" s="366" t="inlineStr">
        <is>
          <t>Done</t>
        </is>
      </c>
      <c r="H144" s="363" t="n"/>
      <c r="I144" s="223" t="n"/>
    </row>
    <row r="145" ht="51" customHeight="1">
      <c r="A145" s="129" t="inlineStr">
        <is>
          <t>PDF_136</t>
        </is>
      </c>
      <c r="B145" s="14" t="inlineStr">
        <is>
          <t>Exclusion - Free Text</t>
        </is>
      </c>
      <c r="C145" s="14" t="inlineStr">
        <is>
          <t>Run Autofill for values with a closing bracket and dot, only an opening bracket, and `/-`.</t>
        </is>
      </c>
      <c r="D145" s="14" t="inlineStr">
        <is>
          <t>Autofill should work for all listed cases, and exclusion should be applied correctly.</t>
        </is>
      </c>
      <c r="E145" s="366" t="inlineStr">
        <is>
          <t>Pending</t>
        </is>
      </c>
      <c r="F145" s="363" t="n"/>
      <c r="G145" s="366" t="inlineStr">
        <is>
          <t>Done</t>
        </is>
      </c>
      <c r="H145" s="363" t="n"/>
      <c r="I145" s="223" t="n"/>
    </row>
    <row r="146" ht="36" customHeight="1">
      <c r="A146" s="129" t="inlineStr">
        <is>
          <t>PDF_137</t>
        </is>
      </c>
      <c r="B146" s="14" t="inlineStr">
        <is>
          <t>Exclusion - Free Text</t>
        </is>
      </c>
      <c r="C146" s="14" t="inlineStr">
        <is>
          <t>Map a value in the format `(value)` to the model and then verify Autofill for the same case.</t>
        </is>
      </c>
      <c r="D146" s="14" t="inlineStr">
        <is>
          <t>The value should remain unchanged, exclusion should not be applied in this case, and Autofill should work correctly.</t>
        </is>
      </c>
      <c r="E146" s="366" t="inlineStr">
        <is>
          <t>Pending</t>
        </is>
      </c>
      <c r="F146" s="363" t="n"/>
      <c r="G146" s="366" t="inlineStr">
        <is>
          <t>Done</t>
        </is>
      </c>
      <c r="H146" s="363" t="n"/>
      <c r="I146" s="223" t="n"/>
    </row>
    <row r="147" ht="55.5" customHeight="1">
      <c r="A147" s="129" t="inlineStr">
        <is>
          <t>PDF_138</t>
        </is>
      </c>
      <c r="B147" s="14" t="inlineStr">
        <is>
          <t>Spreading Adjustments</t>
        </is>
      </c>
      <c r="C147" s="14" t="inlineStr">
        <is>
          <t>Adjust the screen using zoom in and zoom out from the model side, exit full-screen mode, and verify the saved adjustments in Template Configuration, Spreading, and Quality Check screens.</t>
        </is>
      </c>
      <c r="D147" s="14" t="inlineStr">
        <is>
          <t>The adjustments should be retained in both full-screen and normal-screen views across all listed screens.</t>
        </is>
      </c>
      <c r="E147" s="366" t="inlineStr">
        <is>
          <t>Pending</t>
        </is>
      </c>
      <c r="F147" s="363" t="n"/>
      <c r="G147" s="366" t="inlineStr">
        <is>
          <t>Done</t>
        </is>
      </c>
      <c r="H147" s="363" t="n"/>
      <c r="I147" s="223" t="n"/>
    </row>
    <row r="148" ht="84" customHeight="1">
      <c r="A148" s="129" t="inlineStr">
        <is>
          <t>PDF_139</t>
        </is>
      </c>
      <c r="B148" s="14" t="inlineStr">
        <is>
          <t>Exclusion on Header Row</t>
        </is>
      </c>
      <c r="C148" s="14" t="inlineStr">
        <is>
          <t>Detect a table, set a Header Row, map values from a matrix table, and verify a header row containing prefix or suffix text and values. Perform Submit and Continue, run Autofill, then delete or modify the header-row prefix/suffix and run Autofill again.</t>
        </is>
      </c>
      <c r="D148" s="14" t="inlineStr">
        <is>
          <t>The user should be able to detect the table and set the Header Row. During Autofill, prefix and suffix currency text should be excluded.</t>
        </is>
      </c>
      <c r="E148" s="366" t="inlineStr">
        <is>
          <t>Pending</t>
        </is>
      </c>
      <c r="F148" s="363" t="n"/>
      <c r="G148" s="366" t="inlineStr">
        <is>
          <t>Done</t>
        </is>
      </c>
      <c r="H148" s="363" t="n"/>
      <c r="I148" s="223" t="n"/>
    </row>
    <row r="149" ht="72" customHeight="1">
      <c r="A149" s="129" t="inlineStr">
        <is>
          <t>PDF_140</t>
        </is>
      </c>
      <c r="B149" s="14" t="inlineStr">
        <is>
          <t>Exclusion on Header Row</t>
        </is>
      </c>
      <c r="C149" s="14" t="inlineStr">
        <is>
          <t>Detect a table, set a Header Row, map values from a matrix table, and verify a header row containing currencies. Perform Submit and Continue, run Autofill, then replace or delete the currency in the header row and run Autofill again.</t>
        </is>
      </c>
      <c r="D149" s="14" t="inlineStr">
        <is>
          <t>The user should be able to detect the table and set the Header Row. During Autofill, prefix and suffix currency text should be excluded.</t>
        </is>
      </c>
      <c r="E149" s="366" t="inlineStr">
        <is>
          <t>Pending</t>
        </is>
      </c>
      <c r="F149" s="363" t="n"/>
      <c r="G149" s="366" t="inlineStr">
        <is>
          <t>Done</t>
        </is>
      </c>
      <c r="H149" s="363" t="n"/>
      <c r="I149" s="224" t="inlineStr">
        <is>
          <t>..\Downloads\Currency List (2).xlsx</t>
        </is>
      </c>
    </row>
    <row r="150" ht="116.25" customHeight="1">
      <c r="A150" s="129" t="inlineStr">
        <is>
          <t>PDF_141</t>
        </is>
      </c>
      <c r="B150" s="14" t="inlineStr">
        <is>
          <t>Disabled Ribbon Button</t>
        </is>
      </c>
      <c r="C150" s="14" t="inlineStr">
        <is>
          <t>Open the Autofill dropdown and review options such as Current Page, All Pages, and All Keywords. Verify disabled-button behavior in different conditions, including Error Logs, and try clicking disabled buttons.</t>
        </is>
      </c>
      <c r="D150" s="14" t="inlineStr">
        <is>
          <t>Disabled buttons should not be clickable. The disabled icon should be shown, and no action should occur.</t>
        </is>
      </c>
      <c r="E150" s="366" t="inlineStr">
        <is>
          <t>Pending</t>
        </is>
      </c>
      <c r="F150" s="363" t="n"/>
      <c r="G150" s="366" t="inlineStr">
        <is>
          <t>Done</t>
        </is>
      </c>
      <c r="H150" s="363" t="n"/>
      <c r="I150" s="224" t="n"/>
    </row>
    <row r="151" ht="61.5" customHeight="1">
      <c r="A151" s="129" t="inlineStr">
        <is>
          <t>PDF_142</t>
        </is>
      </c>
      <c r="B151" s="14" t="inlineStr">
        <is>
          <t>Duplicate Model Account</t>
        </is>
      </c>
      <c r="C151" s="14" t="inlineStr">
        <is>
          <t>Insert a new row, enter a duplicate model account, review the warning message, and click OK.</t>
        </is>
      </c>
      <c r="D151" s="14" t="inlineStr">
        <is>
          <t>The Insert Row pop-up should warn that a similar account already exists and that clicking OK will create a duplicate account. After clicking OK, the duplicate model account should be added.</t>
        </is>
      </c>
      <c r="E151" s="366" t="inlineStr">
        <is>
          <t>Pending</t>
        </is>
      </c>
      <c r="F151" s="363" t="n"/>
      <c r="G151" s="366" t="inlineStr">
        <is>
          <t>Done</t>
        </is>
      </c>
      <c r="H151" s="363" t="n"/>
      <c r="I151" s="224" t="n"/>
    </row>
    <row r="152" ht="37.5" customHeight="1">
      <c r="A152" s="129" t="inlineStr">
        <is>
          <t>PDF_143</t>
        </is>
      </c>
      <c r="B152" s="14" t="inlineStr">
        <is>
          <t>Submit Spread - Manual Values</t>
        </is>
      </c>
      <c r="C152" s="14" t="inlineStr">
        <is>
          <t>Map a few values, enter a manual value in any cell, and submit the spread.</t>
        </is>
      </c>
      <c r="D152" s="14" t="inlineStr">
        <is>
          <t>The spread should be submitted successfully with a manual value present.</t>
        </is>
      </c>
      <c r="E152" s="366" t="inlineStr">
        <is>
          <t>Pending</t>
        </is>
      </c>
      <c r="F152" s="363" t="n"/>
      <c r="G152" s="366" t="inlineStr">
        <is>
          <t>Done</t>
        </is>
      </c>
      <c r="H152" s="363" t="n"/>
      <c r="I152" s="224" t="n"/>
    </row>
    <row r="153" ht="48" customHeight="1">
      <c r="A153" s="129" t="inlineStr">
        <is>
          <t>PDF_144</t>
        </is>
      </c>
      <c r="B153" s="14" t="inlineStr">
        <is>
          <t>Submit Spread - Manual String Value</t>
        </is>
      </c>
      <c r="C153" s="14" t="inlineStr">
        <is>
          <t>Map a few values, insert a String-type row, enter a manual value, and submit the spread.</t>
        </is>
      </c>
      <c r="D153" s="14" t="inlineStr">
        <is>
          <t>The spread should be submitted successfully with manual String data.</t>
        </is>
      </c>
      <c r="E153" s="366" t="inlineStr">
        <is>
          <t>Pending</t>
        </is>
      </c>
      <c r="F153" s="363" t="n"/>
      <c r="G153" s="366" t="inlineStr">
        <is>
          <t>Done</t>
        </is>
      </c>
      <c r="H153" s="363" t="n"/>
      <c r="I153" s="224" t="n"/>
    </row>
    <row r="154" ht="48.75" customHeight="1">
      <c r="A154" s="129" t="inlineStr">
        <is>
          <t>PDF_145</t>
        </is>
      </c>
      <c r="B154" s="14" t="inlineStr">
        <is>
          <t>Matrix Zone</t>
        </is>
      </c>
      <c r="C154" s="230" t="inlineStr">
        <is>
          <t>Detect or draw a table, set the zone, select a row, and right-click it.</t>
        </is>
      </c>
      <c r="D154" s="230" t="inlineStr">
        <is>
          <t>The table should be created, zone tagging should be available, the selected zone should be applied to the table, and the relevant context-menu options should be displayed.</t>
        </is>
      </c>
      <c r="E154" s="366" t="inlineStr">
        <is>
          <t>Pending</t>
        </is>
      </c>
      <c r="F154" s="363" t="n"/>
      <c r="G154" s="366" t="inlineStr">
        <is>
          <t>Done</t>
        </is>
      </c>
      <c r="H154" s="363" t="n"/>
      <c r="I154" s="224" t="n"/>
    </row>
    <row r="155" ht="48.75" customHeight="1">
      <c r="A155" s="129" t="inlineStr">
        <is>
          <t>PDF_146</t>
        </is>
      </c>
      <c r="B155" s="14" t="inlineStr">
        <is>
          <t>Matrix Zone</t>
        </is>
      </c>
      <c r="C155" s="231" t="inlineStr">
        <is>
          <t>Select Set Header Row from the available options.</t>
        </is>
      </c>
      <c r="D155" s="231" t="inlineStr">
        <is>
          <t>The selected row should be set as the Header Row.</t>
        </is>
      </c>
      <c r="E155" s="366" t="inlineStr">
        <is>
          <t>Pending</t>
        </is>
      </c>
      <c r="F155" s="363" t="n"/>
      <c r="G155" s="366" t="inlineStr">
        <is>
          <t>Done</t>
        </is>
      </c>
      <c r="H155" s="363" t="n"/>
      <c r="I155" s="224" t="n"/>
    </row>
    <row r="156" ht="40.5" customHeight="1">
      <c r="A156" s="129" t="inlineStr">
        <is>
          <t>PDF_147</t>
        </is>
      </c>
      <c r="B156" s="14" t="inlineStr">
        <is>
          <t>Matrix Zone</t>
        </is>
      </c>
      <c r="C156" s="231" t="inlineStr">
        <is>
          <t>Click a value cell in the matrix zone.</t>
        </is>
      </c>
      <c r="D156" s="230" t="inlineStr">
        <is>
          <t>Two visual cues should be displayed: one for the line item and one for the Header Row.</t>
        </is>
      </c>
      <c r="E156" s="366" t="inlineStr">
        <is>
          <t>Pending</t>
        </is>
      </c>
      <c r="F156" s="363" t="n"/>
      <c r="G156" s="366" t="inlineStr">
        <is>
          <t>Done</t>
        </is>
      </c>
      <c r="H156" s="363" t="n"/>
      <c r="I156" s="224" t="n"/>
    </row>
    <row r="157" ht="28.5" customHeight="1">
      <c r="A157" s="129" t="inlineStr">
        <is>
          <t>PDF_148</t>
        </is>
      </c>
      <c r="B157" s="14" t="inlineStr">
        <is>
          <t>Matrix Zone</t>
        </is>
      </c>
      <c r="C157" s="230" t="inlineStr">
        <is>
          <t>Verify that all columns except the line item column are marked with a green underline.</t>
        </is>
      </c>
      <c r="D157" s="230" t="inlineStr">
        <is>
          <t>All columns except the line item column should have a green underline.</t>
        </is>
      </c>
      <c r="E157" s="366" t="inlineStr">
        <is>
          <t>Pending</t>
        </is>
      </c>
      <c r="F157" s="363" t="n"/>
      <c r="G157" s="366" t="inlineStr">
        <is>
          <t>Done</t>
        </is>
      </c>
      <c r="H157" s="363" t="n"/>
      <c r="I157" s="224" t="n"/>
    </row>
    <row r="158">
      <c r="A158" s="129" t="inlineStr">
        <is>
          <t>PDF_149</t>
        </is>
      </c>
      <c r="B158" s="14" t="inlineStr">
        <is>
          <t>Matrix Zone</t>
        </is>
      </c>
      <c r="C158" s="230" t="inlineStr">
        <is>
          <t>Verify that all line-item rows below the Header Row are marked in green.</t>
        </is>
      </c>
      <c r="D158" s="230" t="inlineStr">
        <is>
          <t>All applicable line-item rows below the Header Row should be marked in green.</t>
        </is>
      </c>
      <c r="E158" s="366" t="inlineStr">
        <is>
          <t>Pending</t>
        </is>
      </c>
      <c r="F158" s="363" t="n"/>
      <c r="G158" s="366" t="inlineStr">
        <is>
          <t>Done</t>
        </is>
      </c>
      <c r="H158" s="363" t="n"/>
      <c r="I158" s="224" t="n"/>
    </row>
    <row r="159">
      <c r="A159" s="129" t="inlineStr">
        <is>
          <t>PDF_150</t>
        </is>
      </c>
      <c r="B159" s="14" t="inlineStr">
        <is>
          <t>Matrix Zone</t>
        </is>
      </c>
      <c r="C159" s="230" t="inlineStr">
        <is>
          <t>Map a value from below the Header Row to the model.</t>
        </is>
      </c>
      <c r="D159" s="230" t="inlineStr">
        <is>
          <t>The value should be mapped successfully.</t>
        </is>
      </c>
      <c r="E159" s="366" t="inlineStr">
        <is>
          <t>Pending</t>
        </is>
      </c>
      <c r="F159" s="363" t="n"/>
      <c r="G159" s="366" t="inlineStr">
        <is>
          <t>Done</t>
        </is>
      </c>
      <c r="H159" s="363" t="n"/>
      <c r="I159" s="224" t="n"/>
    </row>
    <row r="160" ht="24.75" customHeight="1">
      <c r="A160" s="129" t="inlineStr">
        <is>
          <t>PDF_151</t>
        </is>
      </c>
      <c r="B160" s="14" t="inlineStr">
        <is>
          <t>Matrix Zone</t>
        </is>
      </c>
      <c r="C160" s="230" t="inlineStr">
        <is>
          <t>Select a value below the Header Row and modify the Header Row text through the visual cue.</t>
        </is>
      </c>
      <c r="D160" s="230" t="inlineStr">
        <is>
          <t>The Header Row value should be updated, and a manual-entry icon should be displayed.</t>
        </is>
      </c>
      <c r="E160" s="366" t="inlineStr">
        <is>
          <t>Pending</t>
        </is>
      </c>
      <c r="F160" s="363" t="n"/>
      <c r="G160" s="366" t="inlineStr">
        <is>
          <t>Done</t>
        </is>
      </c>
      <c r="H160" s="363" t="n"/>
      <c r="I160" s="224" t="n"/>
    </row>
    <row r="161">
      <c r="A161" s="129" t="inlineStr">
        <is>
          <t>PDF_152</t>
        </is>
      </c>
      <c r="B161" s="14" t="inlineStr">
        <is>
          <t>Matrix Zone</t>
        </is>
      </c>
      <c r="C161" s="230" t="inlineStr">
        <is>
          <t>Select a value above the Header Row and map it to the model.</t>
        </is>
      </c>
      <c r="D161" s="230" t="inlineStr">
        <is>
          <t>The value should be mapped as free text.</t>
        </is>
      </c>
      <c r="E161" s="366" t="inlineStr">
        <is>
          <t>Pending</t>
        </is>
      </c>
      <c r="F161" s="363" t="n"/>
      <c r="G161" s="366" t="inlineStr">
        <is>
          <t>Done</t>
        </is>
      </c>
      <c r="H161" s="363" t="n"/>
      <c r="I161" s="224" t="n"/>
    </row>
    <row r="162" ht="24.75" customHeight="1">
      <c r="A162" s="129" t="inlineStr">
        <is>
          <t>PDF_153</t>
        </is>
      </c>
      <c r="B162" s="14" t="inlineStr">
        <is>
          <t>Matrix Zone</t>
        </is>
      </c>
      <c r="C162" s="230" t="inlineStr">
        <is>
          <t>Map a value below the Header Row to the model, then perform Submit and Continue.</t>
        </is>
      </c>
      <c r="D162" s="230" t="inlineStr">
        <is>
          <t>The value should be mapped successfully, and the next spread should open.</t>
        </is>
      </c>
      <c r="E162" s="366" t="inlineStr">
        <is>
          <t>Pending</t>
        </is>
      </c>
      <c r="F162" s="363" t="n"/>
      <c r="G162" s="366" t="inlineStr">
        <is>
          <t>Done</t>
        </is>
      </c>
      <c r="H162" s="363" t="n"/>
      <c r="I162" s="224" t="n"/>
    </row>
    <row r="163" ht="24.75" customHeight="1">
      <c r="A163" s="129" t="inlineStr">
        <is>
          <t>PDF_154</t>
        </is>
      </c>
      <c r="B163" s="14" t="inlineStr">
        <is>
          <t>Matrix Zone</t>
        </is>
      </c>
      <c r="C163" s="230" t="inlineStr">
        <is>
          <t>Click Autofill for the matrix zone.</t>
        </is>
      </c>
      <c r="D163" s="230" t="inlineStr">
        <is>
          <t>The system should evaluate both the line item and the Header Row and Autofill the value accordingly.</t>
        </is>
      </c>
      <c r="E163" s="366" t="inlineStr">
        <is>
          <t>Pending</t>
        </is>
      </c>
      <c r="F163" s="363" t="n"/>
      <c r="G163" s="366" t="inlineStr">
        <is>
          <t>Done</t>
        </is>
      </c>
      <c r="H163" s="363" t="n"/>
      <c r="I163" s="224" t="n"/>
    </row>
    <row r="164" ht="24.75" customHeight="1">
      <c r="A164" s="129" t="inlineStr">
        <is>
          <t>PDF_155</t>
        </is>
      </c>
      <c r="B164" s="14" t="inlineStr">
        <is>
          <t>Matrix Zone</t>
        </is>
      </c>
      <c r="C164" s="230" t="inlineStr">
        <is>
          <t>Remove the value column in the matrix zone.</t>
        </is>
      </c>
      <c r="D164" s="230" t="inlineStr">
        <is>
          <t>The value column should be removed, and the green marker for that column should also be removed.</t>
        </is>
      </c>
      <c r="E164" s="366" t="inlineStr">
        <is>
          <t>Pending</t>
        </is>
      </c>
      <c r="F164" s="363" t="n"/>
      <c r="G164" s="366" t="inlineStr">
        <is>
          <t>Done</t>
        </is>
      </c>
      <c r="H164" s="363" t="n"/>
      <c r="I164" s="224" t="n"/>
    </row>
    <row r="165">
      <c r="A165" s="129" t="inlineStr">
        <is>
          <t>PDF_156</t>
        </is>
      </c>
      <c r="B165" s="14" t="inlineStr">
        <is>
          <t>Matrix Zone</t>
        </is>
      </c>
      <c r="C165" s="230" t="inlineStr">
        <is>
          <t>Add a value column in the Header Row.</t>
        </is>
      </c>
      <c r="D165" s="230" t="inlineStr">
        <is>
          <t>A "+" icon should be displayed for the newly added column.</t>
        </is>
      </c>
      <c r="E165" s="366" t="inlineStr">
        <is>
          <t>Pending</t>
        </is>
      </c>
      <c r="F165" s="363" t="n"/>
      <c r="G165" s="366" t="inlineStr">
        <is>
          <t>Done</t>
        </is>
      </c>
      <c r="H165" s="363" t="n"/>
      <c r="I165" s="224" t="n"/>
    </row>
    <row r="166" ht="36.75" customHeight="1">
      <c r="A166" s="129" t="inlineStr">
        <is>
          <t>PDF_157</t>
        </is>
      </c>
      <c r="B166" s="14" t="inlineStr">
        <is>
          <t>Matrix Zone</t>
        </is>
      </c>
      <c r="C166" s="230" t="inlineStr">
        <is>
          <t>Set the Header Row, clear the existing data section, select Begin Data Section on one row, select End Data Section on another row, and review the selected range.</t>
        </is>
      </c>
      <c r="D166" s="230" t="inlineStr">
        <is>
          <t>The selected range should be treated as the data section, and Autofill should work based on that section.</t>
        </is>
      </c>
      <c r="E166" s="366" t="inlineStr">
        <is>
          <t>Pending</t>
        </is>
      </c>
      <c r="F166" s="363" t="n"/>
      <c r="G166" s="366" t="inlineStr">
        <is>
          <t>Done</t>
        </is>
      </c>
      <c r="H166" s="363" t="n"/>
      <c r="I166" s="224" t="n"/>
    </row>
    <row r="167" ht="24.75" customHeight="1">
      <c r="A167" s="129" t="inlineStr">
        <is>
          <t>PDF_158</t>
        </is>
      </c>
      <c r="B167" s="14" t="inlineStr">
        <is>
          <t>Matrix Zone</t>
        </is>
      </c>
      <c r="C167" s="230" t="inlineStr">
        <is>
          <t>Select a row, right-click it, and choose Remove Data Row.</t>
        </is>
      </c>
      <c r="D167" s="230" t="inlineStr">
        <is>
          <t>The selected row should no longer be treated as a value row, and Autofill should not use it.</t>
        </is>
      </c>
      <c r="E167" s="366" t="inlineStr">
        <is>
          <t>Pending</t>
        </is>
      </c>
      <c r="F167" s="363" t="n"/>
      <c r="G167" s="366" t="inlineStr">
        <is>
          <t>Done</t>
        </is>
      </c>
      <c r="H167" s="363" t="n"/>
      <c r="I167" s="224" t="n"/>
    </row>
    <row r="168" ht="24.75" customHeight="1">
      <c r="A168" s="129" t="inlineStr">
        <is>
          <t>PDF_159</t>
        </is>
      </c>
      <c r="B168" s="14" t="inlineStr">
        <is>
          <t>Matrix Zone</t>
        </is>
      </c>
      <c r="C168" s="230" t="inlineStr">
        <is>
          <t>Select a row outside the green-marked section, right-click it, and choose Set Data Row.</t>
        </is>
      </c>
      <c r="D168" s="230" t="inlineStr">
        <is>
          <t>The selected row should be treated as a value row, and Autofill should use it.</t>
        </is>
      </c>
      <c r="E168" s="366" t="inlineStr">
        <is>
          <t>Pending</t>
        </is>
      </c>
      <c r="F168" s="363" t="n"/>
      <c r="G168" s="366" t="inlineStr">
        <is>
          <t>Done</t>
        </is>
      </c>
      <c r="H168" s="363" t="n"/>
      <c r="I168" s="224" t="n"/>
    </row>
    <row r="169">
      <c r="A169" s="129" t="inlineStr">
        <is>
          <t>PDF_160</t>
        </is>
      </c>
      <c r="B169" s="14" t="inlineStr">
        <is>
          <t>Matrix Zone</t>
        </is>
      </c>
      <c r="C169" s="230" t="inlineStr">
        <is>
          <t>Hover over the error-log icons aligned on the PDF side.</t>
        </is>
      </c>
      <c r="D169" s="230" t="inlineStr">
        <is>
          <t>The tooltip or message should not overlap.</t>
        </is>
      </c>
      <c r="E169" s="366" t="inlineStr">
        <is>
          <t>Pending</t>
        </is>
      </c>
      <c r="F169" s="363" t="n"/>
      <c r="G169" s="366" t="inlineStr">
        <is>
          <t>Pending</t>
        </is>
      </c>
      <c r="H169" s="363" t="n"/>
      <c r="I169" s="224" t="n"/>
    </row>
    <row r="170" ht="72.75" customHeight="1">
      <c r="A170" s="129" t="inlineStr">
        <is>
          <t>PDF_161</t>
        </is>
      </c>
      <c r="B170" s="14" t="inlineStr">
        <is>
          <t>Matrix Zone</t>
        </is>
      </c>
      <c r="C170" s="230" t="inlineStr">
        <is>
          <t>Scenario 1: Set a data section using Begin Data Section and End Data Section, map values inside the data section and outside the data section, then perform Submit and Continue and run Autofill.</t>
        </is>
      </c>
      <c r="D170" s="230" t="inlineStr">
        <is>
          <t>The user should be able to define the data section in the table. Values inside the data section should map to the model normally. Values mapped outside the data section should be treated as free text. After Autofill, only values sourced from the data section should be autofilled.</t>
        </is>
      </c>
      <c r="E170" s="366" t="inlineStr">
        <is>
          <t>Pending</t>
        </is>
      </c>
      <c r="F170" s="363" t="n"/>
      <c r="G170" s="366" t="inlineStr">
        <is>
          <t>Done</t>
        </is>
      </c>
      <c r="H170" s="363" t="n"/>
      <c r="I170" s="224" t="n"/>
    </row>
    <row r="171" ht="60.75" customHeight="1">
      <c r="A171" s="129" t="inlineStr">
        <is>
          <t>PDF_162</t>
        </is>
      </c>
      <c r="B171" s="14" t="inlineStr">
        <is>
          <t>Matrix Zone</t>
        </is>
      </c>
      <c r="C171" s="231" t="inlineStr">
        <is>
          <t>Scenario 2: Set a Header Row in a table, map values to the model, perform Submit and Continue, remove a value column used for mapping, and then run Autofill.</t>
        </is>
      </c>
      <c r="D171" s="230" t="inlineStr">
        <is>
          <t>The user should be able to set the Header Row and map values to the model. During Autofill, only values from the remaining value section should be autofilled, and a "+" icon should appear on the deleted header column.</t>
        </is>
      </c>
      <c r="E171" s="366" t="inlineStr">
        <is>
          <t>Pending</t>
        </is>
      </c>
      <c r="F171" s="363" t="n"/>
      <c r="G171" s="366" t="inlineStr">
        <is>
          <t>Done</t>
        </is>
      </c>
      <c r="H171" s="363" t="n"/>
      <c r="I171" s="224" t="n"/>
    </row>
    <row r="172" ht="24.75" customHeight="1">
      <c r="A172" s="129" t="inlineStr">
        <is>
          <t>PDF_163</t>
        </is>
      </c>
      <c r="B172" s="14" t="inlineStr">
        <is>
          <t>Expression Editing</t>
        </is>
      </c>
      <c r="C172" s="230" t="inlineStr">
        <is>
          <t>Select different values, build the required expression, and map it to a cell.</t>
        </is>
      </c>
      <c r="D172" s="230" t="inlineStr">
        <is>
          <t>The value should be mapped, and the calculated result should be displayed.</t>
        </is>
      </c>
      <c r="E172" s="366" t="inlineStr">
        <is>
          <t>Pending</t>
        </is>
      </c>
      <c r="F172" s="363" t="n"/>
      <c r="G172" s="366" t="inlineStr">
        <is>
          <t>Done</t>
        </is>
      </c>
      <c r="H172" s="363" t="n"/>
      <c r="I172" s="224" t="n"/>
    </row>
    <row r="173">
      <c r="A173" s="129" t="inlineStr">
        <is>
          <t>PDF_164</t>
        </is>
      </c>
      <c r="B173" s="14" t="inlineStr">
        <is>
          <t>Expression Editing</t>
        </is>
      </c>
      <c r="C173" s="230" t="inlineStr">
        <is>
          <t>Select an individual digit in the expression bar and try to remove only that digit.</t>
        </is>
      </c>
      <c r="D173" s="230" t="inlineStr">
        <is>
          <t>The user should not be able to remove only a single digit from the expression in this way.</t>
        </is>
      </c>
      <c r="E173" s="366" t="inlineStr">
        <is>
          <t>Pending</t>
        </is>
      </c>
      <c r="F173" s="363" t="n"/>
      <c r="G173" s="366" t="inlineStr">
        <is>
          <t>Done</t>
        </is>
      </c>
      <c r="H173" s="363" t="n"/>
      <c r="I173" s="224" t="n"/>
    </row>
    <row r="174">
      <c r="A174" s="129" t="inlineStr">
        <is>
          <t>PDF_165</t>
        </is>
      </c>
      <c r="B174" s="14" t="inlineStr">
        <is>
          <t>Expression Editing</t>
        </is>
      </c>
      <c r="C174" s="230" t="inlineStr">
        <is>
          <t>Select an entire value in the expression bar and press Backspace.</t>
        </is>
      </c>
      <c r="D174" s="230" t="inlineStr">
        <is>
          <t>The selected value should be removed from the expression.</t>
        </is>
      </c>
      <c r="E174" s="366" t="inlineStr">
        <is>
          <t>Pending</t>
        </is>
      </c>
      <c r="F174" s="363" t="n"/>
      <c r="G174" s="366" t="inlineStr">
        <is>
          <t>Done</t>
        </is>
      </c>
      <c r="H174" s="363" t="n"/>
      <c r="I174" s="224" t="n"/>
    </row>
    <row r="175" ht="24.75" customHeight="1">
      <c r="A175" s="129" t="inlineStr">
        <is>
          <t>PDF_166</t>
        </is>
      </c>
      <c r="B175" s="14" t="inlineStr">
        <is>
          <t>Expression Editing</t>
        </is>
      </c>
      <c r="C175" s="230" t="inlineStr">
        <is>
          <t>Place the cursor at a specific point in the expression bar and make a manual adjustment.</t>
        </is>
      </c>
      <c r="D175" s="230" t="inlineStr">
        <is>
          <t>The manual value should be added to the expression, and the model side should be highlighted in blue.</t>
        </is>
      </c>
      <c r="E175" s="366" t="inlineStr">
        <is>
          <t>Pending</t>
        </is>
      </c>
      <c r="F175" s="363" t="n"/>
      <c r="G175" s="366" t="inlineStr">
        <is>
          <t>Done</t>
        </is>
      </c>
      <c r="H175" s="363" t="n"/>
      <c r="I175" s="224" t="n"/>
    </row>
    <row r="176">
      <c r="A176" s="129" t="inlineStr">
        <is>
          <t>PDF_167</t>
        </is>
      </c>
      <c r="B176" s="14" t="inlineStr">
        <is>
          <t>Spreading Screen - Visual Cue</t>
        </is>
      </c>
      <c r="C176" s="14" t="inlineStr">
        <is>
          <t>Click text or a value on the PDF side.</t>
        </is>
      </c>
      <c r="D176" s="14" t="inlineStr">
        <is>
          <t>The selected text or value should be shown in the visual cue.</t>
        </is>
      </c>
      <c r="E176" s="366" t="inlineStr">
        <is>
          <t>Pending</t>
        </is>
      </c>
      <c r="F176" s="363" t="n"/>
      <c r="G176" s="366" t="inlineStr">
        <is>
          <t>Done</t>
        </is>
      </c>
      <c r="H176" s="363" t="n"/>
      <c r="I176" s="224" t="n"/>
    </row>
    <row r="177" ht="15" customHeight="1">
      <c r="A177" s="129" t="inlineStr">
        <is>
          <t>PDF_168</t>
        </is>
      </c>
      <c r="B177" s="14" t="inlineStr">
        <is>
          <t>Spreading Screen - Visual Cue</t>
        </is>
      </c>
      <c r="C177" s="14" t="inlineStr">
        <is>
          <t>Change the text or value manually in the visual cue.</t>
        </is>
      </c>
      <c r="D177" s="14" t="inlineStr">
        <is>
          <t>The text or value should be updated to the manually adjusted input.</t>
        </is>
      </c>
      <c r="E177" s="366" t="inlineStr">
        <is>
          <t>Pending</t>
        </is>
      </c>
      <c r="F177" s="363" t="n"/>
      <c r="G177" s="366" t="inlineStr">
        <is>
          <t>Done</t>
        </is>
      </c>
      <c r="H177" s="363" t="n"/>
      <c r="I177" s="224" t="n"/>
    </row>
    <row r="178">
      <c r="A178" s="129" t="inlineStr">
        <is>
          <t>PDF_169</t>
        </is>
      </c>
      <c r="B178" s="14" t="inlineStr">
        <is>
          <t>Spreading Screen - Visual Cue</t>
        </is>
      </c>
      <c r="C178" s="14" t="inlineStr">
        <is>
          <t>Click the same text again after updating it.</t>
        </is>
      </c>
      <c r="D178" s="14" t="inlineStr">
        <is>
          <t>The updated text or value should be displayed in the visual cue.</t>
        </is>
      </c>
      <c r="E178" s="366" t="inlineStr">
        <is>
          <t>Pending</t>
        </is>
      </c>
      <c r="F178" s="363" t="n"/>
      <c r="G178" s="366" t="inlineStr">
        <is>
          <t>Done</t>
        </is>
      </c>
      <c r="H178" s="363" t="n"/>
      <c r="I178" s="224" t="n"/>
    </row>
    <row r="179">
      <c r="A179" s="129" t="inlineStr">
        <is>
          <t>PDF_170</t>
        </is>
      </c>
      <c r="B179" s="14" t="inlineStr">
        <is>
          <t>Spreading Screen - Visual Cue</t>
        </is>
      </c>
      <c r="C179" s="14" t="inlineStr">
        <is>
          <t>Click a value in the table.</t>
        </is>
      </c>
      <c r="D179" s="14" t="inlineStr">
        <is>
          <t>The selected value should be displayed in the visual cue.</t>
        </is>
      </c>
      <c r="E179" s="366" t="inlineStr">
        <is>
          <t>Pending</t>
        </is>
      </c>
      <c r="F179" s="363" t="n"/>
      <c r="G179" s="366" t="inlineStr">
        <is>
          <t>Done</t>
        </is>
      </c>
      <c r="H179" s="363" t="n"/>
      <c r="I179" s="224" t="n"/>
    </row>
    <row r="180" ht="24" customHeight="1">
      <c r="A180" s="129" t="inlineStr">
        <is>
          <t>PDF_171</t>
        </is>
      </c>
      <c r="B180" s="14" t="inlineStr">
        <is>
          <t>Spreading Screen - Visual Cue</t>
        </is>
      </c>
      <c r="C180" s="14" t="inlineStr">
        <is>
          <t>Update a value manually through the visual cue and map it to a cell in the model.</t>
        </is>
      </c>
      <c r="D180" s="14" t="inlineStr">
        <is>
          <t>A manual-entry icon should be displayed next to the cell, and the updated value should be mapped.</t>
        </is>
      </c>
      <c r="E180" s="366" t="inlineStr">
        <is>
          <t>Pending</t>
        </is>
      </c>
      <c r="F180" s="363" t="n"/>
      <c r="G180" s="366" t="inlineStr">
        <is>
          <t>Done</t>
        </is>
      </c>
      <c r="H180" s="363" t="n"/>
      <c r="I180" s="224" t="n"/>
    </row>
    <row r="181" ht="24" customHeight="1">
      <c r="A181" s="129" t="inlineStr">
        <is>
          <t>PDF_172</t>
        </is>
      </c>
      <c r="B181" s="14" t="inlineStr">
        <is>
          <t>Spreading Screen - Visual Cue</t>
        </is>
      </c>
      <c r="C181" s="14" t="inlineStr">
        <is>
          <t>Hover over the same mapped cell after the visual-cue update.</t>
        </is>
      </c>
      <c r="D181" s="14" t="inlineStr">
        <is>
          <t>The updated value should be displayed along with the manual-entry indication.</t>
        </is>
      </c>
      <c r="E181" s="366" t="inlineStr">
        <is>
          <t>Pending</t>
        </is>
      </c>
      <c r="F181" s="363" t="n"/>
      <c r="G181" s="366" t="inlineStr">
        <is>
          <t>Done</t>
        </is>
      </c>
      <c r="H181" s="363" t="n"/>
      <c r="I181" s="224" t="n"/>
    </row>
    <row r="182" ht="46.5" customHeight="1">
      <c r="A182" s="129" t="inlineStr">
        <is>
          <t>PDF_173</t>
        </is>
      </c>
      <c r="B182" s="14" t="inlineStr">
        <is>
          <t>Validations Popup</t>
        </is>
      </c>
      <c r="C182" s="14" t="inlineStr">
        <is>
          <t>Add a validation in the model in a format such as sum(A+B)&gt;=0, map values on the Spreading screen, open the Validation pop-up, and review the calculated value in both Pass and Fail tabs.</t>
        </is>
      </c>
      <c r="D182" s="14" t="inlineStr">
        <is>
          <t>The Validation pop-up should display the correct calculated value.</t>
        </is>
      </c>
      <c r="E182" s="366" t="inlineStr">
        <is>
          <t>Pending</t>
        </is>
      </c>
      <c r="F182" s="363" t="n">
        <v>79846</v>
      </c>
      <c r="G182" s="366" t="inlineStr">
        <is>
          <t>Done</t>
        </is>
      </c>
      <c r="H182" s="363" t="n"/>
      <c r="I182" s="224" t="n"/>
    </row>
    <row r="183">
      <c r="A183" s="365" t="inlineStr">
        <is>
          <t>PDF_174</t>
        </is>
      </c>
      <c r="B183" s="368" t="inlineStr">
        <is>
          <t>Base Ribbon Buttons</t>
        </is>
      </c>
      <c r="C183" s="14" t="inlineStr">
        <is>
          <t>Open the Base Spread by double-clicking it on the Spreading screen.</t>
        </is>
      </c>
      <c r="D183" s="14" t="inlineStr">
        <is>
          <t>The following buttons should be disabled:</t>
        </is>
      </c>
      <c r="E183" s="366" t="inlineStr">
        <is>
          <t>Pending</t>
        </is>
      </c>
      <c r="F183" s="363" t="n"/>
      <c r="G183" s="366" t="inlineStr">
        <is>
          <t>Done</t>
        </is>
      </c>
      <c r="H183" s="363" t="n"/>
      <c r="I183" s="126" t="n"/>
    </row>
    <row r="184">
      <c r="A184" s="399" t="n"/>
      <c r="B184" s="400" t="n"/>
      <c r="C184" s="14" t="inlineStr">
        <is>
          <t>Review the ribbon buttons.</t>
        </is>
      </c>
      <c r="D184" s="14" t="inlineStr">
        <is>
          <t>Detect Table / Draw Table</t>
        </is>
      </c>
      <c r="E184" s="366" t="inlineStr">
        <is>
          <t>Pending</t>
        </is>
      </c>
      <c r="F184" s="400" t="n"/>
      <c r="G184" s="400" t="n"/>
      <c r="H184" s="401" t="n"/>
      <c r="I184" s="402" t="n"/>
    </row>
    <row r="185">
      <c r="A185" s="399" t="n"/>
      <c r="B185" s="400" t="n"/>
      <c r="C185" s="14" t="inlineStr">
        <is>
          <t>Verify which ribbon buttons are disabled and which remain enabled.</t>
        </is>
      </c>
      <c r="D185" s="14" t="inlineStr">
        <is>
          <t>Edit Mode, Map Mode, Merge Mode</t>
        </is>
      </c>
      <c r="E185" s="366" t="inlineStr">
        <is>
          <t>Pending</t>
        </is>
      </c>
      <c r="F185" s="400" t="n"/>
      <c r="G185" s="400" t="n"/>
      <c r="H185" s="401" t="n"/>
      <c r="I185" s="402" t="n"/>
    </row>
    <row r="186">
      <c r="A186" s="399" t="n"/>
      <c r="B186" s="400" t="n"/>
      <c r="C186" s="14" t="n"/>
      <c r="D186" s="14" t="inlineStr">
        <is>
          <t>Clear Zone, Show/Hide Smart Fill</t>
        </is>
      </c>
      <c r="E186" s="366" t="inlineStr">
        <is>
          <t>Pending</t>
        </is>
      </c>
      <c r="F186" s="400" t="n"/>
      <c r="G186" s="400" t="n"/>
      <c r="H186" s="401" t="n"/>
      <c r="I186" s="402" t="n"/>
    </row>
    <row r="187">
      <c r="A187" s="399" t="n"/>
      <c r="B187" s="400" t="n"/>
      <c r="C187" s="14" t="n"/>
      <c r="D187" s="14" t="inlineStr">
        <is>
          <t>Error Log, Base Spread, Merge Pages, Clean File</t>
        </is>
      </c>
      <c r="E187" s="366" t="inlineStr">
        <is>
          <t>Pending</t>
        </is>
      </c>
      <c r="F187" s="400" t="n"/>
      <c r="G187" s="400" t="n"/>
      <c r="H187" s="401" t="n"/>
      <c r="I187" s="402" t="n"/>
    </row>
    <row r="188">
      <c r="A188" s="399" t="n"/>
      <c r="B188" s="400" t="n"/>
      <c r="C188" s="14" t="n"/>
      <c r="D188" s="14" t="inlineStr">
        <is>
          <t>Split, Customer Zone, Rotate</t>
        </is>
      </c>
      <c r="E188" s="366" t="inlineStr">
        <is>
          <t>Pending</t>
        </is>
      </c>
      <c r="F188" s="400" t="n"/>
      <c r="G188" s="400" t="n"/>
      <c r="H188" s="401" t="n"/>
      <c r="I188" s="402" t="n"/>
    </row>
    <row r="189">
      <c r="A189" s="399" t="n"/>
      <c r="B189" s="400" t="n"/>
      <c r="C189" s="14" t="n"/>
      <c r="D189" s="14" t="inlineStr">
        <is>
          <t>Load Spreads, Unit Scale, Conversion</t>
        </is>
      </c>
      <c r="E189" s="366" t="inlineStr">
        <is>
          <t>Pending</t>
        </is>
      </c>
      <c r="F189" s="400" t="n"/>
      <c r="G189" s="400" t="n"/>
      <c r="H189" s="401" t="n"/>
      <c r="I189" s="402" t="n"/>
    </row>
    <row r="190">
      <c r="A190" s="399" t="n"/>
      <c r="B190" s="400" t="n"/>
      <c r="C190" s="14" t="n"/>
      <c r="D190" s="14" t="inlineStr">
        <is>
          <t>Operator, Contra, Abs, Neg</t>
        </is>
      </c>
      <c r="E190" s="366" t="inlineStr">
        <is>
          <t>Pending</t>
        </is>
      </c>
      <c r="F190" s="400" t="n"/>
      <c r="G190" s="400" t="n"/>
      <c r="H190" s="401" t="n"/>
      <c r="I190" s="402" t="n"/>
    </row>
    <row r="191">
      <c r="A191" s="399" t="n"/>
      <c r="B191" s="400" t="n"/>
      <c r="C191" s="14" t="n"/>
      <c r="D191" s="14" t="inlineStr">
        <is>
          <t>Edit Model, Generate Comments</t>
        </is>
      </c>
      <c r="E191" s="366" t="inlineStr">
        <is>
          <t>Pending</t>
        </is>
      </c>
      <c r="F191" s="400" t="n"/>
      <c r="G191" s="400" t="n"/>
      <c r="H191" s="401" t="n"/>
      <c r="I191" s="402" t="n"/>
    </row>
    <row r="192">
      <c r="A192" s="399" t="n"/>
      <c r="B192" s="400" t="n"/>
      <c r="C192" s="14" t="n"/>
      <c r="D192" s="14" t="inlineStr">
        <is>
          <t>Autofill, Save as Draft, Submit for QC</t>
        </is>
      </c>
      <c r="E192" s="366" t="inlineStr">
        <is>
          <t>Pending</t>
        </is>
      </c>
      <c r="F192" s="400" t="n"/>
      <c r="G192" s="400" t="n"/>
      <c r="H192" s="401" t="n"/>
      <c r="I192" s="402" t="n"/>
    </row>
    <row r="193">
      <c r="A193" s="399" t="n"/>
      <c r="B193" s="400" t="n"/>
      <c r="C193" s="14" t="n"/>
      <c r="D193" s="14" t="inlineStr">
        <is>
          <t>Submit Spread</t>
        </is>
      </c>
      <c r="E193" s="366" t="inlineStr">
        <is>
          <t>Pending</t>
        </is>
      </c>
      <c r="F193" s="400" t="n"/>
      <c r="G193" s="400" t="n"/>
      <c r="H193" s="401" t="n"/>
      <c r="I193" s="402" t="n"/>
    </row>
    <row r="194">
      <c r="A194" s="399" t="n"/>
      <c r="B194" s="400" t="n"/>
      <c r="C194" s="14" t="n"/>
      <c r="D194" s="14" t="n"/>
      <c r="E194" s="366" t="inlineStr">
        <is>
          <t>Pending</t>
        </is>
      </c>
      <c r="F194" s="400" t="n"/>
      <c r="G194" s="400" t="n"/>
      <c r="H194" s="401" t="n"/>
      <c r="I194" s="402" t="n"/>
    </row>
    <row r="195">
      <c r="A195" s="399" t="n"/>
      <c r="B195" s="400" t="n"/>
      <c r="C195" s="14" t="n"/>
      <c r="D195" s="14" t="inlineStr">
        <is>
          <t>The following buttons should remain enabled:</t>
        </is>
      </c>
      <c r="E195" s="366" t="inlineStr">
        <is>
          <t>Pending</t>
        </is>
      </c>
      <c r="F195" s="400" t="n"/>
      <c r="G195" s="400" t="n"/>
      <c r="H195" s="401" t="n"/>
      <c r="I195" s="402" t="n"/>
    </row>
    <row r="196">
      <c r="A196" s="399" t="n"/>
      <c r="B196" s="400" t="n"/>
      <c r="C196" s="14" t="n"/>
      <c r="D196" s="14" t="inlineStr">
        <is>
          <t>Single Click, Document Navigation</t>
        </is>
      </c>
      <c r="E196" s="366" t="inlineStr">
        <is>
          <t>Pending</t>
        </is>
      </c>
      <c r="F196" s="400" t="n"/>
      <c r="G196" s="400" t="n"/>
      <c r="H196" s="401" t="n"/>
      <c r="I196" s="402" t="n"/>
    </row>
    <row r="197" ht="30" customHeight="1">
      <c r="A197" s="399" t="n"/>
      <c r="B197" s="400" t="n"/>
      <c r="C197" s="14" t="n"/>
      <c r="D197" s="14" t="inlineStr">
        <is>
          <t>Mapped Values - Delete should be disabled</t>
        </is>
      </c>
      <c r="E197" s="366" t="inlineStr">
        <is>
          <t>Pending</t>
        </is>
      </c>
      <c r="F197" s="400" t="n"/>
      <c r="G197" s="400" t="n"/>
      <c r="H197" s="401" t="n"/>
      <c r="I197" s="402" t="n"/>
    </row>
    <row r="198">
      <c r="A198" s="399" t="n"/>
      <c r="B198" s="400" t="n"/>
      <c r="C198" s="14" t="n"/>
      <c r="D198" s="14" t="inlineStr">
        <is>
          <t>Zone, Navigate Text, Links</t>
        </is>
      </c>
      <c r="E198" s="366" t="inlineStr">
        <is>
          <t>Pending</t>
        </is>
      </c>
      <c r="F198" s="400" t="n"/>
      <c r="G198" s="400" t="n"/>
      <c r="H198" s="401" t="n"/>
      <c r="I198" s="402" t="n"/>
    </row>
    <row r="199">
      <c r="A199" s="399" t="n"/>
      <c r="B199" s="400" t="n"/>
      <c r="C199" s="14" t="n"/>
      <c r="D199" s="14" t="inlineStr">
        <is>
          <t>Validation, Account Category</t>
        </is>
      </c>
      <c r="E199" s="366" t="inlineStr">
        <is>
          <t>Pending</t>
        </is>
      </c>
      <c r="F199" s="400" t="n"/>
      <c r="G199" s="400" t="n"/>
      <c r="H199" s="401" t="n"/>
      <c r="I199" s="402" t="n"/>
    </row>
    <row r="200" ht="30" customHeight="1">
      <c r="A200" s="399" t="n"/>
      <c r="B200" s="400" t="n"/>
      <c r="C200" s="14" t="n"/>
      <c r="D200" s="14" t="inlineStr">
        <is>
          <t>Mapped Cells - Delete should be disabled</t>
        </is>
      </c>
      <c r="E200" s="366" t="inlineStr">
        <is>
          <t>Pending</t>
        </is>
      </c>
      <c r="F200" s="400" t="n"/>
      <c r="G200" s="400" t="n"/>
      <c r="H200" s="401" t="n"/>
      <c r="I200" s="402" t="n"/>
    </row>
    <row r="201">
      <c r="A201" s="399" t="n"/>
      <c r="B201" s="400" t="n"/>
      <c r="C201" s="14" t="n"/>
      <c r="D201" s="14" t="inlineStr">
        <is>
          <t>Show Currency, Hide Unused, Show Variance</t>
        </is>
      </c>
      <c r="E201" s="366" t="inlineStr">
        <is>
          <t>Pending</t>
        </is>
      </c>
      <c r="F201" s="400" t="n"/>
      <c r="G201" s="400" t="n"/>
      <c r="H201" s="401" t="n"/>
      <c r="I201" s="402" t="n"/>
    </row>
    <row r="202">
      <c r="A202" s="403" t="n"/>
      <c r="B202" s="7" t="n"/>
      <c r="C202" s="14" t="n"/>
      <c r="D202" s="14" t="inlineStr">
        <is>
          <t>Zoom In/Out</t>
        </is>
      </c>
      <c r="E202" s="366" t="inlineStr">
        <is>
          <t>Pending</t>
        </is>
      </c>
      <c r="F202" s="7" t="n"/>
      <c r="G202" s="7" t="n"/>
      <c r="H202" s="148" t="n"/>
      <c r="I202" s="404" t="n"/>
    </row>
    <row r="203" ht="24" customHeight="1">
      <c r="A203" s="365" t="inlineStr">
        <is>
          <t>PDF_175</t>
        </is>
      </c>
      <c r="B203" s="363" t="inlineStr">
        <is>
          <t>Base Ribbon Buttons</t>
        </is>
      </c>
      <c r="C203" s="14" t="inlineStr">
        <is>
          <t>Open the Base Spread by double-clicking it on the Spreading screen.</t>
        </is>
      </c>
      <c r="D203" s="14" t="inlineStr">
        <is>
          <t>The user should be navigated to the Base Spread.</t>
        </is>
      </c>
      <c r="E203" s="366" t="inlineStr">
        <is>
          <t>Pending</t>
        </is>
      </c>
      <c r="F203" s="363" t="n"/>
      <c r="G203" s="367" t="inlineStr">
        <is>
          <t>Done</t>
        </is>
      </c>
      <c r="H203" s="363" t="n"/>
      <c r="I203" s="126" t="n"/>
    </row>
    <row r="204" ht="24" customHeight="1">
      <c r="A204" s="403" t="n"/>
      <c r="B204" s="7" t="n"/>
      <c r="C204" s="14" t="inlineStr">
        <is>
          <t>Click the disabled ribbon buttons.</t>
        </is>
      </c>
      <c r="D204" s="14" t="inlineStr">
        <is>
          <t>Disabled ribbon buttons should not be clickable and should not perform any action.</t>
        </is>
      </c>
      <c r="E204" s="366" t="inlineStr">
        <is>
          <t>Pending</t>
        </is>
      </c>
      <c r="F204" s="7" t="n"/>
      <c r="G204" s="7" t="n"/>
      <c r="H204" s="148" t="n"/>
      <c r="I204" s="404" t="n"/>
    </row>
    <row r="205" ht="72" customHeight="1">
      <c r="A205" s="129" t="inlineStr">
        <is>
          <t>PDF_176</t>
        </is>
      </c>
      <c r="B205" s="14" t="inlineStr">
        <is>
          <t>Matrix Zone</t>
        </is>
      </c>
      <c r="C205" s="14" t="inlineStr">
        <is>
          <t>Create a matrix zone, map values from rows, perform Submit and Continue, remove a data row in the matrix table where a value was mapped in the base spread, and then run Autofill on the current page.</t>
        </is>
      </c>
      <c r="D205" s="14" t="inlineStr">
        <is>
          <t>The matrix table should be created, the values should be mapped and submitted, and Autofill should work for all applicable rows except the removed data row.</t>
        </is>
      </c>
      <c r="E205" s="366" t="inlineStr">
        <is>
          <t>Pending</t>
        </is>
      </c>
      <c r="F205" s="181" t="inlineStr">
        <is>
          <t>BUG 102274</t>
        </is>
      </c>
      <c r="G205" s="366" t="inlineStr">
        <is>
          <t>Done</t>
        </is>
      </c>
      <c r="H205" s="14" t="n"/>
      <c r="I205" s="223" t="n"/>
    </row>
    <row r="206" ht="60" customHeight="1">
      <c r="A206" s="129" t="inlineStr">
        <is>
          <t>PDF_177</t>
        </is>
      </c>
      <c r="B206" s="14" t="inlineStr">
        <is>
          <t>Matrix Zone</t>
        </is>
      </c>
      <c r="C206" s="14" t="inlineStr">
        <is>
          <t>Create a matrix zone, map values from rows, perform Submit and Continue, run Autofill on the current page, and then review Mapped Values and Mapped Cells.</t>
        </is>
      </c>
      <c r="D206" s="14" t="inlineStr">
        <is>
          <t>The matrix table should be created, values should be mapped and submitted, Autofill should work correctly, and Mapped Values and Mapped Cells should show the correct line item and Header Row text for each value.</t>
        </is>
      </c>
      <c r="E206" s="366" t="inlineStr">
        <is>
          <t>Pending</t>
        </is>
      </c>
      <c r="F206" s="181" t="inlineStr">
        <is>
          <t>BUG 102322</t>
        </is>
      </c>
      <c r="G206" s="366" t="inlineStr">
        <is>
          <t>Done</t>
        </is>
      </c>
      <c r="H206" s="14" t="n"/>
      <c r="I206" s="223" t="n"/>
    </row>
    <row r="207" ht="46.5" customHeight="1">
      <c r="A207" s="129" t="inlineStr">
        <is>
          <t>PDF_178</t>
        </is>
      </c>
      <c r="B207" s="14" t="inlineStr">
        <is>
          <t>Autofill - On Build Upgrade</t>
        </is>
      </c>
      <c r="C207" s="14" t="inlineStr">
        <is>
          <t>Use an item submitted in a previous build with both free-text and table-based values. After a build upgrade, make the previous item the base and run Autofill. Then generate comments.</t>
        </is>
      </c>
      <c r="D207" s="14" t="inlineStr">
        <is>
          <t>Autofill should work correctly after the build upgrade, and comments should be generated successfully.</t>
        </is>
      </c>
      <c r="E207" s="366" t="inlineStr">
        <is>
          <t>Pending</t>
        </is>
      </c>
      <c r="F207" s="181" t="inlineStr">
        <is>
          <t>BUG 101775</t>
        </is>
      </c>
      <c r="G207" s="366" t="inlineStr">
        <is>
          <t>Done</t>
        </is>
      </c>
      <c r="H207" s="14" t="n"/>
      <c r="I207" s="223" t="n"/>
    </row>
    <row r="208" ht="42" customHeight="1">
      <c r="A208" s="129" t="inlineStr">
        <is>
          <t>PDF_179</t>
        </is>
      </c>
      <c r="B208" s="14" t="inlineStr">
        <is>
          <t>Bulk JSON - File Sequence Adjustment</t>
        </is>
      </c>
      <c r="C208" s="14" t="inlineStr">
        <is>
          <t>Add an item with two files, save it, open Modify Item, adjust the file sequence, update the item, and then review the item listing screen.</t>
        </is>
      </c>
      <c r="D208" s="14" t="inlineStr">
        <is>
          <t>The user should be able to add files and create the item. The file sequence should be updated successfully, and the bulk JSON process should restart.</t>
        </is>
      </c>
      <c r="E208" s="366" t="inlineStr">
        <is>
          <t>Pending</t>
        </is>
      </c>
      <c r="F208" s="181" t="inlineStr">
        <is>
          <t>BUG 101635</t>
        </is>
      </c>
      <c r="G208" s="366" t="inlineStr">
        <is>
          <t>Done</t>
        </is>
      </c>
      <c r="H208" s="14" t="n"/>
      <c r="I208" s="223" t="n"/>
    </row>
    <row r="209" ht="47.25" customHeight="1">
      <c r="A209" s="129" t="inlineStr">
        <is>
          <t>PDF_180</t>
        </is>
      </c>
      <c r="B209" s="14" t="inlineStr">
        <is>
          <t>Invalid Format Picture</t>
        </is>
      </c>
      <c r="C209" s="14" t="inlineStr">
        <is>
          <t>Click the profile picture, choose an invalid file format, upload it, review the warning pop-up, and then click the close icon.</t>
        </is>
      </c>
      <c r="D209" s="14" t="inlineStr">
        <is>
          <t>A warning pop-up should be displayed for the invalid profile picture format, and the pop-up should close when the close icon is clicked.</t>
        </is>
      </c>
      <c r="E209" s="366" t="inlineStr">
        <is>
          <t>Pending</t>
        </is>
      </c>
      <c r="F209" s="14" t="n"/>
      <c r="G209" s="366" t="inlineStr">
        <is>
          <t>Done</t>
        </is>
      </c>
      <c r="H209" s="14" t="n"/>
      <c r="I209" s="223" t="n"/>
    </row>
    <row r="210">
      <c r="A210" s="365" t="inlineStr">
        <is>
          <t>PDF_181</t>
        </is>
      </c>
      <c r="B210" s="368" t="inlineStr">
        <is>
          <t>Autofill</t>
        </is>
      </c>
      <c r="C210" s="14" t="inlineStr">
        <is>
          <t>Run Autofill using values from the base period, then map some additional values.</t>
        </is>
      </c>
      <c r="D210" s="368" t="inlineStr">
        <is>
          <t>Existing values or manually entered values should not be impacted.</t>
        </is>
      </c>
      <c r="E210" s="366" t="inlineStr">
        <is>
          <t>Pending</t>
        </is>
      </c>
      <c r="F210" s="363" t="inlineStr">
        <is>
          <t>BUG 103346</t>
        </is>
      </c>
      <c r="G210" s="367" t="inlineStr">
        <is>
          <t>Done</t>
        </is>
      </c>
      <c r="H210" s="363" t="n"/>
      <c r="I210" s="126" t="n"/>
    </row>
    <row r="211">
      <c r="A211" s="399" t="n"/>
      <c r="B211" s="400" t="n"/>
      <c r="C211" s="14" t="inlineStr">
        <is>
          <t>Enter a manual value in any cell, and then perform the following actions:</t>
        </is>
      </c>
      <c r="D211" s="400" t="n"/>
      <c r="E211" s="366" t="inlineStr">
        <is>
          <t>Pending</t>
        </is>
      </c>
      <c r="F211" s="400" t="n"/>
      <c r="G211" s="400" t="n"/>
      <c r="H211" s="401" t="n"/>
      <c r="I211" s="402" t="n"/>
    </row>
    <row r="212">
      <c r="A212" s="399" t="n"/>
      <c r="B212" s="400" t="n"/>
      <c r="C212" s="14" t="inlineStr">
        <is>
          <t>Set Value Column</t>
        </is>
      </c>
      <c r="D212" s="400" t="n"/>
      <c r="E212" s="366" t="inlineStr">
        <is>
          <t>Pending</t>
        </is>
      </c>
      <c r="F212" s="400" t="n"/>
      <c r="G212" s="400" t="n"/>
      <c r="H212" s="401" t="n"/>
      <c r="I212" s="402" t="n"/>
    </row>
    <row r="213">
      <c r="A213" s="399" t="n"/>
      <c r="B213" s="400" t="n"/>
      <c r="C213" s="14" t="inlineStr">
        <is>
          <t>Remove Value Column</t>
        </is>
      </c>
      <c r="D213" s="400" t="n"/>
      <c r="E213" s="366" t="inlineStr">
        <is>
          <t>Pending</t>
        </is>
      </c>
      <c r="F213" s="400" t="n"/>
      <c r="G213" s="400" t="n"/>
      <c r="H213" s="401" t="n"/>
      <c r="I213" s="402" t="n"/>
    </row>
    <row r="214">
      <c r="A214" s="399" t="n"/>
      <c r="B214" s="400" t="n"/>
      <c r="C214" s="14" t="inlineStr">
        <is>
          <t>Set Header Row</t>
        </is>
      </c>
      <c r="D214" s="400" t="n"/>
      <c r="E214" s="366" t="inlineStr">
        <is>
          <t>Pending</t>
        </is>
      </c>
      <c r="F214" s="400" t="n"/>
      <c r="G214" s="400" t="n"/>
      <c r="H214" s="401" t="n"/>
      <c r="I214" s="402" t="n"/>
    </row>
    <row r="215">
      <c r="A215" s="399" t="n"/>
      <c r="B215" s="400" t="n"/>
      <c r="C215" s="14" t="inlineStr">
        <is>
          <t>Remove Header Row</t>
        </is>
      </c>
      <c r="D215" s="400" t="n"/>
      <c r="E215" s="366" t="inlineStr">
        <is>
          <t>Pending</t>
        </is>
      </c>
      <c r="F215" s="400" t="n"/>
      <c r="G215" s="400" t="n"/>
      <c r="H215" s="401" t="n"/>
      <c r="I215" s="402" t="n"/>
    </row>
    <row r="216">
      <c r="A216" s="399" t="n"/>
      <c r="B216" s="400" t="n"/>
      <c r="C216" s="14" t="inlineStr">
        <is>
          <t>Set Data Row</t>
        </is>
      </c>
      <c r="D216" s="400" t="n"/>
      <c r="E216" s="366" t="inlineStr">
        <is>
          <t>Pending</t>
        </is>
      </c>
      <c r="F216" s="400" t="n"/>
      <c r="G216" s="400" t="n"/>
      <c r="H216" s="401" t="n"/>
      <c r="I216" s="402" t="n"/>
    </row>
    <row r="217">
      <c r="A217" s="399" t="n"/>
      <c r="B217" s="400" t="n"/>
      <c r="C217" s="14" t="inlineStr">
        <is>
          <t>Remove Data Row</t>
        </is>
      </c>
      <c r="D217" s="400" t="n"/>
      <c r="E217" s="366" t="inlineStr">
        <is>
          <t>Pending</t>
        </is>
      </c>
      <c r="F217" s="400" t="n"/>
      <c r="G217" s="400" t="n"/>
      <c r="H217" s="401" t="n"/>
      <c r="I217" s="402" t="n"/>
    </row>
    <row r="218">
      <c r="A218" s="399" t="n"/>
      <c r="B218" s="400" t="n"/>
      <c r="C218" s="14" t="inlineStr">
        <is>
          <t>Start Data Selection</t>
        </is>
      </c>
      <c r="D218" s="400" t="n"/>
      <c r="E218" s="366" t="inlineStr">
        <is>
          <t>Pending</t>
        </is>
      </c>
      <c r="F218" s="400" t="n"/>
      <c r="G218" s="400" t="n"/>
      <c r="H218" s="401" t="n"/>
      <c r="I218" s="402" t="n"/>
    </row>
    <row r="219">
      <c r="A219" s="399" t="n"/>
      <c r="B219" s="400" t="n"/>
      <c r="C219" s="14" t="inlineStr">
        <is>
          <t>End Data Selection</t>
        </is>
      </c>
      <c r="D219" s="400" t="n"/>
      <c r="E219" s="366" t="inlineStr">
        <is>
          <t>Pending</t>
        </is>
      </c>
      <c r="F219" s="400" t="n"/>
      <c r="G219" s="400" t="n"/>
      <c r="H219" s="401" t="n"/>
      <c r="I219" s="402" t="n"/>
    </row>
    <row r="220">
      <c r="A220" s="399" t="n"/>
      <c r="B220" s="400" t="n"/>
      <c r="C220" s="14" t="inlineStr">
        <is>
          <t>Clear Data Section</t>
        </is>
      </c>
      <c r="D220" s="400" t="n"/>
      <c r="E220" s="366" t="inlineStr">
        <is>
          <t>Pending</t>
        </is>
      </c>
      <c r="F220" s="400" t="n"/>
      <c r="G220" s="400" t="n"/>
      <c r="H220" s="401" t="n"/>
      <c r="I220" s="402" t="n"/>
    </row>
    <row r="221">
      <c r="A221" s="399" t="n"/>
      <c r="B221" s="400" t="n"/>
      <c r="C221" s="14" t="inlineStr">
        <is>
          <t>Switch to Edit Mode and resize the table</t>
        </is>
      </c>
      <c r="D221" s="400" t="n"/>
      <c r="E221" s="366" t="inlineStr">
        <is>
          <t>Pending</t>
        </is>
      </c>
      <c r="F221" s="400" t="n"/>
      <c r="G221" s="400" t="n"/>
      <c r="H221" s="401" t="n"/>
      <c r="I221" s="402" t="n"/>
    </row>
    <row r="222">
      <c r="A222" s="399" t="n"/>
      <c r="B222" s="400" t="n"/>
      <c r="C222" s="14" t="inlineStr">
        <is>
          <t>Clear Zone</t>
        </is>
      </c>
      <c r="D222" s="400" t="n"/>
      <c r="E222" s="366" t="inlineStr">
        <is>
          <t>Pending</t>
        </is>
      </c>
      <c r="F222" s="400" t="n"/>
      <c r="G222" s="400" t="n"/>
      <c r="H222" s="401" t="n"/>
      <c r="I222" s="402" t="n"/>
    </row>
    <row r="223">
      <c r="A223" s="403" t="n"/>
      <c r="B223" s="7" t="n"/>
      <c r="C223" s="14" t="inlineStr">
        <is>
          <t>Review the manual value and the other values.</t>
        </is>
      </c>
      <c r="D223" s="7" t="n"/>
      <c r="E223" s="366" t="inlineStr">
        <is>
          <t>Pending</t>
        </is>
      </c>
      <c r="F223" s="7" t="n"/>
      <c r="G223" s="7" t="n"/>
      <c r="H223" s="148" t="n"/>
      <c r="I223" s="404" t="n"/>
    </row>
    <row r="224" ht="60" customHeight="1">
      <c r="A224" s="187" t="inlineStr">
        <is>
          <t>PDF_182</t>
        </is>
      </c>
      <c r="B224" s="189" t="inlineStr">
        <is>
          <t>Base Template Autofill</t>
        </is>
      </c>
      <c r="C224" s="189" t="inlineStr">
        <is>
          <t>Use a base template with an expression such as Free text + free text + ABS(free text). Add an item with Template = Yes, run Autofill All Keywords so that only the first keyword is autofilled, and then map table-based values for the rest of the expression.</t>
        </is>
      </c>
      <c r="D224" s="189" t="inlineStr">
        <is>
          <t>The expression should not become corrupted when values from the table are mapped.</t>
        </is>
      </c>
      <c r="E224" s="79" t="inlineStr">
        <is>
          <t>Pending</t>
        </is>
      </c>
      <c r="F224" s="14" t="inlineStr">
        <is>
          <t xml:space="preserve">BUG 103121
BUG 104509
</t>
        </is>
      </c>
      <c r="G224" s="366" t="inlineStr">
        <is>
          <t>Done</t>
        </is>
      </c>
      <c r="H224" s="14" t="n"/>
      <c r="I224" s="223" t="n"/>
    </row>
    <row r="225" ht="60" customHeight="1">
      <c r="A225" s="187" t="inlineStr">
        <is>
          <t>PDF_183</t>
        </is>
      </c>
      <c r="B225" s="189" t="inlineStr">
        <is>
          <t>Base Template Autofill</t>
        </is>
      </c>
      <c r="C225" s="189" t="inlineStr">
        <is>
          <t>Use a base template with an expression such as Free text + free text + NEG(free text). Add an item with Template = Yes, run Autofill All Keywords so that only the first keyword is autofilled, and then map table-based values for the rest of the expression.</t>
        </is>
      </c>
      <c r="D225" s="189" t="inlineStr">
        <is>
          <t>The expression should not become corrupted when values from the table are mapped.</t>
        </is>
      </c>
      <c r="E225" s="79" t="inlineStr">
        <is>
          <t>Pending</t>
        </is>
      </c>
      <c r="F225" s="296" t="inlineStr">
        <is>
          <t>BUG 103121
BUG 104509</t>
        </is>
      </c>
      <c r="G225" s="366" t="inlineStr">
        <is>
          <t>Done</t>
        </is>
      </c>
      <c r="H225" s="14" t="n"/>
      <c r="I225" s="223" t="n"/>
    </row>
    <row r="226" ht="60" customHeight="1">
      <c r="A226" s="187" t="inlineStr">
        <is>
          <t>PDF_184</t>
        </is>
      </c>
      <c r="B226" s="189" t="inlineStr">
        <is>
          <t>Base Template Autofill</t>
        </is>
      </c>
      <c r="C226" s="189" t="inlineStr">
        <is>
          <t>Use a base template with an expression such as Free text + free text + Contra(free text). Add an item with Template = Yes, run Autofill All Keywords so that only the first keyword is autofilled, and then map table-based values for the rest of the expression.</t>
        </is>
      </c>
      <c r="D226" s="189" t="inlineStr">
        <is>
          <t>The expression should not become corrupted when values from the table are mapped.</t>
        </is>
      </c>
      <c r="E226" s="79" t="inlineStr">
        <is>
          <t>Pending</t>
        </is>
      </c>
      <c r="F226" s="296" t="inlineStr">
        <is>
          <t>BUG 103121
BUG 104509</t>
        </is>
      </c>
      <c r="G226" s="366" t="inlineStr">
        <is>
          <t>Done</t>
        </is>
      </c>
      <c r="H226" s="14" t="n"/>
      <c r="I226" s="223" t="n"/>
    </row>
    <row r="227" ht="82.5" customHeight="1">
      <c r="A227" s="225" t="inlineStr">
        <is>
          <t>PDF_185</t>
        </is>
      </c>
      <c r="B227" s="226" t="inlineStr">
        <is>
          <t>Spreading Screen - Newly Added</t>
        </is>
      </c>
      <c r="C227" s="227" t="inlineStr">
        <is>
          <t>Log in, open the Spreading screen, add multiple values, submit the spread, open Load Spread, and review the reported issue.</t>
        </is>
      </c>
      <c r="D227" s="226" t="inlineStr">
        <is>
          <t>Pagination should not be displayed.</t>
        </is>
      </c>
      <c r="E227" s="324" t="inlineStr">
        <is>
          <t>Pending</t>
        </is>
      </c>
      <c r="F227" s="83" t="inlineStr">
        <is>
          <t>138491 - bug id</t>
        </is>
      </c>
      <c r="G227" s="28" t="inlineStr">
        <is>
          <t>Pending</t>
        </is>
      </c>
      <c r="H227" s="21" t="n"/>
      <c r="I227" s="56" t="inlineStr">
        <is>
          <t>[Needs QA Review: original scenario description was unclear]</t>
        </is>
      </c>
    </row>
    <row r="228" ht="132" customHeight="1">
      <c r="A228" s="325" t="inlineStr">
        <is>
          <t>PDF_186</t>
        </is>
      </c>
      <c r="B228" s="326" t="inlineStr">
        <is>
          <t>Spreading Screen - Visual Cue Mapping Update</t>
        </is>
      </c>
      <c r="C228" s="327" t="inlineStr">
        <is>
          <t>1. Open the Spreading screen, detect a table, and add a zone.
2. Set a value column and map three values to a single model row.
3. Change one of the mapped values from the document side through the visual cue and then click the related model-side value.</t>
        </is>
      </c>
      <c r="D228" s="328" t="inlineStr">
        <is>
          <t>The edited value from the visual cue should be updated everywhere on the model side and should also be visible in the formula bar.</t>
        </is>
      </c>
      <c r="E228" s="322" t="inlineStr">
        <is>
          <t>Pending</t>
        </is>
      </c>
      <c r="F228" s="323" t="n"/>
      <c r="G228" s="322" t="inlineStr">
        <is>
          <t>Pending</t>
        </is>
      </c>
      <c r="H228" s="21" t="n"/>
      <c r="I228" s="56" t="inlineStr">
        <is>
          <t>Newly added 3/26/2026</t>
        </is>
      </c>
    </row>
  </sheetData>
  <mergeCells count="23">
    <mergeCell ref="G210:G223"/>
    <mergeCell ref="F183:F202"/>
    <mergeCell ref="A210:A223"/>
    <mergeCell ref="A183:A202"/>
    <mergeCell ref="A6:B6"/>
    <mergeCell ref="H183:I202"/>
    <mergeCell ref="H203:I204"/>
    <mergeCell ref="F210:F223"/>
    <mergeCell ref="A7:B7"/>
    <mergeCell ref="F203:F204"/>
    <mergeCell ref="A3:B3"/>
    <mergeCell ref="G183:G202"/>
    <mergeCell ref="B183:B202"/>
    <mergeCell ref="A2:E2"/>
    <mergeCell ref="A5:B5"/>
    <mergeCell ref="A203:A204"/>
    <mergeCell ref="A8:B8"/>
    <mergeCell ref="A4:B4"/>
    <mergeCell ref="B210:B223"/>
    <mergeCell ref="D210:D223"/>
    <mergeCell ref="G203:G204"/>
    <mergeCell ref="B203:B204"/>
    <mergeCell ref="H210:I223"/>
  </mergeCells>
  <conditionalFormatting sqref="C3">
    <cfRule type="expression" priority="164" dxfId="51" stopIfTrue="1">
      <formula>AND(COUNTIF(#REF!, C3)+COUNTIF(#REF!, C3)&gt;1,NOT(ISBLANK(C3)))</formula>
    </cfRule>
  </conditionalFormatting>
  <conditionalFormatting sqref="C4">
    <cfRule type="cellIs" priority="122" operator="lessThan" dxfId="10" stopIfTrue="1">
      <formula>1</formula>
    </cfRule>
  </conditionalFormatting>
  <conditionalFormatting sqref="C4:C8">
    <cfRule type="cellIs" priority="117" operator="greaterThan" dxfId="9" stopIfTrue="1">
      <formula>0</formula>
    </cfRule>
    <cfRule type="cellIs" priority="118" operator="greaterThan" dxfId="9" stopIfTrue="1">
      <formula>1</formula>
    </cfRule>
    <cfRule type="cellIs" priority="119" operator="greaterThan" dxfId="10" stopIfTrue="1">
      <formula>0</formula>
    </cfRule>
    <cfRule type="cellIs" priority="120" operator="greaterThan" dxfId="10" stopIfTrue="1">
      <formula>1</formula>
    </cfRule>
    <cfRule type="cellIs" priority="121" operator="equal" dxfId="9" stopIfTrue="1">
      <formula>$B$3</formula>
    </cfRule>
  </conditionalFormatting>
  <conditionalFormatting sqref="C5:C8">
    <cfRule type="cellIs" priority="110" operator="lessThan" dxfId="10" stopIfTrue="1">
      <formula>1</formula>
    </cfRule>
  </conditionalFormatting>
  <conditionalFormatting sqref="D4">
    <cfRule type="cellIs" priority="153" operator="equal" dxfId="9" stopIfTrue="1">
      <formula>1</formula>
    </cfRule>
    <cfRule type="cellIs" priority="154" operator="lessThan" dxfId="10" stopIfTrue="1">
      <formula>1</formula>
    </cfRule>
  </conditionalFormatting>
  <conditionalFormatting sqref="D5:D8">
    <cfRule type="cellIs" priority="124" operator="equal" dxfId="9" stopIfTrue="1">
      <formula>1</formula>
    </cfRule>
    <cfRule type="cellIs" priority="125" operator="lessThan" dxfId="10" stopIfTrue="1">
      <formula>1</formula>
    </cfRule>
    <cfRule type="cellIs" priority="126" operator="equal" dxfId="9" stopIfTrue="1">
      <formula>1</formula>
    </cfRule>
    <cfRule type="cellIs" priority="127" operator="lessThan" dxfId="10" stopIfTrue="1">
      <formula>1</formula>
    </cfRule>
  </conditionalFormatting>
  <conditionalFormatting sqref="D4:E4">
    <cfRule type="cellIs" priority="149" operator="equal" dxfId="9" stopIfTrue="1">
      <formula>1</formula>
    </cfRule>
    <cfRule type="cellIs" priority="150" operator="lessThan" dxfId="10" stopIfTrue="1">
      <formula>1</formula>
    </cfRule>
  </conditionalFormatting>
  <conditionalFormatting sqref="E4">
    <cfRule type="cellIs" priority="147" operator="equal" dxfId="9" stopIfTrue="1">
      <formula>1</formula>
    </cfRule>
    <cfRule type="cellIs" priority="148" operator="lessThan" dxfId="10" stopIfTrue="1">
      <formula>1</formula>
    </cfRule>
  </conditionalFormatting>
  <conditionalFormatting sqref="E5">
    <cfRule type="cellIs" priority="143" operator="greaterThan" dxfId="10" stopIfTrue="1">
      <formula>0</formula>
    </cfRule>
    <cfRule type="cellIs" priority="144" operator="equal" dxfId="9" stopIfTrue="1">
      <formula>0</formula>
    </cfRule>
    <cfRule type="cellIs" priority="145" operator="greaterThan" dxfId="10" stopIfTrue="1">
      <formula>0</formula>
    </cfRule>
    <cfRule type="cellIs" priority="146" operator="equal" dxfId="9" stopIfTrue="1">
      <formula>0</formula>
    </cfRule>
  </conditionalFormatting>
  <conditionalFormatting sqref="E6">
    <cfRule type="cellIs" priority="141" operator="equal" dxfId="9" stopIfTrue="1">
      <formula>0</formula>
    </cfRule>
    <cfRule type="cellIs" priority="142" operator="greaterThan" dxfId="22" stopIfTrue="1">
      <formula>0</formula>
    </cfRule>
  </conditionalFormatting>
  <conditionalFormatting sqref="E6:E7">
    <cfRule type="cellIs" priority="137" operator="equal" dxfId="9" stopIfTrue="1">
      <formula>0</formula>
    </cfRule>
    <cfRule type="cellIs" priority="138" operator="greaterThan" dxfId="22" stopIfTrue="1">
      <formula>0</formula>
    </cfRule>
  </conditionalFormatting>
  <conditionalFormatting sqref="E7:E8">
    <cfRule type="cellIs" priority="133" operator="equal" dxfId="9" stopIfTrue="1">
      <formula>0</formula>
    </cfRule>
    <cfRule type="cellIs" priority="134" operator="greaterThan" dxfId="22" stopIfTrue="1">
      <formula>0</formula>
    </cfRule>
  </conditionalFormatting>
  <conditionalFormatting sqref="E8">
    <cfRule type="cellIs" priority="131" operator="equal" dxfId="9" stopIfTrue="1">
      <formula>0</formula>
    </cfRule>
    <cfRule type="cellIs" priority="132" operator="greaterThan" dxfId="22" stopIfTrue="1">
      <formula>0</formula>
    </cfRule>
  </conditionalFormatting>
  <conditionalFormatting sqref="E10:E228">
    <cfRule type="cellIs" priority="17" operator="equal" dxfId="6" stopIfTrue="1">
      <formula>"NA"</formula>
    </cfRule>
    <cfRule type="cellIs" priority="18" operator="equal" dxfId="5" stopIfTrue="1">
      <formula>"Blocked"</formula>
    </cfRule>
    <cfRule type="cellIs" priority="19" operator="equal" dxfId="4" stopIfTrue="1">
      <formula>"Pending"</formula>
    </cfRule>
    <cfRule type="cellIs" priority="20" operator="equal" dxfId="0" stopIfTrue="1">
      <formula>"Passed"</formula>
    </cfRule>
    <cfRule type="cellIs" priority="21" operator="equal" dxfId="1" stopIfTrue="1">
      <formula>"Failed"</formula>
    </cfRule>
    <cfRule type="cellIs" priority="22" operator="equal" dxfId="1" stopIfTrue="1">
      <formula>"Fail"</formula>
    </cfRule>
    <cfRule type="cellIs" priority="23" operator="equal" dxfId="0" stopIfTrue="1">
      <formula>"Pass"</formula>
    </cfRule>
  </conditionalFormatting>
  <conditionalFormatting sqref="F5:F8">
    <cfRule type="cellIs" priority="83" operator="lessThan" dxfId="10" stopIfTrue="1">
      <formula>1</formula>
    </cfRule>
    <cfRule type="cellIs" priority="84" operator="greaterThan" dxfId="9" stopIfTrue="1">
      <formula>0</formula>
    </cfRule>
    <cfRule type="cellIs" priority="85" operator="greaterThan" dxfId="9" stopIfTrue="1">
      <formula>1</formula>
    </cfRule>
    <cfRule type="cellIs" priority="86" operator="greaterThan" dxfId="10" stopIfTrue="1">
      <formula>0</formula>
    </cfRule>
    <cfRule type="cellIs" priority="87" operator="greaterThan" dxfId="10" stopIfTrue="1">
      <formula>1</formula>
    </cfRule>
    <cfRule type="cellIs" priority="88" operator="equal" dxfId="9" stopIfTrue="1">
      <formula>$B$3</formula>
    </cfRule>
  </conditionalFormatting>
  <conditionalFormatting sqref="G10:G183 G203 G205:G210">
    <cfRule type="cellIs" priority="74" operator="equal" dxfId="0">
      <formula>"Done"</formula>
    </cfRule>
    <cfRule type="cellIs" priority="75" operator="equal" dxfId="7">
      <formula>"Pending"</formula>
    </cfRule>
    <cfRule type="cellIs" priority="76" operator="equal" dxfId="6" stopIfTrue="1">
      <formula>"NA"</formula>
    </cfRule>
    <cfRule type="cellIs" priority="77" operator="equal" dxfId="5" stopIfTrue="1">
      <formula>"Blocked"</formula>
    </cfRule>
    <cfRule type="cellIs" priority="78" operator="equal" dxfId="4" stopIfTrue="1">
      <formula>"Pending"</formula>
    </cfRule>
    <cfRule type="cellIs" priority="79" operator="equal" dxfId="0" stopIfTrue="1">
      <formula>"Passed"</formula>
    </cfRule>
    <cfRule type="cellIs" priority="80" operator="equal" dxfId="1" stopIfTrue="1">
      <formula>"Failed"</formula>
    </cfRule>
    <cfRule type="cellIs" priority="81" operator="equal" dxfId="1" stopIfTrue="1">
      <formula>"Fail"</formula>
    </cfRule>
    <cfRule type="cellIs" priority="82" operator="equal" dxfId="0" stopIfTrue="1">
      <formula>"Pass"</formula>
    </cfRule>
  </conditionalFormatting>
  <conditionalFormatting sqref="G224:G227">
    <cfRule type="cellIs" priority="8" operator="equal" dxfId="0">
      <formula>"Done"</formula>
    </cfRule>
    <cfRule type="cellIs" priority="9" operator="equal" dxfId="7">
      <formula>"Pending"</formula>
    </cfRule>
    <cfRule type="cellIs" priority="10" operator="equal" dxfId="6" stopIfTrue="1">
      <formula>"NA"</formula>
    </cfRule>
    <cfRule type="cellIs" priority="11" operator="equal" dxfId="5" stopIfTrue="1">
      <formula>"Blocked"</formula>
    </cfRule>
    <cfRule type="cellIs" priority="12" operator="equal" dxfId="4" stopIfTrue="1">
      <formula>"Pending"</formula>
    </cfRule>
    <cfRule type="cellIs" priority="13" operator="equal" dxfId="0" stopIfTrue="1">
      <formula>"Passed"</formula>
    </cfRule>
    <cfRule type="cellIs" priority="14" operator="equal" dxfId="1" stopIfTrue="1">
      <formula>"Failed"</formula>
    </cfRule>
    <cfRule type="cellIs" priority="15" operator="equal" dxfId="1" stopIfTrue="1">
      <formula>"Fail"</formula>
    </cfRule>
    <cfRule type="cellIs" priority="16" operator="equal" dxfId="0" stopIfTrue="1">
      <formula>"Pass"</formula>
    </cfRule>
  </conditionalFormatting>
  <conditionalFormatting sqref="G228">
    <cfRule type="cellIs" priority="1" operator="equal" dxfId="6" stopIfTrue="1">
      <formula>"NA"</formula>
    </cfRule>
    <cfRule type="cellIs" priority="2" operator="equal" dxfId="5" stopIfTrue="1">
      <formula>"Blocked"</formula>
    </cfRule>
    <cfRule type="cellIs" priority="3" operator="equal" dxfId="4" stopIfTrue="1">
      <formula>"Pending"</formula>
    </cfRule>
    <cfRule type="cellIs" priority="4" operator="equal" dxfId="0" stopIfTrue="1">
      <formula>"Passed"</formula>
    </cfRule>
    <cfRule type="cellIs" priority="5" operator="equal" dxfId="1" stopIfTrue="1">
      <formula>"Failed"</formula>
    </cfRule>
    <cfRule type="cellIs" priority="6" operator="equal" dxfId="1" stopIfTrue="1">
      <formula>"Fail"</formula>
    </cfRule>
    <cfRule type="cellIs" priority="7" operator="equal" dxfId="0" stopIfTrue="1">
      <formula>"Pass"</formula>
    </cfRule>
  </conditionalFormatting>
  <dataValidations count="2">
    <dataValidation sqref="E10:E228 G228" showDropDown="0" showInputMessage="1" showErrorMessage="1" allowBlank="1" type="list">
      <formula1>"Passed,Failed,Blocked,Pending,NA"</formula1>
    </dataValidation>
    <dataValidation sqref="G10:G183 G203 G205:G210 G224:G227" showDropDown="0" showInputMessage="1" showErrorMessage="1" allowBlank="1" type="list">
      <formula1>"Done,Blocked,Pending,Out of Scope"</formula1>
    </dataValidation>
  </dataValidations>
  <hyperlinks>
    <hyperlink xmlns:r="http://schemas.openxmlformats.org/officeDocument/2006/relationships" ref="F10" display="https://dev.azure.com/ITC-ProductPlatforms/Spreadsmart V2/_workitems/edit/78022" r:id="rId1"/>
    <hyperlink xmlns:r="http://schemas.openxmlformats.org/officeDocument/2006/relationships" ref="I149" r:id="rId2"/>
  </hyperlink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B2:H112"/>
  <sheetViews>
    <sheetView showGridLines="0" workbookViewId="0">
      <selection activeCell="D8" sqref="D8"/>
    </sheetView>
  </sheetViews>
  <sheetFormatPr baseColWidth="8" defaultRowHeight="15"/>
  <cols>
    <col width="5" customWidth="1" min="1" max="1"/>
    <col width="36.42578125" customWidth="1" min="3" max="3"/>
    <col width="79.140625" customWidth="1" min="4" max="4"/>
    <col width="49.7109375" customWidth="1" min="5" max="5"/>
    <col width="14.7109375" customWidth="1" min="7" max="8"/>
  </cols>
  <sheetData>
    <row r="1" ht="15.75" customHeight="1" thickBot="1"/>
    <row r="2" ht="15.75" customHeight="1" thickBot="1">
      <c r="B2" s="352" t="inlineStr">
        <is>
          <t>Test Case Summary</t>
        </is>
      </c>
      <c r="C2" s="389" t="n"/>
      <c r="D2" s="389" t="n"/>
      <c r="E2" s="389" t="n"/>
      <c r="F2" s="390" t="n"/>
    </row>
    <row r="3" ht="26.25" customHeight="1" thickBot="1">
      <c r="B3" s="352" t="inlineStr">
        <is>
          <t>Total Test Cases</t>
        </is>
      </c>
      <c r="C3" s="390" t="n"/>
      <c r="D3" s="47">
        <f>SUM(D4:D8)</f>
        <v/>
      </c>
      <c r="E3" s="352" t="inlineStr">
        <is>
          <t>Executed Tests</t>
        </is>
      </c>
      <c r="F3" s="352" t="inlineStr">
        <is>
          <t>Total Tests</t>
        </is>
      </c>
    </row>
    <row r="4" ht="15.75" customHeight="1" thickBot="1">
      <c r="B4" s="350" t="inlineStr">
        <is>
          <t>Passed</t>
        </is>
      </c>
      <c r="D4" s="52">
        <f>COUNTIF(F9:F1500,"Passed")</f>
        <v/>
      </c>
      <c r="E4" s="53">
        <f>IF(D4=0,,(D4/(D4+D5)))</f>
        <v/>
      </c>
      <c r="F4" s="51">
        <f>IF(D3=0,,(D4/D3))</f>
        <v/>
      </c>
    </row>
    <row r="5" ht="15.75" customHeight="1" thickBot="1">
      <c r="B5" s="350" t="inlineStr">
        <is>
          <t>Failed</t>
        </is>
      </c>
      <c r="D5" s="52">
        <f>COUNTIF(F9:F1500,"Failed")</f>
        <v/>
      </c>
      <c r="E5" s="53">
        <f>IF(D5=0,,(D5/(D5+D6)))</f>
        <v/>
      </c>
      <c r="F5" s="51">
        <f>IF(D3=0,,(D5/D3))</f>
        <v/>
      </c>
    </row>
    <row r="6" ht="15.75" customHeight="1" thickBot="1">
      <c r="B6" s="350" t="inlineStr">
        <is>
          <t>Blocked</t>
        </is>
      </c>
      <c r="D6" s="52">
        <f>COUNTIF(F9:F1500,"Blocked")</f>
        <v/>
      </c>
      <c r="E6" s="53">
        <f>IF(D6=0,,(D6/(D6+D7)))</f>
        <v/>
      </c>
      <c r="F6" s="51">
        <f>IF(D3=0,,(D6/D3))</f>
        <v/>
      </c>
    </row>
    <row r="7" ht="15.75" customHeight="1" thickBot="1">
      <c r="B7" s="350" t="inlineStr">
        <is>
          <t>Pending</t>
        </is>
      </c>
      <c r="D7" s="52">
        <f>COUNTIF(F9:F1500,"Pending")</f>
        <v/>
      </c>
      <c r="E7" s="53">
        <f>IF(D7=0,,(D7/(D7+D8)))</f>
        <v/>
      </c>
      <c r="F7" s="51">
        <f>IF(D3=0,,(D7/D3))</f>
        <v/>
      </c>
    </row>
    <row r="8" ht="15.75" customHeight="1" thickBot="1">
      <c r="B8" s="350" t="inlineStr">
        <is>
          <t>Not Applicable</t>
        </is>
      </c>
      <c r="D8" s="52">
        <f>COUNTIF(F9:F150,"Not Applicable")</f>
        <v/>
      </c>
      <c r="E8" s="53">
        <f>IF(D8=0,,(D8/(D8+#REF!)))</f>
        <v/>
      </c>
      <c r="F8" s="51">
        <f>IF(D3=0,,(D8/D3))</f>
        <v/>
      </c>
    </row>
    <row r="9" ht="15.75" customHeight="1" thickBot="1">
      <c r="B9" s="9" t="inlineStr">
        <is>
          <t>S.No.</t>
        </is>
      </c>
      <c r="C9" s="8" t="inlineStr">
        <is>
          <t>Module/Sub-Module</t>
        </is>
      </c>
      <c r="D9" s="10" t="inlineStr">
        <is>
          <t>Test Steps</t>
        </is>
      </c>
      <c r="E9" s="8" t="inlineStr">
        <is>
          <t>Expected Results</t>
        </is>
      </c>
      <c r="F9" s="8" t="inlineStr">
        <is>
          <t>Result</t>
        </is>
      </c>
      <c r="G9" s="8" t="inlineStr">
        <is>
          <t>Bug ID</t>
        </is>
      </c>
      <c r="H9" s="2" t="inlineStr">
        <is>
          <t>Comments</t>
        </is>
      </c>
    </row>
    <row r="10" ht="117.75" customHeight="1">
      <c r="B10" s="195" t="inlineStr">
        <is>
          <t>Excl_001</t>
        </is>
      </c>
      <c r="C10" s="195" t="inlineStr">
        <is>
          <t>Spreading screen - Landing Page</t>
        </is>
      </c>
      <c r="D10"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Click "Add Item" and proceed to the item details screen.
7. Add the remaining item details and save the item.</t>
        </is>
      </c>
      <c r="E10" s="195" t="inlineStr">
        <is>
          <t>The user should be able to create an item for an Excel file.</t>
        </is>
      </c>
      <c r="F10" s="26" t="inlineStr">
        <is>
          <t>Pending</t>
        </is>
      </c>
      <c r="G10" s="7" t="n"/>
      <c r="H10" s="55" t="n"/>
    </row>
    <row r="11" ht="120" customHeight="1">
      <c r="B11" s="195" t="inlineStr">
        <is>
          <t>Excl_002</t>
        </is>
      </c>
      <c r="C11" s="195" t="inlineStr">
        <is>
          <t>Spreading screen</t>
        </is>
      </c>
      <c r="D11"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Click "Add Item" and proceed to the item details screen.
7. Review the "Spread" action for created item and click it and it should navigate to Spreading screen.</t>
        </is>
      </c>
      <c r="E11" s="195" t="inlineStr">
        <is>
          <t>The Spreading screen should open.</t>
        </is>
      </c>
      <c r="F11" s="26" t="inlineStr">
        <is>
          <t>Pending</t>
        </is>
      </c>
      <c r="G11" s="3" t="n"/>
      <c r="H11" s="55" t="n"/>
    </row>
    <row r="12" ht="78" customHeight="1">
      <c r="B12" s="195" t="inlineStr">
        <is>
          <t>Excl_003</t>
        </is>
      </c>
      <c r="C12" s="195" t="inlineStr">
        <is>
          <t>Spreading screen - Drawtable</t>
        </is>
      </c>
      <c r="D12" s="195" t="inlineStr">
        <is>
          <t>Verify the Draw Table functionality under the primary category by performing the steps below:
1. Go to a tab where zone needs to be dropped in the left pane of the financial document on the Spreading screen.
2. Click Draw Table option under Primary Category.
3. Drag the cursor over the table for table creation.</t>
        </is>
      </c>
      <c r="E12" s="195" t="inlineStr">
        <is>
          <t>The user should be able to create a table by dragging the cursor.</t>
        </is>
      </c>
      <c r="F12" s="26" t="inlineStr">
        <is>
          <t>Pending</t>
        </is>
      </c>
      <c r="G12" s="3" t="n"/>
      <c r="H12" s="55" t="n"/>
    </row>
    <row r="13" ht="51" customHeight="1">
      <c r="B13" s="195" t="inlineStr">
        <is>
          <t>Excl_004</t>
        </is>
      </c>
      <c r="C13" s="195" t="inlineStr">
        <is>
          <t>Spreading screen - Tag Table</t>
        </is>
      </c>
      <c r="D13" s="195" t="inlineStr">
        <is>
          <t>Verify that the user can tag a table by opening the "Select Zone" dropdown in the toolbar and selecting the required tag or zone name.
Click the tick mark next to the zone dropdown to confirm the zone selection.</t>
        </is>
      </c>
      <c r="E13" s="195" t="inlineStr">
        <is>
          <t>The selected tag/zone name should be applied to the zone.</t>
        </is>
      </c>
      <c r="F13" s="26" t="inlineStr">
        <is>
          <t>Pending</t>
        </is>
      </c>
      <c r="G13" s="3" t="n"/>
      <c r="H13" s="55" t="n"/>
    </row>
    <row r="14" ht="51" customHeight="1">
      <c r="B14" s="196" t="inlineStr">
        <is>
          <t>Excl_005</t>
        </is>
      </c>
      <c r="C14" s="195" t="inlineStr">
        <is>
          <t>Spreading screen- Show/Hide Zone Name</t>
        </is>
      </c>
      <c r="D14" s="195" t="inlineStr">
        <is>
          <t>Open the Spreading screen and click Secondary Category.
Review the "Show/Hide Zone Name" option.
Verify that the user can show or hide the zone name after selecting the Show/Hide Zone Name option.</t>
        </is>
      </c>
      <c r="E14" s="195" t="inlineStr">
        <is>
          <t>The user should be able to show or hide the zone name.</t>
        </is>
      </c>
      <c r="F14" s="26" t="inlineStr">
        <is>
          <t>Pending</t>
        </is>
      </c>
      <c r="G14" s="3" t="n"/>
      <c r="H14" s="55" t="n"/>
    </row>
    <row r="15" ht="36" customHeight="1">
      <c r="B15" s="195" t="inlineStr">
        <is>
          <t>Excl_006</t>
        </is>
      </c>
      <c r="C15" s="195" t="inlineStr">
        <is>
          <t>Spreading screen - Line Item Column</t>
        </is>
      </c>
      <c r="D15" s="195" t="inlineStr">
        <is>
          <t>Verify that the system detects the line item column automatically.</t>
        </is>
      </c>
      <c r="E15" s="195" t="inlineStr">
        <is>
          <t>The selected line item column should be highlighted with a blue marker at the top.</t>
        </is>
      </c>
      <c r="F15" s="26" t="inlineStr">
        <is>
          <t>Pending</t>
        </is>
      </c>
      <c r="G15" s="3" t="n"/>
      <c r="H15" s="55" t="n"/>
    </row>
    <row r="16" ht="46.5" customHeight="1">
      <c r="B16" s="195" t="inlineStr">
        <is>
          <t>Excl_007</t>
        </is>
      </c>
      <c r="C16" s="195" t="inlineStr">
        <is>
          <t>Spreading screen - Set Value Column</t>
        </is>
      </c>
      <c r="D16" s="195" t="inlineStr">
        <is>
          <t>Verify that the user can set a value column by placing the cursor on the required column, right-clicking, and selecting Set Value Column from the context menu.</t>
        </is>
      </c>
      <c r="E16" s="195" t="inlineStr">
        <is>
          <t>The selected value column should be highlighted with a green marker at the top.</t>
        </is>
      </c>
      <c r="F16" s="26" t="inlineStr">
        <is>
          <t>Pending</t>
        </is>
      </c>
      <c r="G16" s="3" t="n"/>
      <c r="H16" s="55" t="n"/>
    </row>
    <row r="17" ht="45.75" customHeight="1">
      <c r="B17" s="195" t="inlineStr">
        <is>
          <t>Excl_008</t>
        </is>
      </c>
      <c r="C17" s="195" t="inlineStr">
        <is>
          <t>Spreading screen -Remove Value Column</t>
        </is>
      </c>
      <c r="D17" s="195" t="inlineStr">
        <is>
          <t>Verify that the value column can be removed when no values are mapped.
Verify that the value column can be removed when values are already mapped.</t>
        </is>
      </c>
      <c r="E17" s="195" t="inlineStr">
        <is>
          <t>1. The value column should be removed.
2. The mapped values should be added as free text when the value column is removed.</t>
        </is>
      </c>
      <c r="F17" s="26" t="inlineStr">
        <is>
          <t>Pending</t>
        </is>
      </c>
      <c r="G17" s="3" t="n"/>
      <c r="H17" s="55" t="n"/>
    </row>
    <row r="18" ht="24" customHeight="1">
      <c r="B18" s="195" t="inlineStr">
        <is>
          <t>Excl_009</t>
        </is>
      </c>
      <c r="C18" s="195" t="inlineStr">
        <is>
          <t>Spreading screen - Switch Value Column</t>
        </is>
      </c>
      <c r="D18" s="195" t="inlineStr">
        <is>
          <t>Verify that the value column can be switched and that Autofill uses the updated value column.</t>
        </is>
      </c>
      <c r="E18" s="195" t="inlineStr">
        <is>
          <t>The value column should be updated, and Autofill should use the selected value column for data.</t>
        </is>
      </c>
      <c r="F18" s="26" t="inlineStr">
        <is>
          <t>Pending</t>
        </is>
      </c>
      <c r="G18" s="3" t="n"/>
      <c r="H18" s="55" t="n"/>
    </row>
    <row r="19" ht="24" customHeight="1">
      <c r="B19" s="195" t="inlineStr">
        <is>
          <t>Excl_010</t>
        </is>
      </c>
      <c r="C19" s="195" t="inlineStr">
        <is>
          <t>Spreading screen - Visual Cue</t>
        </is>
      </c>
      <c r="D19" s="195" t="inlineStr">
        <is>
          <t>Verify that the user can select a value from the value column and review it in the visual cue.</t>
        </is>
      </c>
      <c r="E19" s="195" t="inlineStr">
        <is>
          <t>The selected value should be displayed in the visual cue.</t>
        </is>
      </c>
      <c r="F19" s="26" t="inlineStr">
        <is>
          <t>Pending</t>
        </is>
      </c>
      <c r="G19" s="3" t="n"/>
      <c r="H19" s="55" t="n"/>
    </row>
    <row r="20" ht="49.5" customHeight="1">
      <c r="B20" s="195" t="inlineStr">
        <is>
          <t>Excl_011</t>
        </is>
      </c>
      <c r="C20" s="195" t="inlineStr">
        <is>
          <t>Spreading screen - Optical Mapping</t>
        </is>
      </c>
      <c r="D20" s="195" t="inlineStr">
        <is>
          <t>Verify that the user can map a value from the financial statement to a model cell by single-clicking or double-clicking the value in the detected or drawn table.</t>
        </is>
      </c>
      <c r="E20" s="195" t="inlineStr">
        <is>
          <t>The value should be mapped to the model.</t>
        </is>
      </c>
      <c r="F20" s="26" t="inlineStr">
        <is>
          <t>Pending</t>
        </is>
      </c>
      <c r="G20" s="3" t="n"/>
      <c r="H20" s="55" t="n"/>
    </row>
    <row r="21" ht="187.5" customHeight="1">
      <c r="B21" s="195" t="inlineStr">
        <is>
          <t>Excl_012</t>
        </is>
      </c>
      <c r="C21" s="195" t="inlineStr">
        <is>
          <t>Spreading screen - Edit Mode</t>
        </is>
      </c>
      <c r="D21"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Click "Add Item" and proceed to the item details screen.
7. Verify the provision to remove columns and add columns in the detected table using Edit Mode by executing below steps:
Review the default open Primary Category having radio button with Map Mode enabled state.
Click enabled state Map Mode and view the Edit Mode is in enabled state.
User is perform action double-click the column which needs to be removed or Double click at position where column needs to be added.</t>
        </is>
      </c>
      <c r="E21" s="195" t="inlineStr">
        <is>
          <t>The column should be added or removed successfully.</t>
        </is>
      </c>
      <c r="F21" s="26" t="inlineStr">
        <is>
          <t>Pending</t>
        </is>
      </c>
      <c r="G21" s="3" t="n"/>
      <c r="H21" s="55" t="n"/>
    </row>
    <row r="22" ht="189" customHeight="1">
      <c r="B22" s="195" t="inlineStr">
        <is>
          <t>Excl_013</t>
        </is>
      </c>
      <c r="C22" s="195" t="inlineStr">
        <is>
          <t>Spreading screen - Single/Double Click Mapping Mode</t>
        </is>
      </c>
      <c r="D22"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Click "Add Item" and proceed to the item details screen.
7. Open the Spreading screen and view the "Utilities" icon and click it.
8. Verify Single-click mapping mode should be enabled by default for mapping. However, the user can change the mapping option by selecting a radio button.</t>
        </is>
      </c>
      <c r="E22" s="195" t="inlineStr">
        <is>
          <t>Single-click mapping mode should be enabled by default, and the user should be able to change the mapping mode.</t>
        </is>
      </c>
      <c r="F22" s="26" t="inlineStr">
        <is>
          <t>Pending</t>
        </is>
      </c>
      <c r="G22" s="3" t="n"/>
      <c r="H22" s="55" t="n"/>
    </row>
    <row r="23" ht="110.25" customHeight="1">
      <c r="B23" s="195" t="inlineStr">
        <is>
          <t>Excl_014</t>
        </is>
      </c>
      <c r="C23" s="195" t="inlineStr">
        <is>
          <t>Spreading screen - Merge Mode</t>
        </is>
      </c>
      <c r="D23" s="195" t="inlineStr">
        <is>
          <t>1. Open the Spreading screen.
2. Verify that the default primary category is open and Map Mode is enabled.
3. Click the enabled "Map Mode" radio button to switch to "Edit Mode".
4. Verify that the user can merge two consecutive rows in Merge Mode by selecting them and clicking Merge Row(s) from the right-click context menu.</t>
        </is>
      </c>
      <c r="E23" s="195" t="inlineStr">
        <is>
          <t>The selected rows should be merged.</t>
        </is>
      </c>
      <c r="F23" s="26" t="inlineStr">
        <is>
          <t>Pending</t>
        </is>
      </c>
      <c r="G23" s="3" t="n"/>
      <c r="H23" s="55" t="n"/>
    </row>
    <row r="24" ht="86.25" customHeight="1">
      <c r="B24" s="195" t="inlineStr">
        <is>
          <t>Excl_015</t>
        </is>
      </c>
      <c r="C24" s="195" t="inlineStr">
        <is>
          <t>Spreading screen - Split Rows</t>
        </is>
      </c>
      <c r="D24" s="195" t="inlineStr">
        <is>
          <t>1. Open the Spreading screen.
2. Verify that the default primary category is open and Map Mode is enabled.
3. Click the enabled "Map Mode" radio button to switch to "Edit Mode".
4. After merging the rows, verify that the merged row can be split by selecting it and clicking Split Row(s) from the right-click context menu.</t>
        </is>
      </c>
      <c r="E24" s="195" t="inlineStr">
        <is>
          <t>The merged rows should be split.</t>
        </is>
      </c>
      <c r="F24" s="26" t="inlineStr">
        <is>
          <t>Pending</t>
        </is>
      </c>
      <c r="G24" s="3" t="n"/>
      <c r="H24" s="55" t="n"/>
    </row>
    <row r="25" ht="141.75" customHeight="1">
      <c r="B25" s="195" t="inlineStr">
        <is>
          <t>Excl_016</t>
        </is>
      </c>
      <c r="C25" s="195" t="inlineStr">
        <is>
          <t>Spreading screen - Clear Zone</t>
        </is>
      </c>
      <c r="D25" s="195" t="inlineStr">
        <is>
          <t>1. Open the Spreading screen.
2. Review the default open the Primary Category with ribbon options.
3. Review the "detect table" option and click it for any table.
4. Review the table is detected and user select zone name and mapped the value in model side.
5. Review the zone name in left side under zone category with green tick and clear zone icon.
6. Review the "Clear zone" icon along with zone name with cross mark and click it.
7. Verify that the user can clear the zones from the current page as required.</t>
        </is>
      </c>
      <c r="E25" s="195" t="inlineStr">
        <is>
          <t>Clicking the Clear Zone icon should remove the green tick, reset it to grey, and remove the zone name, detected table structure, and mapped values from the model side.</t>
        </is>
      </c>
      <c r="F25" s="26" t="inlineStr">
        <is>
          <t>Pending</t>
        </is>
      </c>
      <c r="G25" s="3" t="n"/>
      <c r="H25" s="55" t="n"/>
    </row>
    <row r="26" ht="132" customHeight="1">
      <c r="B26" s="195" t="inlineStr">
        <is>
          <t>Excl_017</t>
        </is>
      </c>
      <c r="C26" s="195" t="inlineStr">
        <is>
          <t>Spreading screen - Mapped Value</t>
        </is>
      </c>
      <c r="D26" s="195" t="inlineStr">
        <is>
          <t>1. Open the Spreading screen.
2. Verify that the default primary category is open and Map Mode is enabled.
3. Verify that the mapped values can be viewed.
4. Review the detected table and then right-click any one of column and click "set value column" option and click respective value from column.
5. Select any value from the document column and map it in the model side.
6. Open the Navigation category and review the "Doc to Model" ribbon option.
7. Click the "Doc to Model" ribbon option.</t>
        </is>
      </c>
      <c r="E26" s="195" t="inlineStr">
        <is>
          <t>All Values mapped from the current page should be visible in the mapped values popup.</t>
        </is>
      </c>
      <c r="F26" s="26" t="inlineStr">
        <is>
          <t>Pending</t>
        </is>
      </c>
      <c r="G26" s="3" t="n"/>
      <c r="H26" s="55" t="n"/>
    </row>
    <row r="27" ht="120" customHeight="1">
      <c r="B27" s="195" t="inlineStr">
        <is>
          <t>Excl_018</t>
        </is>
      </c>
      <c r="C27" s="195" t="inlineStr">
        <is>
          <t>Spreading screen - Free Text Value Mapping</t>
        </is>
      </c>
      <c r="D27" s="195" t="inlineStr">
        <is>
          <t>1. Open the Spreading screen.
2. Review the default open the Primary Category and Map Mode radio button is enabled default.
3. Verify that the user can map a value from a paragraph while Map Mode is enabled on the page where the paragraph is present.
1. Verify that the Map Mode radio button is enabled under the primary category.
2. Review the selected value in the visual cue before mapping.
3. Map the value to the required cell in the model.</t>
        </is>
      </c>
      <c r="E27" s="195" t="inlineStr">
        <is>
          <t>Value outside the table should be mapped.</t>
        </is>
      </c>
      <c r="F27" s="26" t="inlineStr">
        <is>
          <t>Pending</t>
        </is>
      </c>
      <c r="G27" s="3" t="n"/>
      <c r="H27" s="55" t="n"/>
    </row>
    <row r="28" ht="142.5" customHeight="1">
      <c r="B28" s="195" t="inlineStr">
        <is>
          <t>Excl_019</t>
        </is>
      </c>
      <c r="C28" s="195" t="inlineStr">
        <is>
          <t>Spreading screen - Navigate Text</t>
        </is>
      </c>
      <c r="D28" s="195" t="inlineStr">
        <is>
          <t>1. Open the Spreading screen.
2. Review the default open the Primary Category and Map Mode radio button is enabled default.
3. Map the value from the document side to the model side while Map Mode is enabled.
4. Remove the value column using Set Value Column.
5. Open the Navigation category and review the "Navigate Text" ribbon option.
6. Click the "Navigate Text" ribbon option and verify that values mapped from paragraphs are visible in the Navigate Text - Mapping popup.
7. Verify that a popup appears and displays the values mapped from outside the table.</t>
        </is>
      </c>
      <c r="E28" s="195" t="inlineStr">
        <is>
          <t>Information should be displayed with Mapped value.</t>
        </is>
      </c>
      <c r="F28" s="26" t="inlineStr">
        <is>
          <t>Pending</t>
        </is>
      </c>
      <c r="G28" s="3" t="n"/>
      <c r="H28" s="55" t="n"/>
    </row>
    <row r="29" ht="98.25" customHeight="1">
      <c r="B29" s="193" t="inlineStr">
        <is>
          <t>Excl_020</t>
        </is>
      </c>
      <c r="C29" s="193" t="inlineStr">
        <is>
          <t>Spreading screen - Links</t>
        </is>
      </c>
      <c r="D29" s="193" t="inlineStr">
        <is>
          <t>Verify that the user can download the financial statements uploaded during item creation by clicking the Links button in the ribbon and then clicking the download button for each document.</t>
        </is>
      </c>
      <c r="E29" s="193" t="inlineStr">
        <is>
          <t>The file should be downloaded in the local system.</t>
        </is>
      </c>
      <c r="F29" s="26" t="inlineStr">
        <is>
          <t>Pending</t>
        </is>
      </c>
      <c r="G29" s="3" t="n"/>
      <c r="H29" s="55" t="n"/>
    </row>
    <row r="30" ht="135" customHeight="1">
      <c r="B30" s="195" t="inlineStr">
        <is>
          <t>Excl_021</t>
        </is>
      </c>
      <c r="C30" s="195" t="inlineStr">
        <is>
          <t>Spreading screen - Merge Pages</t>
        </is>
      </c>
      <c r="D30"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On the Spreading screen, open the Secondary Category menu.
7. Review the "Merge Pages" ribbon option under Secondary Category.</t>
        </is>
      </c>
      <c r="E30" s="195" t="inlineStr">
        <is>
          <t>The "Merge Pages" ribbon option should not be displayed for Excel files.</t>
        </is>
      </c>
      <c r="F30" s="26" t="inlineStr">
        <is>
          <t>Pending</t>
        </is>
      </c>
      <c r="G30" s="3" t="n"/>
      <c r="H30" s="55" t="n"/>
    </row>
    <row r="31" ht="157.5" customHeight="1">
      <c r="B31" s="195" t="inlineStr">
        <is>
          <t>Excl_022</t>
        </is>
      </c>
      <c r="C31" s="195" t="inlineStr">
        <is>
          <t>Spreading screen - Despeckle</t>
        </is>
      </c>
      <c r="D31"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On the Spreading screen, open the Secondary Category menu.
7. Review the "Clean Page" ribbon option under Secondary Category.</t>
        </is>
      </c>
      <c r="E31" s="195" t="inlineStr">
        <is>
          <t>The "Clean Page" ribbon option should not be displayed for Excel files.</t>
        </is>
      </c>
      <c r="F31" s="26" t="inlineStr">
        <is>
          <t>Pending</t>
        </is>
      </c>
      <c r="G31" s="3" t="n"/>
      <c r="H31" s="55" t="n"/>
    </row>
    <row r="32" ht="157.5" customHeight="1">
      <c r="B32" s="195" t="inlineStr">
        <is>
          <t>Excl_023</t>
        </is>
      </c>
      <c r="C32" s="195" t="inlineStr">
        <is>
          <t>Spreading screen - Split Window</t>
        </is>
      </c>
      <c r="D32"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On the Spreading screen, open the Secondary Category menu.
7. Review the "Split Window" ribbon option under Secondary Category.</t>
        </is>
      </c>
      <c r="E32" s="195" t="inlineStr">
        <is>
          <t>Values that have been picked from two different pages should be mapped to the cell of the model.</t>
        </is>
      </c>
      <c r="F32" s="26" t="inlineStr">
        <is>
          <t>Pending</t>
        </is>
      </c>
      <c r="G32" s="5" t="n">
        <v>70919</v>
      </c>
      <c r="H32" s="55" t="n"/>
    </row>
    <row r="33" ht="148.5" customHeight="1">
      <c r="B33" s="195" t="inlineStr">
        <is>
          <t>Excl_024</t>
        </is>
      </c>
      <c r="C33" s="195" t="inlineStr">
        <is>
          <t>Spreading screen - Close Split Pane</t>
        </is>
      </c>
      <c r="D33"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On the Spreading screen, open the Secondary Category menu.
7. Review the "Split Window" ribbon option under Secondary Category and excel page will be divided into two panes.
8. Verify Split panes view should get closed by click the Split button again.</t>
        </is>
      </c>
      <c r="E33" s="195" t="inlineStr">
        <is>
          <t>The normal document view should be displayed.</t>
        </is>
      </c>
      <c r="F33" s="26" t="inlineStr">
        <is>
          <t>Pending</t>
        </is>
      </c>
      <c r="G33" s="3" t="n"/>
      <c r="H33" s="55" t="n"/>
    </row>
    <row r="34" ht="203.25" customHeight="1">
      <c r="B34" s="195" t="inlineStr">
        <is>
          <t>Excl_025</t>
        </is>
      </c>
      <c r="C34" s="195" t="inlineStr">
        <is>
          <t>Spreading screen - Customer Zone</t>
        </is>
      </c>
      <c r="D34"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Navigate to Spreading screen and view the "Draw Table" option under default open Primary Category.
7. Click "Draw Table" and then select table and view the 'Select zone" is enabled in state.
8. Click "Select zone" dropdown field and view the "Add Customer Zone" button and click it.
9. Verify that the user can create a Customer Zone by clicking the add Customer Zone button and providing a name to the zone and clicking Add Zone button in the popup.</t>
        </is>
      </c>
      <c r="E34" s="195" t="inlineStr">
        <is>
          <t>The Customer Zone should be added to the list of zones.</t>
        </is>
      </c>
      <c r="F34" s="26" t="inlineStr">
        <is>
          <t>Pending</t>
        </is>
      </c>
      <c r="G34" s="3" t="n"/>
      <c r="H34" s="55" t="n"/>
    </row>
    <row r="35" ht="235.5" customHeight="1">
      <c r="B35" s="195" t="inlineStr">
        <is>
          <t>Excl_026</t>
        </is>
      </c>
      <c r="C35" s="195" t="inlineStr">
        <is>
          <t>Spreading screen - Mapping from Customer Zone</t>
        </is>
      </c>
      <c r="D35"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Navigate to Spreading screen and view the "Draw Table" option under default open Primary Category.
7. Click "Draw Table" and then select table and view the 'Select zone" is enabled in state.
8. Click "Select zone" dropdown field and view the "Add Customer Zone" button and click it and zone should be added.
9. Verify that the user can tag a zone with the Customer Zone and map the value to the model from the Customer Zone.
10. Draw a table.
11. Tag with Customer Zone name.
12. Specify value column and pick a value from the value column.
13. Map it to a cell of the model.</t>
        </is>
      </c>
      <c r="E35" s="195" t="inlineStr">
        <is>
          <t>Value from the Customer Zone should be mapped to a cell of the model.</t>
        </is>
      </c>
      <c r="F35" s="26" t="inlineStr">
        <is>
          <t>Pending</t>
        </is>
      </c>
      <c r="G35" s="3" t="n"/>
      <c r="H35" s="55" t="n"/>
    </row>
    <row r="36" ht="138" customHeight="1">
      <c r="B36" s="195" t="inlineStr">
        <is>
          <t>Excl_027</t>
        </is>
      </c>
      <c r="C36" s="195" t="inlineStr">
        <is>
          <t>Spreading screen - Rotate</t>
        </is>
      </c>
      <c r="D36"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On the Spreading screen, open the Secondary Category menu.
7. Review the "Rotate" ribbon option under Secondary Category.</t>
        </is>
      </c>
      <c r="E36" s="195" t="inlineStr">
        <is>
          <t>No "Rotate" ribbon option should be displayed and it should be hidden in case of excel files.</t>
        </is>
      </c>
      <c r="F36" s="26" t="inlineStr">
        <is>
          <t>Pending</t>
        </is>
      </c>
      <c r="G36" s="3" t="n"/>
      <c r="H36" s="55" t="n"/>
    </row>
    <row r="37" ht="63" customHeight="1">
      <c r="B37" s="193" t="inlineStr">
        <is>
          <t>Excl_028</t>
        </is>
      </c>
      <c r="C37" s="193" t="inlineStr">
        <is>
          <t>Spreading screen - Watermark</t>
        </is>
      </c>
      <c r="D37" s="193" t="inlineStr">
        <is>
          <t>Verify that Watermark option is disabled for Excel file.</t>
        </is>
      </c>
      <c r="E37" s="193" t="inlineStr">
        <is>
          <t>Option should be disabled.</t>
        </is>
      </c>
      <c r="F37" s="26" t="inlineStr">
        <is>
          <t>Pending</t>
        </is>
      </c>
      <c r="G37" s="3" t="inlineStr">
        <is>
          <t>Verified with Clean pdf.</t>
        </is>
      </c>
      <c r="H37" s="55" t="n"/>
    </row>
    <row r="38" ht="117.75" customHeight="1">
      <c r="B38" s="195" t="inlineStr">
        <is>
          <t>Excl_029</t>
        </is>
      </c>
      <c r="C38" s="195" t="inlineStr">
        <is>
          <t>Spreading screen - Information Icon (i)</t>
        </is>
      </c>
      <c r="D38"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Navigate to Spreading screen and view the "Info" icon in left corner near "Utilities" dropdown option and click it.
7. Base spread popup should get opened with all details.</t>
        </is>
      </c>
      <c r="E38" s="195" t="inlineStr">
        <is>
          <t>A popup should be visible with the details.</t>
        </is>
      </c>
      <c r="F38" s="26" t="inlineStr">
        <is>
          <t>Pending</t>
        </is>
      </c>
      <c r="G38" s="3" t="n"/>
      <c r="H38" s="55" t="n"/>
    </row>
    <row r="39" ht="150.75" customHeight="1">
      <c r="B39" s="195" t="inlineStr">
        <is>
          <t>Excl_030</t>
        </is>
      </c>
      <c r="C39" s="195" t="inlineStr">
        <is>
          <t>Spreading screen - Base Spread</t>
        </is>
      </c>
      <c r="D39"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Navigate to Spreading screen and view the "Utilities" dropdown option in left corner and then click it and user can see the "Base spread" option and click it.
7. Base spread popup should get opened with all details.
8. Verify that the user can change the base period by clicking the Base Spread button in the ribbon and selecting the relevant base in the popup.</t>
        </is>
      </c>
      <c r="E39" s="195" t="inlineStr">
        <is>
          <t>Values in the current period column should be removed and base period should get changed.</t>
        </is>
      </c>
      <c r="F39" s="26" t="inlineStr">
        <is>
          <t>Pending</t>
        </is>
      </c>
      <c r="G39" s="3" t="n"/>
      <c r="H39" s="55" t="n"/>
    </row>
    <row r="40" ht="168.75" customHeight="1">
      <c r="B40" s="195" t="inlineStr">
        <is>
          <t>Excl_031</t>
        </is>
      </c>
      <c r="C40" s="195" t="inlineStr">
        <is>
          <t>Spreading screen - Base Spread</t>
        </is>
      </c>
      <c r="D40"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Navigate to Spreading screen and view the "Utilities" dropdown option in left corner and then click it and user can see the "Base spread" option and click it.
7. Base spread popup should get opened with all details.
Precondition: At least 5-6 items should be available in spread state.
Launch Spreading screen &gt; click to change the base spread.
Select base spread from the list.
Then again repeat the steps for all the available base spreads.</t>
        </is>
      </c>
      <c r="E40" s="195" t="inlineStr">
        <is>
          <t>The user should be able to change the base spread.
When change the base spread, data for current should be reset.
The user should be able to set base spread mutiple times when changed.</t>
        </is>
      </c>
      <c r="F40" s="26" t="inlineStr">
        <is>
          <t>Pending</t>
        </is>
      </c>
      <c r="G40" s="3" t="n"/>
      <c r="H40" s="55" t="n"/>
    </row>
    <row r="41" ht="158.25" customHeight="1">
      <c r="B41" s="195" t="inlineStr">
        <is>
          <t>Excl_032</t>
        </is>
      </c>
      <c r="C41" s="195" t="inlineStr">
        <is>
          <t>Spreading screen - Base Spread</t>
        </is>
      </c>
      <c r="D41"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Navigate to Spreading screen and view the "Utilities" dropdown option in left corner and then click it and user can see the "Base spread" option and click it.
7. Base spread popup should get opened with all details.
8. Verify that once user change the base spread&gt;data should be reset.
Set zones again and autofill.</t>
        </is>
      </c>
      <c r="E41" s="195" t="inlineStr">
        <is>
          <t>The user should be able to autofill data as per the select base item.</t>
        </is>
      </c>
      <c r="F41" s="26" t="inlineStr">
        <is>
          <t>Pending</t>
        </is>
      </c>
      <c r="G41" s="3" t="n"/>
      <c r="H41" s="55" t="n"/>
    </row>
    <row r="42" ht="174.75" customHeight="1">
      <c r="B42" s="195" t="inlineStr">
        <is>
          <t>Excl_033</t>
        </is>
      </c>
      <c r="C42" s="195" t="inlineStr">
        <is>
          <t>Spreading screen - Base Spread</t>
        </is>
      </c>
      <c r="D42"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Navigate to Spreading screen and view the "Utilities" dropdown option in left corner and then click it and user can see the "Base spread" option and click it.
7. Base spread popup should get opened with all details.
8. Navigate to base spread &gt; click edit item button.
9. Make manual changes and save.
10. Try to map data from table &gt; observe.</t>
        </is>
      </c>
      <c r="E42" s="195" t="inlineStr">
        <is>
          <t>Edit button should show the popup to make changes to base spread.
Manual changes should be saved.
The user should not be able to map any values from table.</t>
        </is>
      </c>
      <c r="F42" s="26" t="inlineStr">
        <is>
          <t>Pending</t>
        </is>
      </c>
      <c r="G42" s="3" t="n"/>
      <c r="H42" s="55" t="n"/>
    </row>
    <row r="43" ht="201.75" customHeight="1">
      <c r="B43" s="195" t="inlineStr">
        <is>
          <t>Excl_034</t>
        </is>
      </c>
      <c r="C43" s="195" t="inlineStr">
        <is>
          <t>Spreading screen - Load Spreads</t>
        </is>
      </c>
      <c r="D43"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Navigate to Spreading screen and view the "Utilities" dropdown option in left corner and then click it and user can see the "Load spread" option and click it.
7. Load spread popup should get opened with all details.
8. Verify that the user can load the spreads pertaining to the customers in the model pane on the Spreading screen by clicking the Load Spread button and selecting spreads (maximum 18 spreads can be selected).</t>
        </is>
      </c>
      <c r="E43" s="195" t="inlineStr">
        <is>
          <t>All selected spreads should get rendered in the model pane on the Spreading screen.</t>
        </is>
      </c>
      <c r="F43" s="26" t="inlineStr">
        <is>
          <t>Pending</t>
        </is>
      </c>
      <c r="G43" s="3" t="n"/>
      <c r="H43" s="55" t="n"/>
    </row>
    <row r="44" ht="162.75" customHeight="1">
      <c r="B44" s="195" t="inlineStr">
        <is>
          <t>Excl_035</t>
        </is>
      </c>
      <c r="C44" s="195" t="inlineStr">
        <is>
          <t>Spreading screen - Load Spreads</t>
        </is>
      </c>
      <c r="D44"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Navigate to Spreading screen and view the "Utilities" dropdown option in left corner and then click it and user can see the "Load spread" option and click it.
7. Load spread popup should get opened with all details.
8. Verify that the user can edit the data in previous spread when view from Load spreads.
Enter manual values and save.</t>
        </is>
      </c>
      <c r="E44" s="195" t="inlineStr">
        <is>
          <t>The user should be able to enter manual enteries and save data.</t>
        </is>
      </c>
      <c r="F44" s="26" t="inlineStr">
        <is>
          <t>Pending</t>
        </is>
      </c>
      <c r="G44" s="3" t="n"/>
      <c r="H44" s="55" t="n"/>
    </row>
    <row r="45" ht="154.5" customHeight="1">
      <c r="B45" s="195" t="inlineStr">
        <is>
          <t>Excl_036</t>
        </is>
      </c>
      <c r="C45" s="195" t="inlineStr">
        <is>
          <t>Spreading screen - Load Spreads</t>
        </is>
      </c>
      <c r="D45"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Navigate to Spreading screen and view the "Utilities" dropdown option in left corner and then click it and user can see the "Load spread" option and click it.
7. Load spread popup should get opened with all details.
8. Verify edit is enabled for 5 items only, even when load maximum items.</t>
        </is>
      </c>
      <c r="E45" s="195" t="inlineStr">
        <is>
          <t>Edit should be availabel for 5 previous spreads, and current &amp; base.</t>
        </is>
      </c>
      <c r="F45" s="26" t="inlineStr">
        <is>
          <t>Pending</t>
        </is>
      </c>
      <c r="G45" s="3" t="n"/>
      <c r="H45" s="55" t="n"/>
    </row>
    <row r="46" ht="224.25" customHeight="1">
      <c r="B46" s="195" t="inlineStr">
        <is>
          <t>Excl_037</t>
        </is>
      </c>
      <c r="C46" s="195" t="inlineStr">
        <is>
          <t>Spreading screen - Load Spreads</t>
        </is>
      </c>
      <c r="D46"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Navigate to Spreading screen and view the "Utilities" dropdown option in left corner and then click it and user can see the "Load spread" option and click it.
7. Load spread popup should get opened with all details.
8. Verify that once user make changes in previous spread, submit spread should work in current spread.
9. Launch the spread where changes were made, and verify updated data.</t>
        </is>
      </c>
      <c r="E46" s="195" t="inlineStr">
        <is>
          <t>The user should be able to submit spread.
Changes should be reflected in the updated spread.</t>
        </is>
      </c>
      <c r="F46" s="26" t="inlineStr">
        <is>
          <t>Pending</t>
        </is>
      </c>
      <c r="G46" s="3" t="n"/>
      <c r="H46" s="55" t="n"/>
    </row>
    <row r="47" ht="147" customHeight="1">
      <c r="B47" s="195" t="inlineStr">
        <is>
          <t>Excl_038</t>
        </is>
      </c>
      <c r="C47" s="195" t="inlineStr">
        <is>
          <t>Spreading screen - Load Spreads</t>
        </is>
      </c>
      <c r="D47" s="195" t="inlineStr">
        <is>
          <t>1. Log in and navigate to the Dashboard page.
2. On the Dashboard page, click the Spreading tab and verify that the "Create Customer" text link is visible.
3. Click "Create Customer", enter the required details, and click Create.
4. On the Customer screen, verify that the "Add Item" button is visible and click it.
5. On the Add Item screen, upload the Excel file and enter values in all mandatory fields.
6. Navigate to Spreading screen and view the "Utilities" dropdown option in left corner and then click it and user can see the "Load spread" option and click it.
7. Load spread popup should get opened with all details.
8. Verify that when edit the previous spread and cancel/discard the changes, system should not reflect changes in original spread.</t>
        </is>
      </c>
      <c r="E47" s="195" t="inlineStr">
        <is>
          <t>Discard should work properly without breaking.</t>
        </is>
      </c>
      <c r="F47" s="26" t="inlineStr">
        <is>
          <t>Pending</t>
        </is>
      </c>
      <c r="G47" s="3" t="n"/>
      <c r="H47" s="55" t="n"/>
    </row>
    <row r="48" ht="51" customHeight="1">
      <c r="B48" s="195" t="inlineStr">
        <is>
          <t>Excl_039</t>
        </is>
      </c>
      <c r="C48" s="195" t="inlineStr">
        <is>
          <t>Spreading screen - Unit Scale</t>
        </is>
      </c>
      <c r="D48" s="195" t="inlineStr">
        <is>
          <t>Verify unit scale functionality by selecting any cell in the current column of the model and clicking any option available under Unit Scale button in the ribbon. The selected option should get applied to all those cells in which value can be mapped (cells with value as data type).</t>
        </is>
      </c>
      <c r="E48" s="195" t="inlineStr">
        <is>
          <t>Selected Unit Scale value should get applied to all value cells of the model.</t>
        </is>
      </c>
      <c r="F48" s="26" t="inlineStr">
        <is>
          <t>Pending</t>
        </is>
      </c>
      <c r="G48" s="3" t="n"/>
      <c r="H48" s="55" t="n"/>
    </row>
    <row r="49" ht="45" customHeight="1">
      <c r="B49" s="195" t="inlineStr">
        <is>
          <t>Excl_040</t>
        </is>
      </c>
      <c r="C49" s="195" t="inlineStr">
        <is>
          <t>Spreading screen - Conversion</t>
        </is>
      </c>
      <c r="D49" s="195" t="inlineStr">
        <is>
          <t>Verify Conversion functionality by selecting any cell in the current column of the model and clicking any option available under Conversion button in the ribbon. The selected option should get applied to the selected cell.</t>
        </is>
      </c>
      <c r="E49" s="195" t="inlineStr">
        <is>
          <t>Selected conversion value should get applied to the active cell of the model.</t>
        </is>
      </c>
      <c r="F49" s="26" t="inlineStr">
        <is>
          <t>Pending</t>
        </is>
      </c>
      <c r="G49" s="3" t="n"/>
      <c r="H49" s="55" t="n"/>
    </row>
    <row r="50" ht="54" customHeight="1">
      <c r="B50" s="195" t="inlineStr">
        <is>
          <t>Excl_041</t>
        </is>
      </c>
      <c r="C50" s="195" t="inlineStr">
        <is>
          <t>Spreading screen - Operator</t>
        </is>
      </c>
      <c r="D50" s="195" t="inlineStr">
        <is>
          <t>Verify operator functionality by selecting a cell of the model, placing a cursor in the expression available in the formula bar, selecting operator option in the operator ribbon, picking a value from the document and then mapping it to the active cell of the model.</t>
        </is>
      </c>
      <c r="E50" s="195" t="inlineStr">
        <is>
          <t>The selected operator should get applied.</t>
        </is>
      </c>
      <c r="F50" s="26" t="inlineStr">
        <is>
          <t>Pending</t>
        </is>
      </c>
      <c r="G50" s="3" t="n"/>
      <c r="H50" s="55" t="n"/>
    </row>
    <row r="51" ht="44.25" customHeight="1">
      <c r="B51" s="195" t="inlineStr">
        <is>
          <t>Excl_042</t>
        </is>
      </c>
      <c r="C51" s="195" t="inlineStr">
        <is>
          <t>Spreading screen - Contra</t>
        </is>
      </c>
      <c r="D51" s="195" t="inlineStr">
        <is>
          <t>Verify Contra functionality by selecting a cell of the model, placing a cursor in the expression available in the formula bar and clicking contra button in the ribbon.</t>
        </is>
      </c>
      <c r="E51" s="195" t="inlineStr">
        <is>
          <t>The contra should get applied.</t>
        </is>
      </c>
      <c r="F51" s="26" t="inlineStr">
        <is>
          <t>Pending</t>
        </is>
      </c>
      <c r="G51" s="3" t="n"/>
      <c r="H51" s="55" t="n"/>
    </row>
    <row r="52" ht="40.5" customHeight="1">
      <c r="B52" s="195" t="inlineStr">
        <is>
          <t>Excl_043</t>
        </is>
      </c>
      <c r="C52" s="195" t="inlineStr">
        <is>
          <t>Spreading screen - Absolute</t>
        </is>
      </c>
      <c r="D52" s="195" t="inlineStr">
        <is>
          <t>Verify Absolute functionality by selecting a cell of the model and clicking Absolute button in the ribbon.</t>
        </is>
      </c>
      <c r="E52" s="195" t="inlineStr">
        <is>
          <t>The absolute should get applied.</t>
        </is>
      </c>
      <c r="F52" s="26" t="inlineStr">
        <is>
          <t>Pending</t>
        </is>
      </c>
      <c r="G52" s="3" t="n"/>
      <c r="H52" s="55" t="n"/>
    </row>
    <row r="53" ht="33" customHeight="1">
      <c r="B53" s="195" t="inlineStr">
        <is>
          <t>Excl_044</t>
        </is>
      </c>
      <c r="C53" s="195" t="inlineStr">
        <is>
          <t>Spreading screen - Negative</t>
        </is>
      </c>
      <c r="D53" s="195" t="inlineStr">
        <is>
          <t>Verify Negative functionality by selecting a cell of the model and clicking Absolute button in the ribbon.</t>
        </is>
      </c>
      <c r="E53" s="195" t="inlineStr">
        <is>
          <t>The Negative should get applied.</t>
        </is>
      </c>
      <c r="F53" s="26" t="inlineStr">
        <is>
          <t>Pending</t>
        </is>
      </c>
      <c r="G53" s="3" t="n"/>
      <c r="H53" s="55" t="n"/>
    </row>
    <row r="54" ht="33.75" customHeight="1">
      <c r="B54" s="195" t="inlineStr">
        <is>
          <t>Excl_045</t>
        </is>
      </c>
      <c r="C54" s="195" t="inlineStr">
        <is>
          <t>Spreading screen - Account Category</t>
        </is>
      </c>
      <c r="D54" s="195" t="inlineStr">
        <is>
          <t>Verify that the user can navigate to the categories of the model by selecting an option in the account category ribbon.</t>
        </is>
      </c>
      <c r="E54" s="195" t="inlineStr">
        <is>
          <t>The user should be able to see the selected category at the top of the model rows.</t>
        </is>
      </c>
      <c r="F54" s="26" t="inlineStr">
        <is>
          <t>Pending</t>
        </is>
      </c>
      <c r="G54" s="3" t="n"/>
      <c r="H54" s="55" t="n"/>
    </row>
    <row r="55" ht="36" customHeight="1">
      <c r="B55" s="195" t="inlineStr">
        <is>
          <t>Excl_046</t>
        </is>
      </c>
      <c r="C55" s="195" t="inlineStr">
        <is>
          <t>Spreading screen - Show Currency</t>
        </is>
      </c>
      <c r="D55" s="195" t="inlineStr">
        <is>
          <t>Verify that the user can view the currency and unit columns on the Spreading screen by clicking the Show Currency button in the ribbon.</t>
        </is>
      </c>
      <c r="E55" s="195" t="inlineStr">
        <is>
          <t>Current and Unit Columns will be shown the model pane on the Spreading screen. Show Currency button name will get changed to Hide Currency button.</t>
        </is>
      </c>
      <c r="F55" s="26" t="inlineStr">
        <is>
          <t>Pending</t>
        </is>
      </c>
      <c r="G55" s="3" t="n"/>
      <c r="H55" s="55" t="n"/>
    </row>
    <row r="56" ht="24" customHeight="1">
      <c r="B56" s="195" t="inlineStr">
        <is>
          <t>Excl_047</t>
        </is>
      </c>
      <c r="C56" s="195" t="inlineStr">
        <is>
          <t>Spreading screen - Hide Currency</t>
        </is>
      </c>
      <c r="D56" s="195" t="inlineStr">
        <is>
          <t>Verify that the user can hide the currency and unit columns on the Spreading screen by clicking the Hide Currency button in the ribbon.</t>
        </is>
      </c>
      <c r="E56" s="195" t="inlineStr">
        <is>
          <t>Currency and Unit columns should get hidden.</t>
        </is>
      </c>
      <c r="F56" s="26" t="inlineStr">
        <is>
          <t>Pending</t>
        </is>
      </c>
      <c r="G56" s="3" t="n"/>
      <c r="H56" s="55" t="n"/>
    </row>
    <row r="57" ht="36" customHeight="1">
      <c r="B57" s="195" t="inlineStr">
        <is>
          <t>Excl_048</t>
        </is>
      </c>
      <c r="C57" s="195" t="inlineStr">
        <is>
          <t>Spreading screen - Hide Unused</t>
        </is>
      </c>
      <c r="D57" s="195" t="inlineStr">
        <is>
          <t>Verify that the user can view only those cells which has values by clicking the Hide Unused button in the ribbon.</t>
        </is>
      </c>
      <c r="E57" s="195" t="inlineStr">
        <is>
          <t>Only those cells will be visible in the model pane which have values. The Hide Unused button name will get changed to show unused.</t>
        </is>
      </c>
      <c r="F57" s="26" t="inlineStr">
        <is>
          <t>Pending</t>
        </is>
      </c>
      <c r="G57" s="3" t="n"/>
      <c r="H57" s="55" t="n"/>
    </row>
    <row r="58" ht="24" customHeight="1">
      <c r="B58" s="195" t="inlineStr">
        <is>
          <t>Excl_049</t>
        </is>
      </c>
      <c r="C58" s="195" t="inlineStr">
        <is>
          <t>Spreading screen - Show Unused</t>
        </is>
      </c>
      <c r="D58" s="195" t="inlineStr">
        <is>
          <t>Verify that the user can view all cells of the model irrespective of the values in it or not by clicking the Show Unused button.</t>
        </is>
      </c>
      <c r="E58" s="195" t="inlineStr">
        <is>
          <t>All cells of the model should be visible to the user.</t>
        </is>
      </c>
      <c r="F58" s="26" t="inlineStr">
        <is>
          <t>Pending</t>
        </is>
      </c>
      <c r="G58" s="3" t="n"/>
      <c r="H58" s="55" t="n"/>
    </row>
    <row r="59" ht="36" customHeight="1">
      <c r="B59" s="195" t="inlineStr">
        <is>
          <t>Excl_050</t>
        </is>
      </c>
      <c r="C59" s="195" t="inlineStr">
        <is>
          <t>Spreading screen - Show Variance</t>
        </is>
      </c>
      <c r="D59" s="195" t="inlineStr">
        <is>
          <t>Verify that the user can view variance between the values of the base and current column by clicking the Show Variance button in the ribbon.</t>
        </is>
      </c>
      <c r="E59" s="195" t="inlineStr">
        <is>
          <t>Variance column will appear in the model pane on the Spreading screen. Show Variance button name should get changed to Hide Variance.</t>
        </is>
      </c>
      <c r="F59" s="26" t="inlineStr">
        <is>
          <t>Pending</t>
        </is>
      </c>
      <c r="G59" s="3" t="n"/>
      <c r="H59" s="55" t="n"/>
    </row>
    <row r="60" ht="24" customHeight="1">
      <c r="B60" s="195" t="inlineStr">
        <is>
          <t>Excl_051</t>
        </is>
      </c>
      <c r="C60" s="195" t="inlineStr">
        <is>
          <t>Spreading screen - Hide Variance</t>
        </is>
      </c>
      <c r="D60" s="195" t="inlineStr">
        <is>
          <t>Verify clicking the Hide variance button in the ribbon should hide the variance column in the model pane on the Spreading screen.</t>
        </is>
      </c>
      <c r="E60" s="195" t="inlineStr">
        <is>
          <t>Variance column should be hidden.</t>
        </is>
      </c>
      <c r="F60" s="26" t="inlineStr">
        <is>
          <t>Pending</t>
        </is>
      </c>
      <c r="G60" s="3" t="n"/>
      <c r="H60" s="55" t="n"/>
    </row>
    <row r="61" ht="35.25" customHeight="1">
      <c r="B61" s="186" t="inlineStr">
        <is>
          <t>Excl_052</t>
        </is>
      </c>
      <c r="C61" s="186" t="inlineStr">
        <is>
          <t>Spreading screen - Mapped Cell</t>
        </is>
      </c>
      <c r="D61" s="186" t="inlineStr">
        <is>
          <t>Verify that the user can view the mapped values of the cell in the Mapped Cell Popup when click mapped cell and click mapped values ribbon button.</t>
        </is>
      </c>
      <c r="E61" s="186" t="inlineStr">
        <is>
          <t>Mapped Value popup should show the mapping of the current cell.</t>
        </is>
      </c>
      <c r="F61" s="26" t="inlineStr">
        <is>
          <t>Pending</t>
        </is>
      </c>
      <c r="G61" s="3" t="n"/>
      <c r="H61" s="55" t="n"/>
    </row>
    <row r="62" ht="24" customHeight="1">
      <c r="B62" s="186" t="inlineStr">
        <is>
          <t>Excl_053</t>
        </is>
      </c>
      <c r="C62" s="186" t="inlineStr">
        <is>
          <t>Spreading screen - Edit Model</t>
        </is>
      </c>
      <c r="D62" s="186" t="inlineStr">
        <is>
          <t>Verify Edit Model in the ribbon should be disabled/hidden on the Spreading screen and Insert row above, below and relabel line items options in the context menu should be hidden.</t>
        </is>
      </c>
      <c r="E62" s="186" t="inlineStr">
        <is>
          <t>The user should not be able to edit the model on the Spreading screen.</t>
        </is>
      </c>
      <c r="F62" s="26" t="inlineStr">
        <is>
          <t>Pending</t>
        </is>
      </c>
      <c r="G62" s="3" t="n"/>
      <c r="H62" s="55" t="n"/>
    </row>
    <row r="63" ht="27.75" customHeight="1">
      <c r="B63" s="195" t="inlineStr">
        <is>
          <t>Excl_054</t>
        </is>
      </c>
      <c r="C63" s="195" t="inlineStr">
        <is>
          <t>Spreading screen - Generate Comments</t>
        </is>
      </c>
      <c r="D63" s="195" t="inlineStr">
        <is>
          <t>Verify that the user can generate comments for the cells which have valued mapped from the document by clicking the generate comment button.</t>
        </is>
      </c>
      <c r="E63" s="195" t="inlineStr">
        <is>
          <t>Comment should get generated for the cells which have mapped values.</t>
        </is>
      </c>
      <c r="F63" s="26" t="inlineStr">
        <is>
          <t>Pending</t>
        </is>
      </c>
      <c r="G63" s="3" t="n"/>
      <c r="H63" s="55" t="n"/>
    </row>
    <row r="64" ht="36" customHeight="1">
      <c r="B64" s="195" t="inlineStr">
        <is>
          <t>Excl_055</t>
        </is>
      </c>
      <c r="C64" s="195" t="inlineStr">
        <is>
          <t>Spreading screen -Remove Comments</t>
        </is>
      </c>
      <c r="D64" s="195" t="inlineStr">
        <is>
          <t>Once user generate comments, generate comments option should be changed to Remove comments.
Click remove comments&gt;it should remove the comments.</t>
        </is>
      </c>
      <c r="E64" s="195" t="inlineStr">
        <is>
          <t>The user should be able to remove comments.</t>
        </is>
      </c>
      <c r="F64" s="26" t="inlineStr">
        <is>
          <t>Pending</t>
        </is>
      </c>
      <c r="G64" s="3" t="n"/>
      <c r="H64" s="55" t="n"/>
    </row>
    <row r="65" ht="33" customHeight="1">
      <c r="B65" s="195" t="inlineStr">
        <is>
          <t>Excl_056</t>
        </is>
      </c>
      <c r="C65" s="195" t="inlineStr">
        <is>
          <t>Spreading screen - Zoom</t>
        </is>
      </c>
      <c r="D65" s="195" t="inlineStr">
        <is>
          <t>Verify that the user can zoom in and out the model using zoom button in the ribbon.</t>
        </is>
      </c>
      <c r="E65" s="195" t="inlineStr">
        <is>
          <t>The model pane size should get adjusted.</t>
        </is>
      </c>
      <c r="F65" s="26" t="inlineStr">
        <is>
          <t>Pending</t>
        </is>
      </c>
      <c r="G65" s="3" t="n"/>
      <c r="H65" s="55" t="n"/>
    </row>
    <row r="66" ht="33.75" customHeight="1">
      <c r="B66" s="195" t="inlineStr">
        <is>
          <t>Excl_057</t>
        </is>
      </c>
      <c r="C66" s="195" t="inlineStr">
        <is>
          <t>Spreading screen - Autofill - First Time Spread</t>
        </is>
      </c>
      <c r="D66" s="195" t="inlineStr">
        <is>
          <t>Verify autofill option should be disabled for the first time spreading (in case there is no base period or template available).</t>
        </is>
      </c>
      <c r="E66" s="195" t="inlineStr">
        <is>
          <t>Autofill button in the ribbon should be disabled.</t>
        </is>
      </c>
      <c r="F66" s="26" t="inlineStr">
        <is>
          <t>Pending</t>
        </is>
      </c>
      <c r="G66" s="3" t="n"/>
      <c r="H66" s="55" t="n"/>
    </row>
    <row r="67" ht="27" customHeight="1">
      <c r="B67" s="195" t="inlineStr">
        <is>
          <t>Excl_058</t>
        </is>
      </c>
      <c r="C67" s="195" t="inlineStr">
        <is>
          <t>Spreading screen - Autofill</t>
        </is>
      </c>
      <c r="D67" s="195" t="inlineStr">
        <is>
          <t>Verify that the user can autofill the values in the current spread basis the mapping done in the base spread.</t>
        </is>
      </c>
      <c r="E67" s="195" t="inlineStr">
        <is>
          <t>Autofill should happen and autofill button in the ribbon should get disabled.</t>
        </is>
      </c>
      <c r="F67" s="26" t="inlineStr">
        <is>
          <t>Pending</t>
        </is>
      </c>
      <c r="G67" s="3" t="n"/>
      <c r="H67" s="55" t="n"/>
    </row>
    <row r="68">
      <c r="B68" s="195" t="inlineStr">
        <is>
          <t>Excl_059</t>
        </is>
      </c>
      <c r="C68" s="195" t="inlineStr">
        <is>
          <t>Spreading screen - Autofill</t>
        </is>
      </c>
      <c r="D68" s="195" t="inlineStr">
        <is>
          <t>Verify Auto fill button should get enabled upon detecting/drawing a new zone in the document.</t>
        </is>
      </c>
      <c r="E68" s="195" t="inlineStr">
        <is>
          <t>Autofill should get enabled for new zones.</t>
        </is>
      </c>
      <c r="F68" s="26" t="inlineStr">
        <is>
          <t>Pending</t>
        </is>
      </c>
      <c r="G68" s="3" t="n"/>
      <c r="H68" s="55" t="n"/>
    </row>
    <row r="69">
      <c r="B69" s="195" t="inlineStr">
        <is>
          <t>Excl_060</t>
        </is>
      </c>
      <c r="C69" s="195" t="inlineStr">
        <is>
          <t>Spreading screen - Save as Draft</t>
        </is>
      </c>
      <c r="D69" s="195" t="inlineStr">
        <is>
          <t>Verify that the user can save the values of the spread by clicking save as draft button in the ribbon.</t>
        </is>
      </c>
      <c r="E69" s="195" t="inlineStr">
        <is>
          <t>The spread should get saved.</t>
        </is>
      </c>
      <c r="F69" s="26" t="inlineStr">
        <is>
          <t>Pending</t>
        </is>
      </c>
      <c r="G69" s="3" t="n"/>
      <c r="H69" s="55" t="n"/>
    </row>
    <row r="70" ht="30" customHeight="1">
      <c r="B70" s="195" t="inlineStr">
        <is>
          <t>Excl_061</t>
        </is>
      </c>
      <c r="C70" s="195" t="inlineStr">
        <is>
          <t>Spreading screen - Submit Spread</t>
        </is>
      </c>
      <c r="D70" s="195" t="inlineStr">
        <is>
          <t>Verify that the user can submit the spread by clicking the submit spread button in the ribbon and providing comments in the ribbon.</t>
        </is>
      </c>
      <c r="E70" s="195" t="inlineStr">
        <is>
          <t>The spread should get submitted with the provided comments.</t>
        </is>
      </c>
      <c r="F70" s="26" t="inlineStr">
        <is>
          <t>Pending</t>
        </is>
      </c>
      <c r="G70" s="3" t="n"/>
      <c r="H70" s="55" t="n"/>
    </row>
    <row r="71" ht="36" customHeight="1">
      <c r="B71" s="195" t="inlineStr">
        <is>
          <t>Excl_062</t>
        </is>
      </c>
      <c r="C71" s="195" t="inlineStr">
        <is>
          <t>Spreading screen - Validation</t>
        </is>
      </c>
      <c r="D71" s="195" t="inlineStr">
        <is>
          <t>The following tabs should be visible to the user in the validtaion popup:
Spreadsmart – Tab will be disabled if no validations are there and if there are any validations then number of failed validations to be shown on top along with name.</t>
        </is>
      </c>
      <c r="E71" s="195" t="inlineStr">
        <is>
          <t>Validation popup will be shown with required details.</t>
        </is>
      </c>
      <c r="F71" s="26" t="inlineStr">
        <is>
          <t>Pending</t>
        </is>
      </c>
      <c r="G71" s="3" t="n"/>
      <c r="H71" s="55" t="n"/>
    </row>
    <row r="72" ht="48" customHeight="1">
      <c r="B72" s="195" t="inlineStr">
        <is>
          <t>Excl_063</t>
        </is>
      </c>
      <c r="C72" s="195" t="inlineStr">
        <is>
          <t>Spreading screen - Autofill</t>
        </is>
      </c>
      <c r="D72" s="195" t="inlineStr">
        <is>
          <t>Verify Autofill should only work for the zones which have been tagged in the document. In case zone is cleared and put again, zone should be considered as new zone being dropped. This would enable the autofill button. Upon clicking autofill, NA in the expression as per the expression of the base spread would be replaced with values mapped from the new zone.</t>
        </is>
      </c>
      <c r="E72" s="195" t="inlineStr">
        <is>
          <t>Autofill should work for the zones which have been cleared and put again.</t>
        </is>
      </c>
      <c r="F72" s="26" t="inlineStr">
        <is>
          <t>Pending</t>
        </is>
      </c>
      <c r="G72" s="3" t="n"/>
      <c r="H72" s="55" t="n"/>
    </row>
    <row r="73" ht="72" customHeight="1">
      <c r="B73" s="195" t="inlineStr">
        <is>
          <t>Excl_064</t>
        </is>
      </c>
      <c r="C73" s="195" t="inlineStr">
        <is>
          <t>Spreading screen - Autofill</t>
        </is>
      </c>
      <c r="D73" s="195" t="inlineStr">
        <is>
          <t>Verify that the expression should get loaded for only those cells which got auto filled from the dropped zones when the user explicitly clicked Auto fill.
1. Specify a value column in the tagged zone.
2. Click Autofill.
3. The model cells which have been autofilled from the tagged zone should have expression as per base period.</t>
        </is>
      </c>
      <c r="E73" s="195" t="inlineStr">
        <is>
          <t>Expression will only get loaded for the cells which have been autofilled upon clicking the autofill button.</t>
        </is>
      </c>
      <c r="F73" s="26" t="inlineStr">
        <is>
          <t>Pending</t>
        </is>
      </c>
      <c r="G73" s="3" t="n"/>
      <c r="H73" s="55" t="n"/>
    </row>
    <row r="74" ht="57.75" customHeight="1">
      <c r="B74" s="13" t="inlineStr">
        <is>
          <t>Excl_065</t>
        </is>
      </c>
      <c r="C74" s="13" t="inlineStr">
        <is>
          <t>Spreading screen - Autofill</t>
        </is>
      </c>
      <c r="D74" s="13" t="inlineStr">
        <is>
          <t>Verify if multiply or divide operators are available in the expression &amp; the mapped value is missing then the missing value should be replaced with NA in the auto filled expression. #VALUE should be shown in the cell as the expression should not get computed with NA.</t>
        </is>
      </c>
      <c r="E74" s="13" t="inlineStr">
        <is>
          <t>Missing values in the expression should get replaced with NA.</t>
        </is>
      </c>
      <c r="F74" s="26" t="inlineStr">
        <is>
          <t>Pending</t>
        </is>
      </c>
      <c r="G74" s="3" t="n"/>
      <c r="H74" s="55" t="n"/>
    </row>
    <row r="75" ht="42" customHeight="1">
      <c r="B75" s="13" t="inlineStr">
        <is>
          <t>Excl_066</t>
        </is>
      </c>
      <c r="C75" s="13" t="inlineStr">
        <is>
          <t>Spreading screen - Autofill</t>
        </is>
      </c>
      <c r="D75" s="13" t="inlineStr">
        <is>
          <t>If only Plus and minus operators are available in the expression &amp; the mapped values is missing, then the expression should be automatically adjusted in auto fill.</t>
        </is>
      </c>
      <c r="E75" s="13" t="inlineStr">
        <is>
          <t>Expression should get automatically adjusted in the case expression has plus and minus operator only.</t>
        </is>
      </c>
      <c r="F75" s="26" t="inlineStr">
        <is>
          <t>Pending</t>
        </is>
      </c>
      <c r="G75" s="3" t="n"/>
      <c r="H75" s="55" t="n"/>
    </row>
    <row r="76" ht="78.75" customHeight="1">
      <c r="B76" s="13" t="inlineStr">
        <is>
          <t>Excl_067</t>
        </is>
      </c>
      <c r="C76" s="13" t="inlineStr">
        <is>
          <t>Spreading screen - Autofill</t>
        </is>
      </c>
      <c r="D76" s="13" t="inlineStr">
        <is>
          <t>Verify Adding Data Column/Removing Data Column/switching data column/Clearing Zone/Deleting Zone would consider the zone as new &amp; process the zone again and replace the values with NA in the expression in case of * and /operators. This would enable the Autofill button and when autofill is pressed, NA which had come about due to zone being dropped would start to be replaced with the zone values.</t>
        </is>
      </c>
      <c r="E76" s="13" t="inlineStr">
        <is>
          <t>The zone which is considered new should be autofilled again.</t>
        </is>
      </c>
      <c r="F76" s="26" t="inlineStr">
        <is>
          <t>Pending</t>
        </is>
      </c>
      <c r="G76" s="3" t="n"/>
      <c r="H76" s="55" t="n"/>
    </row>
    <row r="77" ht="24" customHeight="1">
      <c r="B77" s="13" t="inlineStr">
        <is>
          <t>Excl_068</t>
        </is>
      </c>
      <c r="C77" s="13" t="inlineStr">
        <is>
          <t>Spreading screen - Autofill</t>
        </is>
      </c>
      <c r="D77" s="13" t="inlineStr">
        <is>
          <t>Verify Detecting a new zone/adding the missing zone/clearing the already tagged zone should enable the Autofill button.</t>
        </is>
      </c>
      <c r="E77" s="13" t="inlineStr">
        <is>
          <t>Autofill button in the ribbon should get enabled.</t>
        </is>
      </c>
      <c r="F77" s="26" t="inlineStr">
        <is>
          <t>Pending</t>
        </is>
      </c>
      <c r="G77" s="3" t="n"/>
      <c r="H77" s="55" t="n"/>
    </row>
    <row r="78" ht="24" customHeight="1">
      <c r="B78" s="13" t="inlineStr">
        <is>
          <t>Excl_069</t>
        </is>
      </c>
      <c r="C78" s="13" t="inlineStr">
        <is>
          <t>Spreading screen - Autofill</t>
        </is>
      </c>
      <c r="D78" s="13" t="inlineStr">
        <is>
          <t>Verify Clicking the Clear Zone button should include the NA in the expression as per the expression built in the base spread.</t>
        </is>
      </c>
      <c r="E78" s="13" t="inlineStr">
        <is>
          <t>NA should come in place of mapped value which has been mapped from the cleared zone.</t>
        </is>
      </c>
      <c r="F78" s="26" t="inlineStr">
        <is>
          <t>Pending</t>
        </is>
      </c>
      <c r="G78" s="3" t="n"/>
      <c r="H78" s="55" t="n"/>
    </row>
    <row r="79" ht="24" customHeight="1">
      <c r="B79" s="13" t="inlineStr">
        <is>
          <t>Excl_070</t>
        </is>
      </c>
      <c r="C79" s="13" t="inlineStr">
        <is>
          <t>Spreading screen - Autofill</t>
        </is>
      </c>
      <c r="D79" s="13" t="inlineStr">
        <is>
          <t>Verify If the user mapped a new value in the cell which was not a part of the expression of the base spread, then system should retain the newly mapped value upon subsequent auto fill.</t>
        </is>
      </c>
      <c r="E79" s="13" t="inlineStr">
        <is>
          <t>Newly mapped value which is not part of base expression should be retained upon clicking autofill again.</t>
        </is>
      </c>
      <c r="F79" s="26" t="inlineStr">
        <is>
          <t>Pending</t>
        </is>
      </c>
      <c r="G79" s="3" t="n"/>
      <c r="H79" s="55" t="n"/>
    </row>
    <row r="80" ht="24" customHeight="1">
      <c r="B80" s="13" t="inlineStr">
        <is>
          <t>Excl_071</t>
        </is>
      </c>
      <c r="C80" s="13" t="inlineStr">
        <is>
          <t>Spreading screen - Edit Spread</t>
        </is>
      </c>
      <c r="D80" s="13" t="inlineStr">
        <is>
          <t>Verify that the user can edit the base spread by selecting the column and clicking Edit Spread button.</t>
        </is>
      </c>
      <c r="E80" s="13" t="inlineStr">
        <is>
          <t>The selected base spread should get enabled for editing and current spread should get saved.</t>
        </is>
      </c>
      <c r="F80" s="26" t="inlineStr">
        <is>
          <t>Pending</t>
        </is>
      </c>
      <c r="G80" s="3" t="n"/>
      <c r="H80" s="55" t="n"/>
    </row>
    <row r="81">
      <c r="B81" s="13" t="inlineStr">
        <is>
          <t>Excl_072</t>
        </is>
      </c>
      <c r="C81" s="13" t="inlineStr">
        <is>
          <t>Spreading screen - Edit Spread</t>
        </is>
      </c>
      <c r="D81" s="13" t="inlineStr">
        <is>
          <t>Verify that the user can make changes in the base spread manually.</t>
        </is>
      </c>
      <c r="E81" s="13" t="inlineStr">
        <is>
          <t>Only manual changes should be allowed in base spread.</t>
        </is>
      </c>
      <c r="F81" s="26" t="inlineStr">
        <is>
          <t>Pending</t>
        </is>
      </c>
      <c r="G81" s="3" t="n"/>
      <c r="H81" s="55" t="n"/>
    </row>
    <row r="82" ht="24" customHeight="1">
      <c r="B82" s="13" t="inlineStr">
        <is>
          <t>Excl_073</t>
        </is>
      </c>
      <c r="C82" s="13" t="inlineStr">
        <is>
          <t>Spreading screen - Autofill</t>
        </is>
      </c>
      <c r="D82" s="13" t="inlineStr">
        <is>
          <t>Verify Spreadsmart should remember the expressions where ribbon tools have been applied.</t>
        </is>
      </c>
      <c r="E82" s="13" t="inlineStr">
        <is>
          <t>The cells which have functions applied from ribbon should be remembered by system in autofill.</t>
        </is>
      </c>
      <c r="F82" s="26" t="inlineStr">
        <is>
          <t>Pending</t>
        </is>
      </c>
      <c r="G82" s="3" t="n"/>
      <c r="H82" s="55" t="n"/>
    </row>
    <row r="83">
      <c r="B83" s="13" t="inlineStr">
        <is>
          <t>Excl_074</t>
        </is>
      </c>
      <c r="C83" s="13" t="inlineStr">
        <is>
          <t>Spreading screen - Autofill</t>
        </is>
      </c>
      <c r="D83" s="13" t="inlineStr">
        <is>
          <t>Verify Unit scale operation should not be remembered in auto fill.</t>
        </is>
      </c>
      <c r="E83" s="13" t="inlineStr">
        <is>
          <t>Unit Scale should not get applied to the cells upon autofill.</t>
        </is>
      </c>
      <c r="F83" s="26" t="inlineStr">
        <is>
          <t>Pending</t>
        </is>
      </c>
      <c r="G83" s="3" t="n"/>
      <c r="H83" s="55" t="n"/>
    </row>
    <row r="84">
      <c r="B84" s="13" t="inlineStr">
        <is>
          <t>Excl_075</t>
        </is>
      </c>
      <c r="C84" s="13" t="inlineStr">
        <is>
          <t>Spreading screen - Visual Cue Editing</t>
        </is>
      </c>
      <c r="D84" s="13" t="inlineStr">
        <is>
          <t>Spreadsmart should remember the changes made to the visual cue to the line item in auto fill.</t>
        </is>
      </c>
      <c r="E84" s="13" t="inlineStr">
        <is>
          <t>Visual cue changes should be remembered in autofill.</t>
        </is>
      </c>
      <c r="F84" s="26" t="inlineStr">
        <is>
          <t>Pending</t>
        </is>
      </c>
      <c r="G84" s="3" t="n"/>
      <c r="H84" s="55" t="n"/>
    </row>
    <row r="85" ht="36" customHeight="1">
      <c r="B85" s="13" t="inlineStr">
        <is>
          <t>Excl_076</t>
        </is>
      </c>
      <c r="C85" s="13" t="inlineStr">
        <is>
          <t>Spreading screen - Count of Value Column</t>
        </is>
      </c>
      <c r="D85" s="13" t="inlineStr">
        <is>
          <t>In Base Spreading, only one value column has been specified (say VC1) but in the subsequent spreading two value columns (say VC1 and VC2) have been specified, then values of the value column 1 should be auto filled only.</t>
        </is>
      </c>
      <c r="E85" s="13" t="inlineStr">
        <is>
          <t>Autofill should happen for only one value column.</t>
        </is>
      </c>
      <c r="F85" s="26" t="inlineStr">
        <is>
          <t>Pending</t>
        </is>
      </c>
      <c r="G85" s="3" t="n"/>
      <c r="H85" s="55" t="n"/>
    </row>
    <row r="86" ht="60" customHeight="1">
      <c r="B86" s="13" t="inlineStr">
        <is>
          <t>Excl_077</t>
        </is>
      </c>
      <c r="C86" s="13" t="inlineStr">
        <is>
          <t>Spreading screen - Count of Value Column</t>
        </is>
      </c>
      <c r="D86" s="13" t="inlineStr">
        <is>
          <t>Verify In Base Spreading, two value columns have been specified (say VC1 and VC2) but in the subsequent spreading only one value column (say VC1) has been specified, then only VC1 values would be auto filled in the subsequent spread while VC2 values would be replaced with NA. (same rule applies, NA if we have '*' and '/' operators and expression calculation if we have '+' and '-' operators).</t>
        </is>
      </c>
      <c r="E86" s="13" t="inlineStr">
        <is>
          <t>Autofill should happen for only one value column.</t>
        </is>
      </c>
      <c r="F86" s="26" t="inlineStr">
        <is>
          <t>Pending</t>
        </is>
      </c>
      <c r="G86" s="3" t="n"/>
      <c r="H86" s="55" t="n"/>
    </row>
    <row r="87" ht="30.75" customHeight="1">
      <c r="B87" s="195" t="inlineStr">
        <is>
          <t>Excl_078</t>
        </is>
      </c>
      <c r="C87" s="195" t="inlineStr">
        <is>
          <t>Spreading screen - Switch Between Current and Base Tab</t>
        </is>
      </c>
      <c r="D87" s="195" t="inlineStr">
        <is>
          <t>Verify that the user can switch between current and base tabs on the Spreading screen by click the tab name.</t>
        </is>
      </c>
      <c r="E87" s="195" t="inlineStr">
        <is>
          <t>The user should be able to switch between tabs.</t>
        </is>
      </c>
      <c r="F87" s="26" t="inlineStr">
        <is>
          <t>Pending</t>
        </is>
      </c>
      <c r="G87" s="3" t="n"/>
      <c r="H87" s="55" t="n"/>
    </row>
    <row r="88">
      <c r="B88" s="195" t="inlineStr">
        <is>
          <t>Excl_079</t>
        </is>
      </c>
      <c r="C88" s="195" t="inlineStr">
        <is>
          <t>Spreading screen - Search</t>
        </is>
      </c>
      <c r="D88" s="195" t="inlineStr">
        <is>
          <t>Verify that the user can search within a workbook.</t>
        </is>
      </c>
      <c r="E88" s="195" t="inlineStr">
        <is>
          <t>Relevant search results should be displayed.</t>
        </is>
      </c>
      <c r="F88" s="26" t="inlineStr">
        <is>
          <t>Pending</t>
        </is>
      </c>
      <c r="G88" s="3" t="n"/>
      <c r="H88" s="55" t="n"/>
    </row>
    <row r="89" ht="24" customHeight="1">
      <c r="B89" s="195" t="inlineStr">
        <is>
          <t>Excl_080</t>
        </is>
      </c>
      <c r="C89" s="195" t="inlineStr">
        <is>
          <t>Spreading screen - Search</t>
        </is>
      </c>
      <c r="D89" s="195" t="inlineStr">
        <is>
          <t>Verify that the user can navigate between the sheet of the workbook by clicking previous or next button.</t>
        </is>
      </c>
      <c r="E89" s="195" t="inlineStr">
        <is>
          <t>The user should be taken to the relevant sheet.</t>
        </is>
      </c>
      <c r="F89" s="26" t="inlineStr">
        <is>
          <t>Pending</t>
        </is>
      </c>
      <c r="G89" s="3" t="n"/>
      <c r="H89" s="55" t="n"/>
    </row>
    <row r="90">
      <c r="B90" s="195" t="inlineStr">
        <is>
          <t>Excl_081</t>
        </is>
      </c>
      <c r="C90" s="195" t="inlineStr">
        <is>
          <t>Spreading screen - Thumbnail View</t>
        </is>
      </c>
      <c r="D90" s="195" t="inlineStr">
        <is>
          <t>Verify that the user can view the sheet of the workbook t in the thumbnail view.</t>
        </is>
      </c>
      <c r="E90" s="195" t="inlineStr">
        <is>
          <t>Sheet of the workbook should be visible.</t>
        </is>
      </c>
      <c r="F90" s="26" t="inlineStr">
        <is>
          <t>Pending</t>
        </is>
      </c>
      <c r="G90" s="3" t="n"/>
      <c r="H90" s="55" t="n"/>
    </row>
    <row r="91">
      <c r="B91" s="195" t="inlineStr">
        <is>
          <t>Excl_082</t>
        </is>
      </c>
      <c r="C91" s="195" t="inlineStr">
        <is>
          <t>Spreading screen - Thumbnail View</t>
        </is>
      </c>
      <c r="D91" s="195" t="inlineStr">
        <is>
          <t>Verify that the user can navigate to a sheet through thubnail section.</t>
        </is>
      </c>
      <c r="E91" s="195" t="inlineStr">
        <is>
          <t>The user should be taken to the relevant tab.</t>
        </is>
      </c>
      <c r="F91" s="26" t="inlineStr">
        <is>
          <t>Pending</t>
        </is>
      </c>
      <c r="G91" s="3" t="n"/>
      <c r="H91" s="55" t="n"/>
    </row>
    <row r="92" ht="24" customHeight="1">
      <c r="B92" s="195" t="inlineStr">
        <is>
          <t>Excl_083</t>
        </is>
      </c>
      <c r="C92" s="195" t="inlineStr">
        <is>
          <t>Spreading screen - Zoom in Out the PDF Pane</t>
        </is>
      </c>
      <c r="D92" s="195" t="inlineStr">
        <is>
          <t>Verify that the user can adjust the size of the document using + and - signs and selecting options in the automatic zoom dropdown.</t>
        </is>
      </c>
      <c r="E92" s="195" t="inlineStr">
        <is>
          <t>The size of the document should get adjusted basis the selection.</t>
        </is>
      </c>
      <c r="F92" s="26" t="inlineStr">
        <is>
          <t>Pending</t>
        </is>
      </c>
      <c r="G92" s="3" t="n"/>
      <c r="H92" s="55" t="n"/>
    </row>
    <row r="93" ht="24" customHeight="1">
      <c r="B93" s="195" t="inlineStr">
        <is>
          <t>Excl_084</t>
        </is>
      </c>
      <c r="C93" s="195" t="inlineStr">
        <is>
          <t>Spreading screen - Show/Hide Smart Fill</t>
        </is>
      </c>
      <c r="D93" s="195" t="inlineStr">
        <is>
          <t>Verify that the user can view the icons against the line items which have been autofilled using global or customer level taxonomy.</t>
        </is>
      </c>
      <c r="E93" s="195" t="inlineStr">
        <is>
          <t>Icons should be displayed to the user.</t>
        </is>
      </c>
      <c r="F93" s="26" t="inlineStr">
        <is>
          <t>Pending</t>
        </is>
      </c>
      <c r="G93" s="3" t="n"/>
      <c r="H93" s="55" t="n"/>
    </row>
    <row r="94" ht="24" customHeight="1">
      <c r="B94" s="195" t="inlineStr">
        <is>
          <t>Excl_085</t>
        </is>
      </c>
      <c r="C94" s="195" t="inlineStr">
        <is>
          <t>Insert New Row</t>
        </is>
      </c>
      <c r="D94" s="195" t="inlineStr">
        <is>
          <t>Right click model cell&gt;insert new row below/above.
Set Account name and save.</t>
        </is>
      </c>
      <c r="E94" s="195" t="inlineStr">
        <is>
          <t>New row should be added and displayin the model.</t>
        </is>
      </c>
      <c r="F94" s="26" t="inlineStr">
        <is>
          <t>Pending</t>
        </is>
      </c>
      <c r="G94" s="3" t="n"/>
      <c r="H94" s="55" t="n"/>
    </row>
    <row r="95" ht="36" customHeight="1">
      <c r="B95" s="195" t="inlineStr">
        <is>
          <t>Excl_086</t>
        </is>
      </c>
      <c r="C95" s="195" t="inlineStr">
        <is>
          <t>Insert New Row</t>
        </is>
      </c>
      <c r="D95" s="195" t="inlineStr">
        <is>
          <t>Verify adding new row and map values from PDF in newly inserted row.
Repeat steps 4-5 times and map values.
Verify that with each row, save as draft function should work.</t>
        </is>
      </c>
      <c r="E95" s="195" t="inlineStr">
        <is>
          <t>The user should be able to add multiple rows and map values.
Save as draft should work after click on insert new row option.</t>
        </is>
      </c>
      <c r="F95" s="26" t="inlineStr">
        <is>
          <t>Pending</t>
        </is>
      </c>
      <c r="G95" s="3" t="n"/>
      <c r="H95" s="55" t="n"/>
    </row>
    <row r="96">
      <c r="B96" s="195" t="inlineStr">
        <is>
          <t>Excl_087</t>
        </is>
      </c>
      <c r="C96" s="195" t="inlineStr">
        <is>
          <t>Relable Row</t>
        </is>
      </c>
      <c r="D96" s="195" t="inlineStr">
        <is>
          <t>Right click model cell&gt;Relable row and update Account name and save.</t>
        </is>
      </c>
      <c r="E96" s="195" t="inlineStr">
        <is>
          <t>Account name should be reflected in existing row once saved.</t>
        </is>
      </c>
      <c r="F96" s="26" t="inlineStr">
        <is>
          <t>Pending</t>
        </is>
      </c>
      <c r="G96" s="3" t="n"/>
      <c r="H96" s="55" t="n"/>
    </row>
    <row r="97" ht="24" customHeight="1">
      <c r="B97" s="195" t="inlineStr">
        <is>
          <t>Excl_088</t>
        </is>
      </c>
      <c r="C97" s="195" t="inlineStr">
        <is>
          <t>Group/Ungroup Rows</t>
        </is>
      </c>
      <c r="D97" s="195" t="inlineStr">
        <is>
          <t>Make selection of rows and right-click to Group.
Right click to ungroup the rows.</t>
        </is>
      </c>
      <c r="E97" s="195" t="inlineStr">
        <is>
          <t>Group/Ungroup rows should work properly.</t>
        </is>
      </c>
      <c r="F97" s="26" t="inlineStr">
        <is>
          <t>Pending</t>
        </is>
      </c>
      <c r="G97" s="3" t="n"/>
      <c r="H97" s="55" t="n"/>
    </row>
    <row r="98" ht="24" customHeight="1">
      <c r="B98" s="195" t="inlineStr">
        <is>
          <t>Excl_089</t>
        </is>
      </c>
      <c r="C98" s="195" t="inlineStr">
        <is>
          <t>Hide/Unhide Rows</t>
        </is>
      </c>
      <c r="D98" s="195" t="inlineStr">
        <is>
          <t>Verify hiding rows by right-click Hide Rows.
Right click to unhide rows.</t>
        </is>
      </c>
      <c r="E98" s="195" t="inlineStr">
        <is>
          <t>Hide/Unhide rows should work.</t>
        </is>
      </c>
      <c r="F98" s="26" t="inlineStr">
        <is>
          <t>Pending</t>
        </is>
      </c>
      <c r="G98" s="3" t="n"/>
      <c r="H98" s="55" t="n"/>
    </row>
    <row r="99" ht="36" customHeight="1">
      <c r="B99" s="195" t="inlineStr">
        <is>
          <t>Excl_090</t>
        </is>
      </c>
      <c r="C99" s="195" t="inlineStr">
        <is>
          <t>Freeze/Unfreeze Rows</t>
        </is>
      </c>
      <c r="D99" s="195" t="inlineStr">
        <is>
          <t>Right click model cell&gt;Freeze rows.
Scroll up/down in the model.
Unfreeze rows&gt;Scroll up/down in the model.</t>
        </is>
      </c>
      <c r="E99" s="195" t="inlineStr">
        <is>
          <t>Rows above freezed row should not scroll.
All the rows should be scroll up and down.</t>
        </is>
      </c>
      <c r="F99" s="26" t="inlineStr">
        <is>
          <t>Pending</t>
        </is>
      </c>
      <c r="G99" s="3" t="n"/>
      <c r="H99" s="55" t="n"/>
    </row>
    <row r="100" ht="24" customHeight="1">
      <c r="B100" s="195" t="inlineStr">
        <is>
          <t>Excl_091</t>
        </is>
      </c>
      <c r="C100" s="195" t="inlineStr">
        <is>
          <t>Double Click/Single Click</t>
        </is>
      </c>
      <c r="D100" s="195" t="inlineStr">
        <is>
          <t>Enable disable single-click.
When single-click is disabled, value selection should be done with double-click only.</t>
        </is>
      </c>
      <c r="E100" s="195" t="inlineStr">
        <is>
          <t>Single and double click should work.</t>
        </is>
      </c>
      <c r="F100" s="26" t="inlineStr">
        <is>
          <t>Pending</t>
        </is>
      </c>
      <c r="G100" s="3" t="n"/>
      <c r="H100" s="55" t="n"/>
    </row>
    <row r="101" ht="24" customHeight="1">
      <c r="B101" s="13" t="inlineStr">
        <is>
          <t>Excl_092</t>
        </is>
      </c>
      <c r="C101" s="13" t="inlineStr">
        <is>
          <t>Submit for QC</t>
        </is>
      </c>
      <c r="D101" s="13" t="inlineStr">
        <is>
          <t>Verify item status when submit for QC.
Verify item in QC pool using checker user.</t>
        </is>
      </c>
      <c r="E101" s="13" t="inlineStr">
        <is>
          <t>Submit for QC should work and item should be moved to QC pool.</t>
        </is>
      </c>
      <c r="F101" s="26" t="inlineStr">
        <is>
          <t>Pending</t>
        </is>
      </c>
      <c r="G101" s="3" t="n"/>
      <c r="H101" s="55" t="n"/>
    </row>
    <row r="102" ht="24" customHeight="1">
      <c r="B102" s="195" t="inlineStr">
        <is>
          <t>Excl_093</t>
        </is>
      </c>
      <c r="C102" s="195" t="inlineStr">
        <is>
          <t>Freetext Mapping</t>
        </is>
      </c>
      <c r="D102" s="195" t="inlineStr">
        <is>
          <t>Verify mapping free text in Excel file.
Verify free text should not launch the keyword/notes processing popup.</t>
        </is>
      </c>
      <c r="E102" s="195" t="inlineStr">
        <is>
          <t>Notes Processing should not work in Excel free text.</t>
        </is>
      </c>
      <c r="F102" s="26" t="inlineStr">
        <is>
          <t>Pending</t>
        </is>
      </c>
      <c r="G102" s="3" t="n"/>
      <c r="H102" s="55" t="n"/>
    </row>
    <row r="103" ht="36" customHeight="1">
      <c r="B103" s="97" t="inlineStr">
        <is>
          <t>Excl_094</t>
        </is>
      </c>
      <c r="C103" s="97" t="inlineStr">
        <is>
          <t>String Data Cell</t>
        </is>
      </c>
      <c r="D103" s="97" t="inlineStr">
        <is>
          <t>Navigate to Spreading screen&gt;Insert new row &gt;select Data type as String.
Enter alphabets in added cell.
Enter numeric values and alphabets.</t>
        </is>
      </c>
      <c r="E103" s="97" t="inlineStr">
        <is>
          <t>The user should be able to add String row.
Data should be added without any error.</t>
        </is>
      </c>
      <c r="F103" s="26" t="inlineStr">
        <is>
          <t>Pending</t>
        </is>
      </c>
      <c r="G103" s="13" t="n"/>
      <c r="H103" s="55" t="n"/>
    </row>
    <row r="104" ht="36" customHeight="1">
      <c r="B104" s="97" t="inlineStr">
        <is>
          <t>Excl_095</t>
        </is>
      </c>
      <c r="C104" s="97" t="inlineStr">
        <is>
          <t>String Data Cell</t>
        </is>
      </c>
      <c r="D104" s="97" t="inlineStr">
        <is>
          <t>Spreading screen&gt;String cell should be present.
Case1: Enter manual value&gt; then map text from page &gt; observe values.
Case2: Map free text in string cell&gt;now overwrite with manual value &gt; observe mapped cell.</t>
        </is>
      </c>
      <c r="E104" s="97" t="inlineStr">
        <is>
          <t>Case1: Manual and mapped values should be displayed correctly without any operator in between.
Case2: Mapped cell should show only manual value.</t>
        </is>
      </c>
      <c r="F104" s="26" t="inlineStr">
        <is>
          <t>Pending</t>
        </is>
      </c>
      <c r="G104" s="13" t="n"/>
      <c r="H104" s="55" t="n"/>
    </row>
    <row r="105" ht="48" customHeight="1">
      <c r="B105" s="97" t="inlineStr">
        <is>
          <t>Excl_096</t>
        </is>
      </c>
      <c r="C105" s="97" t="inlineStr">
        <is>
          <t>String Data Cell</t>
        </is>
      </c>
      <c r="D105" s="97" t="inlineStr">
        <is>
          <t>In Spreading screen&gt;map values in String cell&gt;Submit and continue &amp; autofill.
Values should be autofilled from page "X".
Map free text in String cell&gt;set another value column.
It will ask that data will be lost, observe String data.</t>
        </is>
      </c>
      <c r="E105" s="97" t="inlineStr">
        <is>
          <t>The user should be able to autofill values in string cell.
Free text should be mapped and once value column is removed values should also be deleted.</t>
        </is>
      </c>
      <c r="F105" s="26" t="inlineStr">
        <is>
          <t>Pending</t>
        </is>
      </c>
      <c r="G105" s="13" t="n"/>
      <c r="H105" s="55" t="n"/>
    </row>
    <row r="106" ht="48" customHeight="1">
      <c r="B106" s="97" t="inlineStr">
        <is>
          <t>Excl_097</t>
        </is>
      </c>
      <c r="C106" s="97" t="inlineStr">
        <is>
          <t>Datetime Cell</t>
        </is>
      </c>
      <c r="D106" s="97" t="inlineStr">
        <is>
          <t>Navigate to Spreading screen&gt;Insert new row.
Select Data type as DateTime &gt;map any year to cell.
Year should be entered.
Click mapped cells ribbon &gt; observe mapped/entered value.</t>
        </is>
      </c>
      <c r="E106" s="97" t="inlineStr">
        <is>
          <t>DateTime cell should be added.
Year should be entered in cell.
Mapped cell should show correct data.</t>
        </is>
      </c>
      <c r="F106" s="26" t="inlineStr">
        <is>
          <t>Pending</t>
        </is>
      </c>
      <c r="G106" s="13" t="n"/>
      <c r="H106" s="55" t="n"/>
    </row>
    <row r="107" ht="41.25" customHeight="1">
      <c r="B107" s="97" t="inlineStr">
        <is>
          <t>Excl_098</t>
        </is>
      </c>
      <c r="C107" s="97" t="inlineStr">
        <is>
          <t>Validations Modify</t>
        </is>
      </c>
      <c r="D107" s="97" t="inlineStr">
        <is>
          <t>Go to Spreading screen&gt;Modify any validation formula.
Add some number with + operator.
Then Remove it &gt; observe once validation is TRUE&gt;Submit spread.</t>
        </is>
      </c>
      <c r="E107" s="97" t="inlineStr">
        <is>
          <t>The user should be allowed to Modify validation.
Number should be added and deleted.
The user should be able to submit spread.</t>
        </is>
      </c>
      <c r="F107" s="26" t="inlineStr">
        <is>
          <t>Pending</t>
        </is>
      </c>
      <c r="G107" s="13" t="n"/>
      <c r="H107" s="55" t="n"/>
    </row>
    <row r="108" ht="36" customHeight="1">
      <c r="B108" s="97" t="inlineStr">
        <is>
          <t>Excl_099</t>
        </is>
      </c>
      <c r="C108" s="97" t="inlineStr">
        <is>
          <t>Expression</t>
        </is>
      </c>
      <c r="D108" s="97" t="inlineStr">
        <is>
          <t>Spreading screen&gt;map values (A+B+C).
Click + operator and replace with conversion (Divide by 100).
Review expression.</t>
        </is>
      </c>
      <c r="E108" s="97" t="inlineStr">
        <is>
          <t>Expression should be A/100+B+C.</t>
        </is>
      </c>
      <c r="F108" s="26" t="inlineStr">
        <is>
          <t>Pending</t>
        </is>
      </c>
      <c r="G108" s="13" t="n"/>
      <c r="H108" s="13" t="inlineStr">
        <is>
          <t>Issue still exists.</t>
        </is>
      </c>
    </row>
    <row r="109" ht="48" customHeight="1">
      <c r="B109" s="97" t="inlineStr">
        <is>
          <t>Excl_100</t>
        </is>
      </c>
      <c r="C109" s="97" t="inlineStr">
        <is>
          <t>Disabled Ribbon Button</t>
        </is>
      </c>
      <c r="D109" s="97" t="inlineStr">
        <is>
          <t>In Spreading screen&gt;verify all the disabled button in various conditions, like autofill all, current, all keywords.
Error logs etc.
Try to click disabled buttons &gt; observe.</t>
        </is>
      </c>
      <c r="E109" s="97" t="inlineStr">
        <is>
          <t>The user should not be able to click on disabled button. Disable icon should appear and nothing should happen.</t>
        </is>
      </c>
      <c r="F109" s="26" t="inlineStr">
        <is>
          <t>Pending</t>
        </is>
      </c>
      <c r="G109" s="108" t="n"/>
      <c r="H109" s="114" t="n"/>
    </row>
    <row r="110" ht="48" customHeight="1">
      <c r="B110" s="97" t="inlineStr">
        <is>
          <t>Excl_101</t>
        </is>
      </c>
      <c r="C110" s="97" t="inlineStr">
        <is>
          <t>Duplicate Model Account</t>
        </is>
      </c>
      <c r="D110" s="97" t="inlineStr">
        <is>
          <t>Spreading screen&gt;right-click to insert new row.
Add duplicate model account.
Review message and click ok.</t>
        </is>
      </c>
      <c r="E110" s="97" t="inlineStr">
        <is>
          <t>Insert row popup window should show message saying, similar account already exist, clicking OK will create duplicate account.
On clicking OK, model account should be added.</t>
        </is>
      </c>
      <c r="F110" s="26" t="inlineStr">
        <is>
          <t>Pending</t>
        </is>
      </c>
      <c r="G110" s="108" t="n"/>
      <c r="H110" s="114" t="n"/>
    </row>
    <row r="111" ht="36" customHeight="1">
      <c r="B111" s="97" t="inlineStr">
        <is>
          <t>Excl_102</t>
        </is>
      </c>
      <c r="C111" s="97" t="inlineStr">
        <is>
          <t>Submit Spread-Manual Values</t>
        </is>
      </c>
      <c r="D111" s="97" t="inlineStr">
        <is>
          <t>Spreading screen&gt;Map few values.
Enter manual value in any cell.
Submit spread.</t>
        </is>
      </c>
      <c r="E111" s="97" t="inlineStr">
        <is>
          <t>The user should be able to submit spread with manual value only.</t>
        </is>
      </c>
      <c r="F111" s="26" t="inlineStr">
        <is>
          <t>Pending</t>
        </is>
      </c>
      <c r="G111" s="108" t="n"/>
      <c r="H111" s="114" t="n"/>
    </row>
    <row r="112" ht="48" customHeight="1">
      <c r="B112" s="97" t="inlineStr">
        <is>
          <t>Excl_103</t>
        </is>
      </c>
      <c r="C112" s="97" t="inlineStr">
        <is>
          <t>Submit Spread-Manual String Value</t>
        </is>
      </c>
      <c r="D112" s="97" t="inlineStr">
        <is>
          <t>Spreading screen&gt;Map few values.
Right click to insert new row.
Add String type row.
Enter manual value &gt; submit spread.</t>
        </is>
      </c>
      <c r="E112" s="97" t="inlineStr">
        <is>
          <t>The user should be able to submit spread with Manual string data.</t>
        </is>
      </c>
      <c r="F112" s="26" t="inlineStr">
        <is>
          <t>Pending</t>
        </is>
      </c>
      <c r="G112" s="108" t="n"/>
      <c r="H112" s="114" t="n"/>
    </row>
  </sheetData>
  <mergeCells count="7">
    <mergeCell ref="B6:C6"/>
    <mergeCell ref="B7:C7"/>
    <mergeCell ref="B2:F2"/>
    <mergeCell ref="B3:C3"/>
    <mergeCell ref="B5:C5"/>
    <mergeCell ref="B8:C8"/>
    <mergeCell ref="B4:C4"/>
  </mergeCells>
  <conditionalFormatting sqref="D3">
    <cfRule type="expression" priority="125" dxfId="51" stopIfTrue="1">
      <formula>AND(COUNTIF($A$8:$A$8, D3)+COUNTIF(#REF!, D3)&gt;1,NOT(ISBLANK(D3)))</formula>
    </cfRule>
  </conditionalFormatting>
  <conditionalFormatting sqref="D4">
    <cfRule type="cellIs" priority="83" operator="lessThan" dxfId="10" stopIfTrue="1">
      <formula>1</formula>
    </cfRule>
  </conditionalFormatting>
  <conditionalFormatting sqref="D4:D8">
    <cfRule type="cellIs" priority="78" operator="greaterThan" dxfId="9" stopIfTrue="1">
      <formula>0</formula>
    </cfRule>
    <cfRule type="cellIs" priority="79" operator="greaterThan" dxfId="9" stopIfTrue="1">
      <formula>1</formula>
    </cfRule>
    <cfRule type="cellIs" priority="80" operator="greaterThan" dxfId="10" stopIfTrue="1">
      <formula>0</formula>
    </cfRule>
    <cfRule type="cellIs" priority="81" operator="greaterThan" dxfId="10" stopIfTrue="1">
      <formula>1</formula>
    </cfRule>
    <cfRule type="cellIs" priority="82" operator="equal" dxfId="9" stopIfTrue="1">
      <formula>$C$3</formula>
    </cfRule>
  </conditionalFormatting>
  <conditionalFormatting sqref="D5:D8">
    <cfRule type="cellIs" priority="71" operator="lessThan" dxfId="10" stopIfTrue="1">
      <formula>1</formula>
    </cfRule>
  </conditionalFormatting>
  <conditionalFormatting sqref="E4">
    <cfRule type="cellIs" priority="114" operator="equal" dxfId="9" stopIfTrue="1">
      <formula>1</formula>
    </cfRule>
    <cfRule type="cellIs" priority="115" operator="lessThan" dxfId="10" stopIfTrue="1">
      <formula>1</formula>
    </cfRule>
  </conditionalFormatting>
  <conditionalFormatting sqref="E5:E8">
    <cfRule type="cellIs" priority="85" operator="equal" dxfId="9" stopIfTrue="1">
      <formula>1</formula>
    </cfRule>
    <cfRule type="cellIs" priority="86" operator="lessThan" dxfId="10" stopIfTrue="1">
      <formula>1</formula>
    </cfRule>
    <cfRule type="cellIs" priority="87" operator="equal" dxfId="9" stopIfTrue="1">
      <formula>1</formula>
    </cfRule>
    <cfRule type="cellIs" priority="88" operator="lessThan" dxfId="10" stopIfTrue="1">
      <formula>1</formula>
    </cfRule>
  </conditionalFormatting>
  <conditionalFormatting sqref="E4:F4">
    <cfRule type="cellIs" priority="110" operator="equal" dxfId="9" stopIfTrue="1">
      <formula>1</formula>
    </cfRule>
    <cfRule type="cellIs" priority="111" operator="lessThan" dxfId="10" stopIfTrue="1">
      <formula>1</formula>
    </cfRule>
  </conditionalFormatting>
  <conditionalFormatting sqref="F4">
    <cfRule type="cellIs" priority="108" operator="equal" dxfId="9" stopIfTrue="1">
      <formula>1</formula>
    </cfRule>
    <cfRule type="cellIs" priority="109" operator="lessThan" dxfId="10" stopIfTrue="1">
      <formula>1</formula>
    </cfRule>
  </conditionalFormatting>
  <conditionalFormatting sqref="F5">
    <cfRule type="cellIs" priority="104" operator="greaterThan" dxfId="10" stopIfTrue="1">
      <formula>0</formula>
    </cfRule>
    <cfRule type="cellIs" priority="105" operator="equal" dxfId="9" stopIfTrue="1">
      <formula>0</formula>
    </cfRule>
    <cfRule type="cellIs" priority="106" operator="greaterThan" dxfId="10" stopIfTrue="1">
      <formula>0</formula>
    </cfRule>
    <cfRule type="cellIs" priority="107" operator="equal" dxfId="9" stopIfTrue="1">
      <formula>0</formula>
    </cfRule>
  </conditionalFormatting>
  <conditionalFormatting sqref="F6">
    <cfRule type="cellIs" priority="102" operator="equal" dxfId="9" stopIfTrue="1">
      <formula>0</formula>
    </cfRule>
    <cfRule type="cellIs" priority="103" operator="greaterThan" dxfId="22" stopIfTrue="1">
      <formula>0</formula>
    </cfRule>
  </conditionalFormatting>
  <conditionalFormatting sqref="F6:F7">
    <cfRule type="cellIs" priority="98" operator="equal" dxfId="9" stopIfTrue="1">
      <formula>0</formula>
    </cfRule>
    <cfRule type="cellIs" priority="99" operator="greaterThan" dxfId="22" stopIfTrue="1">
      <formula>0</formula>
    </cfRule>
  </conditionalFormatting>
  <conditionalFormatting sqref="F7:F8">
    <cfRule type="cellIs" priority="94" operator="equal" dxfId="9" stopIfTrue="1">
      <formula>0</formula>
    </cfRule>
    <cfRule type="cellIs" priority="95" operator="greaterThan" dxfId="22" stopIfTrue="1">
      <formula>0</formula>
    </cfRule>
  </conditionalFormatting>
  <conditionalFormatting sqref="F8">
    <cfRule type="cellIs" priority="92" operator="equal" dxfId="9" stopIfTrue="1">
      <formula>0</formula>
    </cfRule>
    <cfRule type="cellIs" priority="93" operator="greaterThan" dxfId="22" stopIfTrue="1">
      <formula>0</formula>
    </cfRule>
  </conditionalFormatting>
  <conditionalFormatting sqref="F10:F112">
    <cfRule type="cellIs" priority="126" operator="equal" dxfId="6" stopIfTrue="1">
      <formula>"NA"</formula>
    </cfRule>
    <cfRule type="cellIs" priority="127" operator="equal" dxfId="5" stopIfTrue="1">
      <formula>"Blocked"</formula>
    </cfRule>
    <cfRule type="cellIs" priority="128" operator="equal" dxfId="4" stopIfTrue="1">
      <formula>"Pending"</formula>
    </cfRule>
    <cfRule type="cellIs" priority="129" operator="equal" dxfId="0" stopIfTrue="1">
      <formula>"Passed"</formula>
    </cfRule>
    <cfRule type="cellIs" priority="130" operator="equal" dxfId="1" stopIfTrue="1">
      <formula>"Failed"</formula>
    </cfRule>
    <cfRule type="cellIs" priority="131" operator="equal" dxfId="1" stopIfTrue="1">
      <formula>"Fail"</formula>
    </cfRule>
    <cfRule type="cellIs" priority="132" operator="equal" dxfId="0" stopIfTrue="1">
      <formula>"Pass"</formula>
    </cfRule>
  </conditionalFormatting>
  <dataValidations count="1">
    <dataValidation sqref="F10:F112" showDropDown="0" showInputMessage="1" showErrorMessage="1" allowBlank="1" type="list">
      <formula1>"Passed,Failed,Blocked,Pending,NA"</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10.xml><?xml version="1.0" encoding="utf-8"?>
<worksheet xmlns="http://schemas.openxmlformats.org/spreadsheetml/2006/main">
  <sheetPr>
    <tabColor theme="0"/>
    <outlinePr summaryBelow="1" summaryRight="1"/>
    <pageSetUpPr/>
  </sheetPr>
  <dimension ref="B2:J87"/>
  <sheetViews>
    <sheetView showGridLines="0" workbookViewId="0">
      <selection activeCell="G5" sqref="G5"/>
    </sheetView>
  </sheetViews>
  <sheetFormatPr baseColWidth="8" defaultRowHeight="15"/>
  <cols>
    <col width="5" customWidth="1" min="1" max="1"/>
    <col width="10.42578125" customWidth="1" min="2" max="2"/>
    <col width="27.5703125" customWidth="1" min="3" max="3"/>
    <col width="56.7109375" customWidth="1" min="4" max="4"/>
    <col width="53.140625" customWidth="1" min="5" max="5"/>
    <col width="14.7109375" customWidth="1" min="7" max="7"/>
    <col width="18.7109375" customWidth="1" min="8" max="8"/>
    <col width="14.7109375" customWidth="1" min="9"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COUNTIF(F9:F123,"Passed")</f>
        <v/>
      </c>
      <c r="E4" s="53">
        <f>IF(D4=0,,(D4/(D4+D5)))</f>
        <v/>
      </c>
      <c r="F4" s="51">
        <f>IF(D3=0,,(D4/D3))</f>
        <v/>
      </c>
      <c r="G4" s="156">
        <f>COUNTIF(H10:H493,"Done")</f>
        <v/>
      </c>
    </row>
    <row r="5" ht="15.75" customHeight="1" thickBot="1">
      <c r="B5" s="350" t="inlineStr">
        <is>
          <t>Failed</t>
        </is>
      </c>
      <c r="D5" s="52">
        <f>COUNTIF(F9:F123,"Failed")</f>
        <v/>
      </c>
      <c r="E5" s="53">
        <f>IF(D5=0,,(D5/(D5+D6)))</f>
        <v/>
      </c>
      <c r="F5" s="51">
        <f>IF(D3=0,,(D5/D3))</f>
        <v/>
      </c>
      <c r="G5" s="52">
        <f>COUNTIF(H10:H493,"Failed")</f>
        <v/>
      </c>
    </row>
    <row r="6" ht="15.75" customHeight="1" thickBot="1">
      <c r="B6" s="350" t="inlineStr">
        <is>
          <t>Blocked</t>
        </is>
      </c>
      <c r="D6" s="52">
        <f>COUNTIF(F9:F123,"Blocked")</f>
        <v/>
      </c>
      <c r="E6" s="53">
        <f>IF(D6=0,,(D6/(D6+D7)))</f>
        <v/>
      </c>
      <c r="F6" s="51">
        <f>IF(D3=0,,(D6/D3))</f>
        <v/>
      </c>
      <c r="G6" s="52">
        <f>COUNTIF(H10:H493,"Blocked")</f>
        <v/>
      </c>
    </row>
    <row r="7" ht="15.75" customHeight="1" thickBot="1">
      <c r="B7" s="350" t="inlineStr">
        <is>
          <t>Pending</t>
        </is>
      </c>
      <c r="D7" s="52">
        <f>COUNTIF(F9:F1500,"Pending")</f>
        <v/>
      </c>
      <c r="E7" s="53">
        <f>IF(D7=0,,(D7/(D7+D8)))</f>
        <v/>
      </c>
      <c r="F7" s="51">
        <f>IF(D3=0,,(D7/D3))</f>
        <v/>
      </c>
      <c r="G7" s="52">
        <f>COUNTIF(H10:H493,"Pending")</f>
        <v/>
      </c>
    </row>
    <row r="8" ht="15.75" customHeight="1" thickBot="1">
      <c r="B8" s="350" t="inlineStr">
        <is>
          <t>Not Applicable</t>
        </is>
      </c>
      <c r="D8" s="52">
        <f>COUNTIF(F9:F123,"Not Applicable")</f>
        <v/>
      </c>
      <c r="E8" s="53">
        <f>IF(D8=0,,(D8/(D8+#REF!)))</f>
        <v/>
      </c>
      <c r="F8" s="51">
        <f>IF(D3=0,,(D8/D3))</f>
        <v/>
      </c>
      <c r="G8" s="52">
        <f>COUNTIF(H10:H493,"Out of Scope")</f>
        <v/>
      </c>
    </row>
    <row r="9" ht="15.75" customHeight="1" thickBot="1">
      <c r="B9" s="9" t="inlineStr">
        <is>
          <t>S.No.</t>
        </is>
      </c>
      <c r="C9" s="8" t="inlineStr">
        <is>
          <t>Module/Sub-Module</t>
        </is>
      </c>
      <c r="D9" s="10" t="inlineStr">
        <is>
          <t>Test Steps</t>
        </is>
      </c>
      <c r="E9" s="8" t="inlineStr">
        <is>
          <t>Expected Results</t>
        </is>
      </c>
      <c r="F9" s="8" t="inlineStr">
        <is>
          <t>Result</t>
        </is>
      </c>
      <c r="G9" s="8" t="inlineStr">
        <is>
          <t>Bug ID</t>
        </is>
      </c>
      <c r="H9" s="8" t="inlineStr">
        <is>
          <t>Automation Status</t>
        </is>
      </c>
      <c r="I9" s="8" t="inlineStr">
        <is>
          <t>Mapped Scripts</t>
        </is>
      </c>
      <c r="J9" s="2" t="inlineStr">
        <is>
          <t>Comments</t>
        </is>
      </c>
    </row>
    <row r="10" ht="27" customHeight="1">
      <c r="B10" s="195" t="inlineStr">
        <is>
          <t>Clean_001</t>
        </is>
      </c>
      <c r="C10" s="195" t="inlineStr">
        <is>
          <t>Clean PDF</t>
        </is>
      </c>
      <c r="D10" s="195" t="inlineStr">
        <is>
          <t>Enter the application URL.</t>
        </is>
      </c>
      <c r="E10" s="195" t="inlineStr">
        <is>
          <t>Application should be open.</t>
        </is>
      </c>
      <c r="F10" s="26" t="inlineStr">
        <is>
          <t>Pending</t>
        </is>
      </c>
      <c r="G10" s="7" t="n"/>
      <c r="H10" s="154" t="inlineStr">
        <is>
          <t>Done</t>
        </is>
      </c>
      <c r="I10" s="148" t="n"/>
      <c r="J10" s="55" t="n"/>
    </row>
    <row r="11" ht="27" customHeight="1">
      <c r="B11" s="195" t="inlineStr">
        <is>
          <t>Clean_002</t>
        </is>
      </c>
      <c r="C11" s="195" t="inlineStr">
        <is>
          <t>Clean PDF</t>
        </is>
      </c>
      <c r="D11" s="195" t="inlineStr">
        <is>
          <t>Enter valid credentials and click Login.</t>
        </is>
      </c>
      <c r="E11" s="195" t="inlineStr">
        <is>
          <t>User will be successfully logged in to the application.</t>
        </is>
      </c>
      <c r="F11" s="25" t="inlineStr">
        <is>
          <t>Pending</t>
        </is>
      </c>
      <c r="G11" s="3" t="n"/>
      <c r="H11" s="366" t="inlineStr">
        <is>
          <t>Done</t>
        </is>
      </c>
      <c r="I11" s="149" t="n"/>
      <c r="J11" s="55" t="n"/>
    </row>
    <row r="12">
      <c r="B12" s="195" t="inlineStr">
        <is>
          <t>Clean_003</t>
        </is>
      </c>
      <c r="C12" s="195" t="inlineStr">
        <is>
          <t>Clean PDF</t>
        </is>
      </c>
      <c r="D12" s="195" t="inlineStr">
        <is>
          <t>Click the register now button.</t>
        </is>
      </c>
      <c r="E12" s="195" t="inlineStr">
        <is>
          <t>Registration screen should be open.</t>
        </is>
      </c>
      <c r="F12" s="25" t="inlineStr">
        <is>
          <t>Pending</t>
        </is>
      </c>
      <c r="G12" s="3" t="n"/>
      <c r="H12" s="366" t="inlineStr">
        <is>
          <t>Done</t>
        </is>
      </c>
      <c r="I12" s="149" t="n"/>
      <c r="J12" s="55" t="n"/>
    </row>
    <row r="13" ht="24" customHeight="1">
      <c r="B13" s="195" t="inlineStr">
        <is>
          <t>Clean_004</t>
        </is>
      </c>
      <c r="C13" s="195" t="inlineStr">
        <is>
          <t>Clean PDF</t>
        </is>
      </c>
      <c r="D13" s="195" t="inlineStr">
        <is>
          <t>Enter the required data on registration form and click register button.</t>
        </is>
      </c>
      <c r="E13" s="195" t="inlineStr">
        <is>
          <t>The user should be successfully registered and after approval able to login with the credential.</t>
        </is>
      </c>
      <c r="F13" s="25" t="inlineStr">
        <is>
          <t>Pending</t>
        </is>
      </c>
      <c r="G13" s="3" t="n"/>
      <c r="H13" s="366" t="inlineStr">
        <is>
          <t>Done</t>
        </is>
      </c>
      <c r="I13" s="149" t="n"/>
      <c r="J13" s="55" t="n"/>
    </row>
    <row r="14" ht="32.25" customHeight="1">
      <c r="B14" s="195" t="inlineStr">
        <is>
          <t>Clean_005</t>
        </is>
      </c>
      <c r="C14" s="195" t="inlineStr">
        <is>
          <t>Clean PDF</t>
        </is>
      </c>
      <c r="D14" s="195" t="inlineStr">
        <is>
          <t>Click Create Customer under Spreading tab.</t>
        </is>
      </c>
      <c r="E14" s="195" t="inlineStr">
        <is>
          <t>Create Customer page should be displayed.</t>
        </is>
      </c>
      <c r="F14" s="25" t="inlineStr">
        <is>
          <t>Pending</t>
        </is>
      </c>
      <c r="G14" s="3" t="n"/>
      <c r="H14" s="366" t="inlineStr">
        <is>
          <t>Done</t>
        </is>
      </c>
      <c r="I14" s="149" t="n"/>
      <c r="J14" s="55" t="n"/>
    </row>
    <row r="15" ht="36" customHeight="1">
      <c r="B15" s="195" t="inlineStr">
        <is>
          <t>Clean_006</t>
        </is>
      </c>
      <c r="C15" s="195" t="inlineStr">
        <is>
          <t>Clean PDF</t>
        </is>
      </c>
      <c r="D15" s="195" t="inlineStr">
        <is>
          <t>Add all the required field on the page and click submit.</t>
        </is>
      </c>
      <c r="E15" s="195" t="inlineStr">
        <is>
          <t>Customer created successfully message should display.</t>
        </is>
      </c>
      <c r="F15" s="25" t="inlineStr">
        <is>
          <t>Pending</t>
        </is>
      </c>
      <c r="G15" s="3" t="n"/>
      <c r="H15" s="366" t="inlineStr">
        <is>
          <t>Done</t>
        </is>
      </c>
      <c r="I15" s="149" t="n"/>
      <c r="J15" s="55" t="n"/>
    </row>
    <row r="16">
      <c r="B16" s="195" t="inlineStr">
        <is>
          <t>Clean_007</t>
        </is>
      </c>
      <c r="C16" s="195" t="inlineStr">
        <is>
          <t>Clean PDF</t>
        </is>
      </c>
      <c r="D16" s="195" t="inlineStr">
        <is>
          <t>Click Add Item under action tab.</t>
        </is>
      </c>
      <c r="E16" s="195" t="inlineStr">
        <is>
          <t>Add new item page should display.</t>
        </is>
      </c>
      <c r="F16" s="25" t="inlineStr">
        <is>
          <t>Pending</t>
        </is>
      </c>
      <c r="G16" s="3" t="n"/>
      <c r="H16" s="366" t="inlineStr">
        <is>
          <t>Done</t>
        </is>
      </c>
      <c r="I16" s="149" t="n"/>
      <c r="J16" s="55" t="n"/>
    </row>
    <row r="17">
      <c r="B17" s="195" t="inlineStr">
        <is>
          <t>Clean_008</t>
        </is>
      </c>
      <c r="C17" s="195" t="inlineStr">
        <is>
          <t>Clean PDF</t>
        </is>
      </c>
      <c r="D17" s="195" t="inlineStr">
        <is>
          <t>Add file from File Store or local and click Add Item.</t>
        </is>
      </c>
      <c r="E17" s="195" t="inlineStr">
        <is>
          <t>Item should be created and redirect to the line item page.</t>
        </is>
      </c>
      <c r="F17" s="25" t="inlineStr">
        <is>
          <t>Pending</t>
        </is>
      </c>
      <c r="G17" s="3" t="n"/>
      <c r="H17" s="366" t="inlineStr">
        <is>
          <t>Done</t>
        </is>
      </c>
      <c r="I17" s="149" t="n"/>
      <c r="J17" s="55" t="n"/>
    </row>
    <row r="18">
      <c r="B18" s="195" t="inlineStr">
        <is>
          <t>Clean_009</t>
        </is>
      </c>
      <c r="C18" s="195" t="inlineStr">
        <is>
          <t>Clean PDF</t>
        </is>
      </c>
      <c r="D18" s="195" t="inlineStr">
        <is>
          <t>Click the spread button under action tab.</t>
        </is>
      </c>
      <c r="E18" s="195" t="inlineStr">
        <is>
          <t>Spreading screen should be displayed.</t>
        </is>
      </c>
      <c r="F18" s="25" t="inlineStr">
        <is>
          <t>Pending</t>
        </is>
      </c>
      <c r="G18" s="3" t="n"/>
      <c r="H18" s="366" t="inlineStr">
        <is>
          <t>Done</t>
        </is>
      </c>
      <c r="I18" s="149" t="n"/>
      <c r="J18" s="55" t="n"/>
    </row>
    <row r="19">
      <c r="B19" s="195" t="inlineStr">
        <is>
          <t>Clean_010</t>
        </is>
      </c>
      <c r="C19" s="195" t="inlineStr">
        <is>
          <t>Clean PDF</t>
        </is>
      </c>
      <c r="D19" s="195" t="inlineStr">
        <is>
          <t>Click the spreading button.</t>
        </is>
      </c>
      <c r="E19" s="195" t="inlineStr">
        <is>
          <t>Spreading screen should displayed.</t>
        </is>
      </c>
      <c r="F19" s="25" t="inlineStr">
        <is>
          <t>Pending</t>
        </is>
      </c>
      <c r="G19" s="3" t="n"/>
      <c r="H19" s="366" t="inlineStr">
        <is>
          <t>Done</t>
        </is>
      </c>
      <c r="I19" s="149" t="n"/>
      <c r="J19" s="55" t="n"/>
    </row>
    <row r="20" ht="57" customHeight="1">
      <c r="B20" s="195" t="inlineStr">
        <is>
          <t>Clean_011</t>
        </is>
      </c>
      <c r="C20" s="195" t="inlineStr">
        <is>
          <t>Clean PDF</t>
        </is>
      </c>
      <c r="D20" s="195" t="inlineStr">
        <is>
          <t>Open the Spreading screen and view the "Secondary Category" in document side and click it.
Review the "Clean File" dropdown option and click it.</t>
        </is>
      </c>
      <c r="E20" s="195" t="inlineStr">
        <is>
          <t>Water mark and despeckle button should not be there and "Clean file" button should be there under Secondary Category.</t>
        </is>
      </c>
      <c r="F20" s="25" t="inlineStr">
        <is>
          <t>Pending</t>
        </is>
      </c>
      <c r="G20" s="3" t="n"/>
      <c r="H20" s="366" t="inlineStr">
        <is>
          <t>Done</t>
        </is>
      </c>
      <c r="I20" s="149" t="n"/>
      <c r="J20" s="55" t="n"/>
    </row>
    <row r="21" ht="62.25" customHeight="1">
      <c r="B21" s="195" t="inlineStr">
        <is>
          <t>Clean_012</t>
        </is>
      </c>
      <c r="C21" s="195" t="inlineStr">
        <is>
          <t>Clean PDF</t>
        </is>
      </c>
      <c r="D21" s="195" t="inlineStr">
        <is>
          <t>Open the Spreading screen and view the "Secondary Category" in document side and click it.
Review the "Clean File" dropdown option and click it.</t>
        </is>
      </c>
      <c r="E21" s="195" t="inlineStr">
        <is>
          <t>It should display options to reset dropdown or enable the feature.</t>
        </is>
      </c>
      <c r="F21" s="25" t="inlineStr">
        <is>
          <t>Pending</t>
        </is>
      </c>
      <c r="G21" s="3" t="n"/>
      <c r="H21" s="366" t="inlineStr">
        <is>
          <t>Done</t>
        </is>
      </c>
      <c r="I21" s="149" t="n"/>
      <c r="J21" s="55" t="n"/>
    </row>
    <row r="22" ht="47.25" customHeight="1">
      <c r="B22" s="195" t="inlineStr">
        <is>
          <t>Clean_013</t>
        </is>
      </c>
      <c r="C22" s="195" t="inlineStr">
        <is>
          <t>Clean PDF</t>
        </is>
      </c>
      <c r="D22" s="195" t="inlineStr">
        <is>
          <t>Open the Spreading screen and view the "Secondary Category" in document side and click it.
Click the clean file button.</t>
        </is>
      </c>
      <c r="E22" s="195" t="inlineStr">
        <is>
          <t>Options of Enable and Reset to be provided.</t>
        </is>
      </c>
      <c r="F22" s="25" t="inlineStr">
        <is>
          <t>Pending</t>
        </is>
      </c>
      <c r="G22" s="3" t="n"/>
      <c r="H22" s="366" t="inlineStr">
        <is>
          <t>Done</t>
        </is>
      </c>
      <c r="I22" s="149" t="n"/>
      <c r="J22" s="55" t="n"/>
    </row>
    <row r="23" ht="96" customHeight="1">
      <c r="B23" s="195" t="inlineStr">
        <is>
          <t>Clean_014</t>
        </is>
      </c>
      <c r="C23" s="195" t="inlineStr">
        <is>
          <t>Clean PDF</t>
        </is>
      </c>
      <c r="D23" s="195" t="inlineStr">
        <is>
          <t>Open the Spreading screen and view the "Secondary Category" in document side and click it.
Review the "Clean File" dropdown button option and click it.
Review the "Enable" option and click it.</t>
        </is>
      </c>
      <c r="E23" s="195" t="inlineStr">
        <is>
          <t>A popup with binarization option should display out of which one is original and radio button should be there for single and all page and one radio button for despeckle should be there.
In first time popup single page and no despeckle options to be selected and applied to current page only.</t>
        </is>
      </c>
      <c r="F23" s="25" t="inlineStr">
        <is>
          <t>Pending</t>
        </is>
      </c>
      <c r="G23" s="3" t="n"/>
      <c r="H23" s="366" t="inlineStr">
        <is>
          <t>Done</t>
        </is>
      </c>
      <c r="I23" s="149" t="n"/>
      <c r="J23" s="55" t="n"/>
    </row>
    <row r="24" ht="34.5" customHeight="1">
      <c r="B24" s="195" t="inlineStr">
        <is>
          <t>Clean_015</t>
        </is>
      </c>
      <c r="C24" s="195" t="inlineStr">
        <is>
          <t>Clean PDF</t>
        </is>
      </c>
      <c r="D24" s="195" t="inlineStr">
        <is>
          <t>Click the radio button of despeckle.</t>
        </is>
      </c>
      <c r="E24" s="195" t="inlineStr">
        <is>
          <t>Based on the selected radio button new images including original page should be shown on the popup.</t>
        </is>
      </c>
      <c r="F24" s="25" t="inlineStr">
        <is>
          <t>Pending</t>
        </is>
      </c>
      <c r="G24" s="3" t="n"/>
      <c r="H24" s="366" t="inlineStr">
        <is>
          <t>Done</t>
        </is>
      </c>
      <c r="I24" s="149" t="n"/>
      <c r="J24" s="55" t="n"/>
    </row>
    <row r="25" ht="33.75" customHeight="1">
      <c r="B25" s="195" t="inlineStr">
        <is>
          <t>Clean_016</t>
        </is>
      </c>
      <c r="C25" s="195" t="inlineStr">
        <is>
          <t>Clean PDF</t>
        </is>
      </c>
      <c r="D25" s="195" t="inlineStr">
        <is>
          <t>User change the radio button selection.</t>
        </is>
      </c>
      <c r="E25" s="195" t="inlineStr">
        <is>
          <t>Loader will be shown and replace the previous change.</t>
        </is>
      </c>
      <c r="F25" s="25" t="inlineStr">
        <is>
          <t>Pending</t>
        </is>
      </c>
      <c r="G25" s="3" t="n"/>
      <c r="H25" s="366" t="inlineStr">
        <is>
          <t>Done</t>
        </is>
      </c>
      <c r="I25" s="149" t="n"/>
      <c r="J25" s="55" t="n"/>
    </row>
    <row r="26" ht="36" customHeight="1">
      <c r="B26" s="195" t="inlineStr">
        <is>
          <t>Clean_017</t>
        </is>
      </c>
      <c r="C26" s="195" t="inlineStr">
        <is>
          <t>Clean PDF</t>
        </is>
      </c>
      <c r="D26" s="195" t="inlineStr">
        <is>
          <t>User opts for Original page and Low/High despeckle.</t>
        </is>
      </c>
      <c r="E26" s="195" t="inlineStr">
        <is>
          <t>Despeckele setting will get applied to the original page.binarization setting will not get applied.</t>
        </is>
      </c>
      <c r="F26" s="25" t="inlineStr">
        <is>
          <t>Pending</t>
        </is>
      </c>
      <c r="G26" s="3" t="n"/>
      <c r="H26" s="366" t="inlineStr">
        <is>
          <t>Done</t>
        </is>
      </c>
      <c r="I26" s="149" t="n"/>
      <c r="J26" s="55" t="n"/>
    </row>
    <row r="27" ht="24" customHeight="1">
      <c r="B27" s="195" t="inlineStr">
        <is>
          <t>Clean_018</t>
        </is>
      </c>
      <c r="C27" s="195" t="inlineStr">
        <is>
          <t>Clean PDF</t>
        </is>
      </c>
      <c r="D27" s="195" t="inlineStr">
        <is>
          <t>Click the zoom in zoom out option present on all page.</t>
        </is>
      </c>
      <c r="E27" s="195" t="inlineStr">
        <is>
          <t>Zoom in zoom out option should work and user can check the affected area and quality.</t>
        </is>
      </c>
      <c r="F27" s="25" t="inlineStr">
        <is>
          <t>Pending</t>
        </is>
      </c>
      <c r="G27" s="3" t="n"/>
      <c r="H27" s="366" t="inlineStr">
        <is>
          <t>Done</t>
        </is>
      </c>
      <c r="I27" s="149" t="n"/>
      <c r="J27" s="55" t="n"/>
    </row>
    <row r="28">
      <c r="B28" s="195" t="inlineStr">
        <is>
          <t>Clean_019</t>
        </is>
      </c>
      <c r="C28" s="195" t="inlineStr">
        <is>
          <t>Clean PDF</t>
        </is>
      </c>
      <c r="D28" s="195" t="inlineStr">
        <is>
          <t>Click the images.</t>
        </is>
      </c>
      <c r="E28" s="195" t="inlineStr">
        <is>
          <t>No visual clue should be shown.</t>
        </is>
      </c>
      <c r="F28" s="25" t="inlineStr">
        <is>
          <t>Pending</t>
        </is>
      </c>
      <c r="G28" s="3" t="n"/>
      <c r="H28" s="366" t="inlineStr">
        <is>
          <t>Done</t>
        </is>
      </c>
      <c r="I28" s="149" t="n"/>
      <c r="J28" s="55" t="n"/>
    </row>
    <row r="29" ht="48" customHeight="1">
      <c r="B29" s="195" t="inlineStr">
        <is>
          <t>Clean_020</t>
        </is>
      </c>
      <c r="C29" s="195" t="inlineStr">
        <is>
          <t>Clean PDF</t>
        </is>
      </c>
      <c r="D29" s="195" t="inlineStr">
        <is>
          <t>Select single and current page option and low/high despeckle.</t>
        </is>
      </c>
      <c r="E29" s="195" t="inlineStr">
        <is>
          <t>Despeckle setting will get applied to all in pop-up for comparing purposes.</t>
        </is>
      </c>
      <c r="F29" s="25" t="inlineStr">
        <is>
          <t>Pending</t>
        </is>
      </c>
      <c r="G29" s="3" t="n"/>
      <c r="H29" s="366" t="inlineStr">
        <is>
          <t>Done</t>
        </is>
      </c>
      <c r="I29" s="149" t="n"/>
      <c r="J29" s="55" t="n"/>
    </row>
    <row r="30" ht="24" customHeight="1">
      <c r="B30" s="195" t="inlineStr">
        <is>
          <t>Clean_021</t>
        </is>
      </c>
      <c r="C30" s="195" t="inlineStr">
        <is>
          <t>Clean PDF</t>
        </is>
      </c>
      <c r="D30" s="195" t="inlineStr">
        <is>
          <t>Click the accept.</t>
        </is>
      </c>
      <c r="E30" s="195" t="inlineStr">
        <is>
          <t>High/Low despeckle will be applied and user moves back to Spreading screen.</t>
        </is>
      </c>
      <c r="F30" s="25" t="inlineStr">
        <is>
          <t>Pending</t>
        </is>
      </c>
      <c r="G30" s="3" t="n"/>
      <c r="H30" s="366" t="inlineStr">
        <is>
          <t>Done</t>
        </is>
      </c>
      <c r="I30" s="149" t="n"/>
      <c r="J30" s="55" t="n"/>
    </row>
    <row r="31" ht="31.5" customHeight="1">
      <c r="B31" s="195" t="inlineStr">
        <is>
          <t>Clean_022</t>
        </is>
      </c>
      <c r="C31" s="195" t="inlineStr">
        <is>
          <t>Clean PDF</t>
        </is>
      </c>
      <c r="D31" s="195" t="inlineStr">
        <is>
          <t>User choose option with binarization and low/high despeckle for single page.</t>
        </is>
      </c>
      <c r="E31" s="195" t="inlineStr">
        <is>
          <t>Choosed option should apply to that page and user will move to the current page.</t>
        </is>
      </c>
      <c r="F31" s="25" t="inlineStr">
        <is>
          <t>Pending</t>
        </is>
      </c>
      <c r="G31" s="3" t="n"/>
      <c r="H31" s="366" t="inlineStr">
        <is>
          <t>Done</t>
        </is>
      </c>
      <c r="I31" s="149" t="n"/>
      <c r="J31" s="55" t="n"/>
    </row>
    <row r="32" ht="60" customHeight="1">
      <c r="B32" s="195" t="inlineStr">
        <is>
          <t>Clean_023</t>
        </is>
      </c>
      <c r="C32" s="195" t="inlineStr">
        <is>
          <t>Clean PDF</t>
        </is>
      </c>
      <c r="D32" s="195" t="inlineStr">
        <is>
          <t>Select all page option in the popup.</t>
        </is>
      </c>
      <c r="E32" s="195" t="inlineStr">
        <is>
          <t>Warning message should come to the user stating that "You will be redirected to the item listing page and the mapping data including zones will be lost. Do you want to continue?" with Cancel and Continue options.</t>
        </is>
      </c>
      <c r="F32" s="25" t="inlineStr">
        <is>
          <t>Pending</t>
        </is>
      </c>
      <c r="G32" s="3" t="n"/>
      <c r="H32" s="366" t="inlineStr">
        <is>
          <t>Done</t>
        </is>
      </c>
      <c r="I32" s="149" t="n"/>
      <c r="J32" s="55" t="n"/>
    </row>
    <row r="33" ht="60" customHeight="1">
      <c r="B33" s="195" t="inlineStr">
        <is>
          <t>Clean_024</t>
        </is>
      </c>
      <c r="C33" s="195" t="inlineStr">
        <is>
          <t>Clean PDF</t>
        </is>
      </c>
      <c r="D33" s="195" t="inlineStr">
        <is>
          <t>User selects continue.</t>
        </is>
      </c>
      <c r="E33" s="195" t="inlineStr">
        <is>
          <t>User will be redirected to Modify Item screen and process of Clean File will start (in case of Low/High Despeckle) only.
The Processed circle will also get re-started and the status of the item will get changed to Received.</t>
        </is>
      </c>
      <c r="F33" s="25" t="inlineStr">
        <is>
          <t>Pending</t>
        </is>
      </c>
      <c r="G33" s="3" t="n"/>
      <c r="H33" s="366" t="inlineStr">
        <is>
          <t>Done</t>
        </is>
      </c>
      <c r="I33" s="149" t="n"/>
      <c r="J33" s="55" t="n"/>
    </row>
    <row r="34" ht="24" customHeight="1">
      <c r="B34" s="195" t="inlineStr">
        <is>
          <t>Clean_025</t>
        </is>
      </c>
      <c r="C34" s="195" t="inlineStr">
        <is>
          <t>Clean PDF</t>
        </is>
      </c>
      <c r="D34" s="195" t="inlineStr">
        <is>
          <t>User selects cancel.</t>
        </is>
      </c>
      <c r="E34" s="195" t="inlineStr">
        <is>
          <t>Pop-up will be closed and it will not affect anything on Spreading screen.</t>
        </is>
      </c>
      <c r="F34" s="25" t="inlineStr">
        <is>
          <t>Pending</t>
        </is>
      </c>
      <c r="G34" s="3" t="n"/>
      <c r="H34" s="366" t="inlineStr">
        <is>
          <t>Done</t>
        </is>
      </c>
      <c r="I34" s="149" t="n"/>
      <c r="J34" s="55" t="n"/>
    </row>
    <row r="35" ht="72" customHeight="1">
      <c r="B35" s="195" t="inlineStr">
        <is>
          <t>Clean_026</t>
        </is>
      </c>
      <c r="C35" s="195" t="inlineStr">
        <is>
          <t>Clean PDF</t>
        </is>
      </c>
      <c r="D35" s="195" t="inlineStr">
        <is>
          <t>User selects any of the binarization option with No Despeckle, for all pages.</t>
        </is>
      </c>
      <c r="E35" s="195" t="inlineStr">
        <is>
          <t>The circle of Clean file will not appear in the Add/Modify item page.
The Processed circle will re-start and the status of the item will get changed to Received.
Warning message of mapping data and zone loss should also display.</t>
        </is>
      </c>
      <c r="F35" s="25" t="inlineStr">
        <is>
          <t>Pending</t>
        </is>
      </c>
      <c r="G35" s="3" t="n">
        <v>71194</v>
      </c>
      <c r="H35" s="366" t="inlineStr">
        <is>
          <t>Done</t>
        </is>
      </c>
      <c r="I35" s="149" t="n"/>
      <c r="J35" s="55" t="n"/>
    </row>
    <row r="36" ht="30" customHeight="1">
      <c r="B36" s="195" t="inlineStr">
        <is>
          <t>Clean_027</t>
        </is>
      </c>
      <c r="C36" s="195" t="inlineStr">
        <is>
          <t>Clean PDF</t>
        </is>
      </c>
      <c r="D36" s="195" t="inlineStr">
        <is>
          <t>Verify that spread button should be disable in Item listing screen until all processes are complete.</t>
        </is>
      </c>
      <c r="E36" s="195" t="inlineStr">
        <is>
          <t>Button should be disable due to the processes which got started due to Clean PDF.</t>
        </is>
      </c>
      <c r="F36" s="25" t="inlineStr">
        <is>
          <t>Pending</t>
        </is>
      </c>
      <c r="G36" s="3" t="n"/>
      <c r="H36" s="366" t="inlineStr">
        <is>
          <t>Done</t>
        </is>
      </c>
      <c r="I36" s="149" t="n"/>
      <c r="J36" s="55" t="n"/>
    </row>
    <row r="37" ht="35.25" customHeight="1">
      <c r="B37" s="195" t="inlineStr">
        <is>
          <t>Clean_028</t>
        </is>
      </c>
      <c r="C37" s="195" t="inlineStr">
        <is>
          <t>Clean PDF</t>
        </is>
      </c>
      <c r="D37" s="195" t="inlineStr">
        <is>
          <t>Verify that once processes are complete, bulk json will complete and button will get enable to spread.</t>
        </is>
      </c>
      <c r="E37" s="195" t="inlineStr">
        <is>
          <t>Spread button should be enabled.</t>
        </is>
      </c>
      <c r="F37" s="25" t="inlineStr">
        <is>
          <t>Pending</t>
        </is>
      </c>
      <c r="G37" s="3" t="n"/>
      <c r="H37" s="366" t="inlineStr">
        <is>
          <t>Done</t>
        </is>
      </c>
      <c r="I37" s="149" t="n"/>
      <c r="J37" s="55" t="n"/>
    </row>
    <row r="38" ht="20.25" customHeight="1">
      <c r="B38" s="195" t="inlineStr">
        <is>
          <t>Clean_029</t>
        </is>
      </c>
      <c r="C38" s="195" t="inlineStr">
        <is>
          <t>Clean PDF</t>
        </is>
      </c>
      <c r="D38" s="195" t="inlineStr">
        <is>
          <t>Select all page and click continue.</t>
        </is>
      </c>
      <c r="E38" s="195" t="inlineStr">
        <is>
          <t>User move to modify item page.</t>
        </is>
      </c>
      <c r="F38" s="25" t="inlineStr">
        <is>
          <t>Pending</t>
        </is>
      </c>
      <c r="G38" s="3" t="n"/>
      <c r="H38" s="366" t="inlineStr">
        <is>
          <t>Done</t>
        </is>
      </c>
      <c r="I38" s="149" t="n"/>
      <c r="J38" s="55" t="n"/>
    </row>
    <row r="39">
      <c r="B39" s="195" t="inlineStr">
        <is>
          <t>Clean_030</t>
        </is>
      </c>
      <c r="C39" s="195" t="inlineStr">
        <is>
          <t>Clean PDF</t>
        </is>
      </c>
      <c r="D39" s="195" t="inlineStr">
        <is>
          <t>Click view item list.</t>
        </is>
      </c>
      <c r="E39" s="195" t="inlineStr">
        <is>
          <t>Spreading option is disable until all the process is completed.</t>
        </is>
      </c>
      <c r="F39" s="25" t="inlineStr">
        <is>
          <t>Pending</t>
        </is>
      </c>
      <c r="G39" s="3" t="n"/>
      <c r="H39" s="366" t="inlineStr">
        <is>
          <t>Done</t>
        </is>
      </c>
      <c r="I39" s="149" t="n"/>
      <c r="J39" s="55" t="n"/>
    </row>
    <row r="40" ht="26.25" customHeight="1">
      <c r="B40" s="195" t="inlineStr">
        <is>
          <t>Clean_031</t>
        </is>
      </c>
      <c r="C40" s="195" t="inlineStr">
        <is>
          <t>Clean PDF</t>
        </is>
      </c>
      <c r="D40" s="195" t="inlineStr">
        <is>
          <t>Multiple file is added for one item&gt;Spreading screen&gt;Select one page from file1&gt;apply all page.</t>
        </is>
      </c>
      <c r="E40" s="195" t="inlineStr">
        <is>
          <t>Change should reflect on all file.</t>
        </is>
      </c>
      <c r="F40" s="25" t="inlineStr">
        <is>
          <t>Pending</t>
        </is>
      </c>
      <c r="G40" s="3" t="n">
        <v>71197</v>
      </c>
      <c r="H40" s="366" t="inlineStr">
        <is>
          <t>Done</t>
        </is>
      </c>
      <c r="I40" s="149" t="n"/>
      <c r="J40" s="55" t="n"/>
    </row>
    <row r="41" ht="29.25" customHeight="1">
      <c r="B41" s="195" t="inlineStr">
        <is>
          <t>Clean_032</t>
        </is>
      </c>
      <c r="C41" s="195" t="inlineStr">
        <is>
          <t>Clean PDF</t>
        </is>
      </c>
      <c r="D41" s="195" t="inlineStr">
        <is>
          <t>Draw zones on file2 or file3&gt;Map some values&gt;Select page from file1&gt;apply all page.</t>
        </is>
      </c>
      <c r="E41" s="195" t="inlineStr">
        <is>
          <t>Zones and values from all file should wiped.</t>
        </is>
      </c>
      <c r="F41" s="25" t="inlineStr">
        <is>
          <t>Pending</t>
        </is>
      </c>
      <c r="G41" s="3" t="n"/>
      <c r="H41" s="366" t="inlineStr">
        <is>
          <t>Done</t>
        </is>
      </c>
      <c r="I41" s="149" t="n"/>
      <c r="J41" s="55" t="n"/>
    </row>
    <row r="42" ht="24" customHeight="1">
      <c r="B42" s="195" t="inlineStr">
        <is>
          <t>Clean_033</t>
        </is>
      </c>
      <c r="C42" s="195" t="inlineStr">
        <is>
          <t>Clean PDF</t>
        </is>
      </c>
      <c r="D42" s="195" t="inlineStr">
        <is>
          <t>Modify item&gt;Add one item as image&gt;Select that image &gt; click all page.</t>
        </is>
      </c>
      <c r="E42" s="195" t="inlineStr">
        <is>
          <t>Zones and values from all file should wiped.</t>
        </is>
      </c>
      <c r="F42" s="25" t="inlineStr">
        <is>
          <t>Pending</t>
        </is>
      </c>
      <c r="G42" s="3" t="n"/>
      <c r="H42" s="366" t="inlineStr">
        <is>
          <t>Done</t>
        </is>
      </c>
      <c r="I42" s="149" t="n"/>
      <c r="J42" s="55" t="n"/>
    </row>
    <row r="43" ht="24" customHeight="1">
      <c r="B43" s="195" t="inlineStr">
        <is>
          <t>Clean_034</t>
        </is>
      </c>
      <c r="C43" s="195" t="inlineStr">
        <is>
          <t>Clean PDF</t>
        </is>
      </c>
      <c r="D43" s="195" t="inlineStr">
        <is>
          <t>Make the item as base spread for another item&gt;Go to the item&gt;select all page and continue.</t>
        </is>
      </c>
      <c r="E43" s="195" t="inlineStr">
        <is>
          <t>Value of previous spread should autofill after clean and satisfying autofill criteria.</t>
        </is>
      </c>
      <c r="F43" s="25" t="inlineStr">
        <is>
          <t>Pending</t>
        </is>
      </c>
      <c r="G43" s="3" t="n"/>
      <c r="H43" s="366" t="inlineStr">
        <is>
          <t>Done</t>
        </is>
      </c>
      <c r="I43" s="149" t="n"/>
      <c r="J43" s="55" t="n"/>
    </row>
    <row r="44">
      <c r="B44" s="195" t="inlineStr">
        <is>
          <t>Clean_035</t>
        </is>
      </c>
      <c r="C44" s="195" t="inlineStr">
        <is>
          <t>Clean PDF</t>
        </is>
      </c>
      <c r="D44" s="195" t="inlineStr">
        <is>
          <t>Spread item&gt;Again click Spreading screen&gt;click all page.</t>
        </is>
      </c>
      <c r="E44" s="195" t="inlineStr">
        <is>
          <t>System should not allow all option.</t>
        </is>
      </c>
      <c r="F44" s="25" t="inlineStr">
        <is>
          <t>Pending</t>
        </is>
      </c>
      <c r="G44" s="3" t="n"/>
      <c r="H44" s="366" t="inlineStr">
        <is>
          <t>Done</t>
        </is>
      </c>
      <c r="I44" s="149" t="n"/>
      <c r="J44" s="55" t="n"/>
    </row>
    <row r="45">
      <c r="B45" s="195" t="inlineStr">
        <is>
          <t>Clean_036</t>
        </is>
      </c>
      <c r="C45" s="195" t="inlineStr">
        <is>
          <t>Clean PDF</t>
        </is>
      </c>
      <c r="D45" s="195" t="inlineStr">
        <is>
          <t>Submit to QC&gt;Select for all page.</t>
        </is>
      </c>
      <c r="E45" s="195" t="inlineStr">
        <is>
          <t>System should not allow all option.</t>
        </is>
      </c>
      <c r="F45" s="25" t="inlineStr">
        <is>
          <t>Pending</t>
        </is>
      </c>
      <c r="G45" s="3" t="n"/>
      <c r="H45" s="366" t="inlineStr">
        <is>
          <t>Done</t>
        </is>
      </c>
      <c r="I45" s="149" t="n"/>
      <c r="J45" s="55" t="n"/>
    </row>
    <row r="46">
      <c r="B46" s="195" t="inlineStr">
        <is>
          <t>Clean_037</t>
        </is>
      </c>
      <c r="C46" s="195" t="inlineStr">
        <is>
          <t>Clean PDF</t>
        </is>
      </c>
      <c r="D46" s="195" t="inlineStr">
        <is>
          <t>User open the Spreading screen.</t>
        </is>
      </c>
      <c r="E46" s="195" t="inlineStr">
        <is>
          <t>Spreading screen should be displayed.</t>
        </is>
      </c>
      <c r="F46" s="25" t="inlineStr">
        <is>
          <t>Pending</t>
        </is>
      </c>
      <c r="G46" s="3" t="n"/>
      <c r="H46" s="366" t="inlineStr">
        <is>
          <t>Done</t>
        </is>
      </c>
      <c r="I46" s="149" t="n"/>
      <c r="J46" s="55" t="n"/>
    </row>
    <row r="47" ht="59.25" customHeight="1">
      <c r="B47" s="195" t="inlineStr">
        <is>
          <t>Clean_038</t>
        </is>
      </c>
      <c r="C47" s="195" t="inlineStr">
        <is>
          <t>Clean PDF</t>
        </is>
      </c>
      <c r="D47" s="195" t="inlineStr">
        <is>
          <t>Open the Spreading screen and view the "Secondary Category" in document side and click it.
Review the "Rotate" button option and click it.</t>
        </is>
      </c>
      <c r="E47" s="195" t="inlineStr">
        <is>
          <t>Specific Page should be rotated.</t>
        </is>
      </c>
      <c r="F47" s="25" t="inlineStr">
        <is>
          <t>Pending</t>
        </is>
      </c>
      <c r="G47" s="3" t="n"/>
      <c r="H47" s="366" t="inlineStr">
        <is>
          <t>Done</t>
        </is>
      </c>
      <c r="I47" s="149" t="n"/>
      <c r="J47" s="55" t="n"/>
    </row>
    <row r="48" ht="24" customHeight="1">
      <c r="B48" s="195" t="inlineStr">
        <is>
          <t>Clean_039</t>
        </is>
      </c>
      <c r="C48" s="195" t="inlineStr">
        <is>
          <t>Clean PDF</t>
        </is>
      </c>
      <c r="D48" s="195" t="inlineStr">
        <is>
          <t>Click the clean file for single page.</t>
        </is>
      </c>
      <c r="E48" s="195" t="inlineStr">
        <is>
          <t>File should be cleaned and rotated page should maintain its structure.</t>
        </is>
      </c>
      <c r="F48" s="25" t="inlineStr">
        <is>
          <t>Pending</t>
        </is>
      </c>
      <c r="G48" s="3" t="n"/>
      <c r="H48" s="366" t="inlineStr">
        <is>
          <t>Done</t>
        </is>
      </c>
      <c r="I48" s="149" t="n"/>
      <c r="J48" s="55" t="n"/>
    </row>
    <row r="49" ht="24" customHeight="1">
      <c r="B49" s="195" t="inlineStr">
        <is>
          <t>Clean_040</t>
        </is>
      </c>
      <c r="C49" s="195" t="inlineStr">
        <is>
          <t>Clean PDF</t>
        </is>
      </c>
      <c r="D49" s="195" t="inlineStr">
        <is>
          <t>Click the Clean all file.</t>
        </is>
      </c>
      <c r="E49" s="195" t="inlineStr">
        <is>
          <t>User navigate to modify item screen;.
File should be cleaned on basis of choosen choice.</t>
        </is>
      </c>
      <c r="F49" s="25" t="inlineStr">
        <is>
          <t>Pending</t>
        </is>
      </c>
      <c r="G49" s="3" t="n"/>
      <c r="H49" s="366" t="inlineStr">
        <is>
          <t>Done</t>
        </is>
      </c>
      <c r="I49" s="149" t="n"/>
      <c r="J49" s="55" t="n"/>
    </row>
    <row r="50">
      <c r="B50" s="195" t="inlineStr">
        <is>
          <t>Clean_041</t>
        </is>
      </c>
      <c r="C50" s="195" t="inlineStr">
        <is>
          <t>Clean PDF</t>
        </is>
      </c>
      <c r="D50" s="195" t="inlineStr">
        <is>
          <t>Click rotated page number.</t>
        </is>
      </c>
      <c r="E50" s="195" t="inlineStr">
        <is>
          <t>Page should maintain its structure after rotation.</t>
        </is>
      </c>
      <c r="F50" s="25" t="inlineStr">
        <is>
          <t>Pending</t>
        </is>
      </c>
      <c r="G50" s="3" t="n"/>
      <c r="H50" s="366" t="inlineStr">
        <is>
          <t>Done</t>
        </is>
      </c>
      <c r="I50" s="149" t="n"/>
      <c r="J50" s="55" t="n"/>
    </row>
    <row r="51" ht="54" customHeight="1">
      <c r="B51" s="195" t="inlineStr">
        <is>
          <t>Clean_042</t>
        </is>
      </c>
      <c r="C51" s="195" t="inlineStr">
        <is>
          <t>Clean PDF</t>
        </is>
      </c>
      <c r="D51" s="195" t="inlineStr">
        <is>
          <t>Open the Spreading screen and view the "Secondary Category" in document side and click it.
Review the "Merge Page" button option and click it.</t>
        </is>
      </c>
      <c r="E51" s="195" t="inlineStr">
        <is>
          <t>Consecutive page should be merged and added to the last of file.</t>
        </is>
      </c>
      <c r="F51" s="25" t="inlineStr">
        <is>
          <t>Pending</t>
        </is>
      </c>
      <c r="G51" s="3" t="n"/>
      <c r="H51" s="366" t="inlineStr">
        <is>
          <t>Done</t>
        </is>
      </c>
      <c r="I51" s="149" t="n"/>
      <c r="J51" s="55" t="n"/>
    </row>
    <row r="52">
      <c r="B52" s="195" t="inlineStr">
        <is>
          <t>Clean_043</t>
        </is>
      </c>
      <c r="C52" s="195" t="inlineStr">
        <is>
          <t>Clean PDF</t>
        </is>
      </c>
      <c r="D52" s="195" t="inlineStr">
        <is>
          <t>Click the clean single page.</t>
        </is>
      </c>
      <c r="E52" s="195" t="inlineStr">
        <is>
          <t>Single page should be cleaned and navigate to Spreading screen.</t>
        </is>
      </c>
      <c r="F52" s="25" t="inlineStr">
        <is>
          <t>Pending</t>
        </is>
      </c>
      <c r="G52" s="3" t="n"/>
      <c r="H52" s="366" t="inlineStr">
        <is>
          <t>Done</t>
        </is>
      </c>
      <c r="I52" s="149" t="n"/>
      <c r="J52" s="55" t="n"/>
    </row>
    <row r="53" ht="24" customHeight="1">
      <c r="B53" s="195" t="inlineStr">
        <is>
          <t>Clean_044</t>
        </is>
      </c>
      <c r="C53" s="195" t="inlineStr">
        <is>
          <t>Clean PDF</t>
        </is>
      </c>
      <c r="D53" s="195" t="inlineStr">
        <is>
          <t>Click clean for complete file.</t>
        </is>
      </c>
      <c r="E53" s="195" t="inlineStr">
        <is>
          <t>Clean for complete file should run and user navigate to the modify item screen.</t>
        </is>
      </c>
      <c r="F53" s="25" t="inlineStr">
        <is>
          <t>Pending</t>
        </is>
      </c>
      <c r="G53" s="3" t="n"/>
      <c r="H53" s="366" t="inlineStr">
        <is>
          <t>Done</t>
        </is>
      </c>
      <c r="I53" s="149" t="n"/>
      <c r="J53" s="55" t="n"/>
    </row>
    <row r="54">
      <c r="B54" s="195" t="inlineStr">
        <is>
          <t>Clean_045</t>
        </is>
      </c>
      <c r="C54" s="195" t="inlineStr">
        <is>
          <t>Clean PDF</t>
        </is>
      </c>
      <c r="D54" s="195" t="inlineStr">
        <is>
          <t>Click the Spreading screen.</t>
        </is>
      </c>
      <c r="E54" s="195" t="inlineStr">
        <is>
          <t>Observe only rotated and split page should remain in file.</t>
        </is>
      </c>
      <c r="F54" s="25" t="inlineStr">
        <is>
          <t>Pending</t>
        </is>
      </c>
      <c r="G54" s="3" t="n"/>
      <c r="H54" s="366" t="inlineStr">
        <is>
          <t>Done</t>
        </is>
      </c>
      <c r="I54" s="149" t="n"/>
      <c r="J54" s="55" t="n"/>
    </row>
    <row r="55">
      <c r="B55" s="195" t="inlineStr">
        <is>
          <t>Clean_046</t>
        </is>
      </c>
      <c r="C55" s="195" t="inlineStr">
        <is>
          <t>Clean PDF</t>
        </is>
      </c>
      <c r="D55" s="195" t="inlineStr">
        <is>
          <t>User use file which will have no prediction.</t>
        </is>
      </c>
      <c r="E55" s="195" t="inlineStr">
        <is>
          <t>In Spreading screen table and AI prediction should not show.</t>
        </is>
      </c>
      <c r="F55" s="25" t="inlineStr">
        <is>
          <t>Pending</t>
        </is>
      </c>
      <c r="G55" s="3" t="n"/>
      <c r="H55" s="366" t="inlineStr">
        <is>
          <t>Done</t>
        </is>
      </c>
      <c r="I55" s="149" t="n"/>
      <c r="J55" s="55" t="n"/>
    </row>
    <row r="56">
      <c r="B56" s="195" t="inlineStr">
        <is>
          <t>Clean_047</t>
        </is>
      </c>
      <c r="C56" s="195" t="inlineStr">
        <is>
          <t>Clean PDF</t>
        </is>
      </c>
      <c r="D56" s="195" t="inlineStr">
        <is>
          <t>Click the clean for all page option.</t>
        </is>
      </c>
      <c r="E56" s="195" t="inlineStr">
        <is>
          <t>User navigate to the modify item screen.</t>
        </is>
      </c>
      <c r="F56" s="25" t="inlineStr">
        <is>
          <t>Pending</t>
        </is>
      </c>
      <c r="G56" s="3" t="n"/>
      <c r="H56" s="366" t="inlineStr">
        <is>
          <t>Done</t>
        </is>
      </c>
      <c r="I56" s="149" t="n"/>
      <c r="J56" s="55" t="n"/>
    </row>
    <row r="57">
      <c r="B57" s="195" t="inlineStr">
        <is>
          <t>Clean_048</t>
        </is>
      </c>
      <c r="C57" s="195" t="inlineStr">
        <is>
          <t>Clean PDF</t>
        </is>
      </c>
      <c r="D57" s="195" t="inlineStr">
        <is>
          <t>Click the Spreading screen after completion of all page.</t>
        </is>
      </c>
      <c r="E57" s="195" t="inlineStr">
        <is>
          <t>Spreading screen should be displayed.</t>
        </is>
      </c>
      <c r="F57" s="25" t="inlineStr">
        <is>
          <t>Pending</t>
        </is>
      </c>
      <c r="G57" s="3" t="n"/>
      <c r="H57" s="366" t="inlineStr">
        <is>
          <t>Done</t>
        </is>
      </c>
      <c r="I57" s="149" t="n"/>
      <c r="J57" s="55" t="n"/>
    </row>
    <row r="58">
      <c r="B58" s="195" t="inlineStr">
        <is>
          <t>Clean_049</t>
        </is>
      </c>
      <c r="C58" s="195" t="inlineStr">
        <is>
          <t>Clean PDF</t>
        </is>
      </c>
      <c r="D58" s="195" t="inlineStr">
        <is>
          <t>Click the zone overlay button.</t>
        </is>
      </c>
      <c r="E58" s="195" t="inlineStr">
        <is>
          <t>Zone should be display.</t>
        </is>
      </c>
      <c r="F58" s="25" t="inlineStr">
        <is>
          <t>Pending</t>
        </is>
      </c>
      <c r="G58" s="3" t="n"/>
      <c r="H58" s="366" t="inlineStr">
        <is>
          <t>Done</t>
        </is>
      </c>
      <c r="I58" s="149" t="n"/>
      <c r="J58" s="55" t="n"/>
    </row>
    <row r="59">
      <c r="B59" s="195" t="inlineStr">
        <is>
          <t>Clean_050</t>
        </is>
      </c>
      <c r="C59" s="195" t="inlineStr">
        <is>
          <t>Clean PDF</t>
        </is>
      </c>
      <c r="D59" s="195" t="inlineStr">
        <is>
          <t>Click the notes processing icon.</t>
        </is>
      </c>
      <c r="E59" s="195" t="inlineStr">
        <is>
          <t>Notes processing from AI prediction should display.</t>
        </is>
      </c>
      <c r="F59" s="25" t="inlineStr">
        <is>
          <t>Pending</t>
        </is>
      </c>
      <c r="G59" s="3" t="n"/>
      <c r="H59" s="366" t="inlineStr">
        <is>
          <t>Done</t>
        </is>
      </c>
      <c r="I59" s="149" t="n"/>
      <c r="J59" s="55" t="n"/>
    </row>
    <row r="60">
      <c r="B60" s="195" t="inlineStr">
        <is>
          <t>Clean_051</t>
        </is>
      </c>
      <c r="C60" s="195" t="inlineStr">
        <is>
          <t>Clean PDF</t>
        </is>
      </c>
      <c r="D60" s="195" t="inlineStr">
        <is>
          <t>Set value column on table&gt;click clean all file.</t>
        </is>
      </c>
      <c r="E60" s="195" t="inlineStr">
        <is>
          <t>User navigate to modify screen and clean process will start.</t>
        </is>
      </c>
      <c r="F60" s="25" t="inlineStr">
        <is>
          <t>Pending</t>
        </is>
      </c>
      <c r="G60" s="3" t="n"/>
      <c r="H60" s="366" t="inlineStr">
        <is>
          <t>Done</t>
        </is>
      </c>
      <c r="I60" s="149" t="n"/>
      <c r="J60" s="55" t="n"/>
    </row>
    <row r="61">
      <c r="B61" s="195" t="inlineStr">
        <is>
          <t>Clean_052</t>
        </is>
      </c>
      <c r="C61" s="195" t="inlineStr">
        <is>
          <t>Clean PDF</t>
        </is>
      </c>
      <c r="D61" s="195" t="inlineStr">
        <is>
          <t>User navigate to the Spreading screen.</t>
        </is>
      </c>
      <c r="E61" s="195" t="inlineStr">
        <is>
          <t>Observe for same table value column should be removed.</t>
        </is>
      </c>
      <c r="F61" s="25" t="inlineStr">
        <is>
          <t>Pending</t>
        </is>
      </c>
      <c r="G61" s="3" t="n"/>
      <c r="H61" s="366" t="inlineStr">
        <is>
          <t>Done</t>
        </is>
      </c>
      <c r="I61" s="149" t="n"/>
      <c r="J61" s="55" t="n"/>
    </row>
    <row r="62" ht="90" customHeight="1">
      <c r="B62" s="195" t="inlineStr">
        <is>
          <t>Clean_053</t>
        </is>
      </c>
      <c r="C62" s="195" t="inlineStr">
        <is>
          <t>Clean PDF</t>
        </is>
      </c>
      <c r="D62" s="195" t="inlineStr">
        <is>
          <t>Open the Spreading screen and view the "Secondary Category" in document side and click it.
Review the "Clean File" Dropdown button option and click it.
Review the "Reset" multi-select option.
Review the Single page option and click it.</t>
        </is>
      </c>
      <c r="E62" s="195" t="inlineStr">
        <is>
          <t>Page should maintain its structure and reset the split page.</t>
        </is>
      </c>
      <c r="F62" s="25" t="inlineStr">
        <is>
          <t>Pending</t>
        </is>
      </c>
      <c r="G62" s="3" t="n"/>
      <c r="H62" s="366" t="inlineStr">
        <is>
          <t>Done</t>
        </is>
      </c>
      <c r="I62" s="149" t="n"/>
      <c r="J62" s="55" t="n"/>
    </row>
    <row r="63">
      <c r="B63" s="195" t="inlineStr">
        <is>
          <t>Clean_054</t>
        </is>
      </c>
      <c r="C63" s="195" t="inlineStr">
        <is>
          <t>Clean PDF</t>
        </is>
      </c>
      <c r="D63" s="195" t="inlineStr">
        <is>
          <t>User navigate to page with table&gt;Apply low despeckle option.</t>
        </is>
      </c>
      <c r="E63" s="195" t="inlineStr">
        <is>
          <t>Page should be despeckled and value should show correct in table.</t>
        </is>
      </c>
      <c r="F63" s="25" t="inlineStr">
        <is>
          <t>Pending</t>
        </is>
      </c>
      <c r="G63" s="3" t="n"/>
      <c r="H63" s="366" t="inlineStr">
        <is>
          <t>Done</t>
        </is>
      </c>
      <c r="I63" s="149" t="n"/>
      <c r="J63" s="55" t="n"/>
    </row>
    <row r="64" ht="24" customHeight="1">
      <c r="B64" s="195" t="inlineStr">
        <is>
          <t>Clean_055</t>
        </is>
      </c>
      <c r="C64" s="195" t="inlineStr">
        <is>
          <t>Clean PDF</t>
        </is>
      </c>
      <c r="D64" s="195" t="inlineStr">
        <is>
          <t>User navigate to page with table&gt;Apply low despeckle option with binarization.</t>
        </is>
      </c>
      <c r="E64" s="195" t="inlineStr">
        <is>
          <t>Page should be despeckled and binarized and value should show correct in table.</t>
        </is>
      </c>
      <c r="F64" s="25" t="inlineStr">
        <is>
          <t>Pending</t>
        </is>
      </c>
      <c r="G64" s="3" t="n"/>
      <c r="H64" s="366" t="inlineStr">
        <is>
          <t>Done</t>
        </is>
      </c>
      <c r="I64" s="149" t="n"/>
      <c r="J64" s="55" t="n"/>
    </row>
    <row r="65" ht="24" customHeight="1">
      <c r="B65" s="195" t="inlineStr">
        <is>
          <t>Clean_056</t>
        </is>
      </c>
      <c r="C65" s="195" t="inlineStr">
        <is>
          <t>Clean PDF</t>
        </is>
      </c>
      <c r="D65" s="195" t="inlineStr">
        <is>
          <t>User navigate to page with table&gt;Apply low despeckle option.
Apply Reset option.</t>
        </is>
      </c>
      <c r="E65" s="195" t="inlineStr">
        <is>
          <t>Page should be restored.</t>
        </is>
      </c>
      <c r="F65" s="25" t="inlineStr">
        <is>
          <t>Pending</t>
        </is>
      </c>
      <c r="G65" s="3" t="n"/>
      <c r="H65" s="366" t="inlineStr">
        <is>
          <t>Done</t>
        </is>
      </c>
      <c r="I65" s="149" t="n"/>
      <c r="J65" s="55" t="n"/>
    </row>
    <row r="66" ht="36" customHeight="1">
      <c r="B66" s="195" t="inlineStr">
        <is>
          <t>Clean_057</t>
        </is>
      </c>
      <c r="C66" s="195" t="inlineStr">
        <is>
          <t>Clean PDF</t>
        </is>
      </c>
      <c r="D66" s="195" t="inlineStr">
        <is>
          <t>User navigate to page with table&gt;Apply low despeckle option with binarization.
Apply Reset.</t>
        </is>
      </c>
      <c r="E66" s="195" t="inlineStr">
        <is>
          <t>Page should be restored.</t>
        </is>
      </c>
      <c r="F66" s="25" t="inlineStr">
        <is>
          <t>Pending</t>
        </is>
      </c>
      <c r="G66" s="3" t="n"/>
      <c r="H66" s="366" t="inlineStr">
        <is>
          <t>Done</t>
        </is>
      </c>
      <c r="I66" s="149" t="n"/>
      <c r="J66" s="55" t="n"/>
    </row>
    <row r="67" ht="59.25" customHeight="1">
      <c r="B67" s="195" t="inlineStr">
        <is>
          <t>Clean_058</t>
        </is>
      </c>
      <c r="C67" s="195" t="inlineStr">
        <is>
          <t>Clean PDF</t>
        </is>
      </c>
      <c r="D67" s="195" t="inlineStr">
        <is>
          <t>User selects specific file with no table detection.
Apply celan all(Despeckle,binarization and both)&gt;User move to Spreading screen.</t>
        </is>
      </c>
      <c r="E67" s="195" t="inlineStr">
        <is>
          <t>The user should have zones and notes processing predicted from AI/ML.</t>
        </is>
      </c>
      <c r="F67" s="25" t="inlineStr">
        <is>
          <t>Pending</t>
        </is>
      </c>
      <c r="G67" s="3" t="n"/>
      <c r="H67" s="366" t="inlineStr">
        <is>
          <t>Done</t>
        </is>
      </c>
      <c r="I67" s="149" t="n"/>
      <c r="J67" s="55" t="n"/>
    </row>
    <row r="68" ht="92.25" customHeight="1">
      <c r="B68" s="195" t="inlineStr">
        <is>
          <t>Clean_059</t>
        </is>
      </c>
      <c r="C68" s="195" t="inlineStr">
        <is>
          <t>Clean PDF</t>
        </is>
      </c>
      <c r="D68" s="195" t="inlineStr">
        <is>
          <t>User selects clean all for a file.
Accept the required setting from pop up and continue.
User observe file processing,zones extraction and key word processing loader.</t>
        </is>
      </c>
      <c r="E68" s="195" t="inlineStr">
        <is>
          <t>5 Image popup should appear with different option.
User navigate to the modify item page.
Mentioned loader will start from begining.</t>
        </is>
      </c>
      <c r="F68" s="25" t="inlineStr">
        <is>
          <t>Pending</t>
        </is>
      </c>
      <c r="G68" s="3" t="n">
        <v>71196</v>
      </c>
      <c r="H68" s="366" t="inlineStr">
        <is>
          <t>Done</t>
        </is>
      </c>
      <c r="I68" s="149" t="n"/>
      <c r="J68" s="55" t="n"/>
    </row>
    <row r="69" ht="71.25" customHeight="1">
      <c r="B69" s="195" t="inlineStr">
        <is>
          <t>Clean_060</t>
        </is>
      </c>
      <c r="C69" s="195" t="inlineStr">
        <is>
          <t>Clean PDF</t>
        </is>
      </c>
      <c r="D69" s="195" t="inlineStr">
        <is>
          <t>Open the Spreading screen and apply clean with despeckle.
User observe the loader in modify item page.
User navigate to the item listing page and again back to modify item page.</t>
        </is>
      </c>
      <c r="E69" s="195" t="inlineStr">
        <is>
          <t>Applied setting will be work and user navigate to the modify item page.
Clean loader should come and show % in the modify item page.
Clean % should be shown to the user.</t>
        </is>
      </c>
      <c r="F69" s="25" t="inlineStr">
        <is>
          <t>Pending</t>
        </is>
      </c>
      <c r="G69" s="3" t="n"/>
      <c r="H69" s="366" t="inlineStr">
        <is>
          <t>Done</t>
        </is>
      </c>
      <c r="I69" s="149" t="n"/>
      <c r="J69" s="55" t="n"/>
    </row>
    <row r="70" ht="88.5" customHeight="1">
      <c r="B70" s="195" t="inlineStr">
        <is>
          <t>Clean_061</t>
        </is>
      </c>
      <c r="C70" s="195" t="inlineStr">
        <is>
          <t>Clean PDF</t>
        </is>
      </c>
      <c r="D70" s="195" t="inlineStr">
        <is>
          <t>Open the the Spreading screen.
User splits one page into two&gt;.
User apply rotate&gt;.
User apply merge page.
User apply binarization for all file.</t>
        </is>
      </c>
      <c r="E70" s="195" t="inlineStr">
        <is>
          <t>Cleaned file should retain split file and rotated file but not merged file.</t>
        </is>
      </c>
      <c r="F70" s="25" t="inlineStr">
        <is>
          <t>Pending</t>
        </is>
      </c>
      <c r="G70" s="3" t="n"/>
      <c r="H70" s="366" t="inlineStr">
        <is>
          <t>Done</t>
        </is>
      </c>
      <c r="I70" s="149" t="n"/>
      <c r="J70" s="55" t="n"/>
    </row>
    <row r="71" ht="60" customHeight="1">
      <c r="B71" s="195" t="inlineStr">
        <is>
          <t>Clean_062</t>
        </is>
      </c>
      <c r="C71" s="195" t="inlineStr">
        <is>
          <t>Clean PDF</t>
        </is>
      </c>
      <c r="D71" s="195" t="inlineStr">
        <is>
          <t>Open the the Spreading screen.
User splits one page into two&gt;.
User apply rotate&gt;.
User apply merge page.
User apply binarization with despeckle for all file.</t>
        </is>
      </c>
      <c r="E71" s="195" t="inlineStr">
        <is>
          <t>Cleaned file should retain split file and rotated file but not merged file.</t>
        </is>
      </c>
      <c r="F71" s="25" t="inlineStr">
        <is>
          <t>Pending</t>
        </is>
      </c>
      <c r="G71" s="3" t="n"/>
      <c r="H71" s="366" t="inlineStr">
        <is>
          <t>Done</t>
        </is>
      </c>
      <c r="I71" s="149" t="n"/>
      <c r="J71" s="55" t="n"/>
    </row>
    <row r="72" ht="60" customHeight="1">
      <c r="B72" s="195" t="inlineStr">
        <is>
          <t>Clean_063</t>
        </is>
      </c>
      <c r="C72" s="195" t="inlineStr">
        <is>
          <t>Clean PDF</t>
        </is>
      </c>
      <c r="D72" s="195" t="inlineStr">
        <is>
          <t>Open the the Spreading screen.
User splits one page into two&gt;.
User apply rotate&gt;.
User apply merge page.
User apply despeckle for all file.</t>
        </is>
      </c>
      <c r="E72" s="195" t="inlineStr">
        <is>
          <t>Cleaned file should retain split file and rotated file but not merged file.</t>
        </is>
      </c>
      <c r="F72" s="25" t="inlineStr">
        <is>
          <t>Pending</t>
        </is>
      </c>
      <c r="G72" s="3" t="n"/>
      <c r="H72" s="366" t="inlineStr">
        <is>
          <t>Done</t>
        </is>
      </c>
      <c r="I72" s="149" t="n"/>
      <c r="J72" s="55" t="n"/>
    </row>
    <row r="73" ht="54.75" customHeight="1">
      <c r="B73" s="195" t="inlineStr">
        <is>
          <t>Clean_064</t>
        </is>
      </c>
      <c r="C73" s="195" t="inlineStr">
        <is>
          <t>Clean PDF</t>
        </is>
      </c>
      <c r="D73" s="195" t="inlineStr">
        <is>
          <t>User apply clean file with despeckle for two file out of 3 in item.</t>
        </is>
      </c>
      <c r="E73" s="195" t="inlineStr">
        <is>
          <t>User navigate to modify item screen;.
Clean loader will show in two file for which clean applied.</t>
        </is>
      </c>
      <c r="F73" s="25" t="inlineStr">
        <is>
          <t>Pending</t>
        </is>
      </c>
      <c r="G73" s="3" t="n"/>
      <c r="H73" s="366" t="inlineStr">
        <is>
          <t>Done</t>
        </is>
      </c>
      <c r="I73" s="149" t="n"/>
      <c r="J73" s="55" t="n"/>
    </row>
    <row r="74" ht="36.75" customHeight="1">
      <c r="B74" s="195" t="inlineStr">
        <is>
          <t>Clean_065</t>
        </is>
      </c>
      <c r="C74" s="195" t="inlineStr">
        <is>
          <t>Clean PDF</t>
        </is>
      </c>
      <c r="D74" s="195" t="inlineStr">
        <is>
          <t>Add 3 item &gt; Spreading &gt;clean all file&gt;select two file out of three &gt; click refresh button.</t>
        </is>
      </c>
      <c r="E74" s="195" t="inlineStr">
        <is>
          <t>Updated status should be shown in item listing page.</t>
        </is>
      </c>
      <c r="F74" s="25" t="inlineStr">
        <is>
          <t>Pending</t>
        </is>
      </c>
      <c r="G74" s="3" t="n"/>
      <c r="H74" s="366" t="inlineStr">
        <is>
          <t>Done</t>
        </is>
      </c>
      <c r="I74" s="149" t="n"/>
      <c r="J74" s="55" t="n"/>
    </row>
    <row r="75" ht="24" customHeight="1">
      <c r="B75" s="195" t="inlineStr">
        <is>
          <t>Clean_066</t>
        </is>
      </c>
      <c r="C75" s="195" t="inlineStr">
        <is>
          <t>Clean PDF</t>
        </is>
      </c>
      <c r="D75" s="195" t="inlineStr">
        <is>
          <t>Click the Clean file&gt;User click the reset for all page.</t>
        </is>
      </c>
      <c r="E75" s="195" t="inlineStr">
        <is>
          <t>User navigate to the modify item screen.
File should be replaced with original file.</t>
        </is>
      </c>
      <c r="F75" s="25" t="inlineStr">
        <is>
          <t>Pending</t>
        </is>
      </c>
      <c r="G75" s="3" t="n"/>
      <c r="H75" s="366" t="inlineStr">
        <is>
          <t>Done</t>
        </is>
      </c>
      <c r="I75" s="149" t="n"/>
      <c r="J75" s="55" t="n"/>
    </row>
    <row r="76" ht="24" customHeight="1">
      <c r="B76" s="195" t="inlineStr">
        <is>
          <t>Clean_067</t>
        </is>
      </c>
      <c r="C76" s="195" t="inlineStr">
        <is>
          <t>Clean PDF</t>
        </is>
      </c>
      <c r="D76" s="195" t="inlineStr">
        <is>
          <t>Open the Spreading screen&gt;merge file,rotate file,split file&gt;Clean the file&gt;Reset all.</t>
        </is>
      </c>
      <c r="E76" s="195" t="inlineStr">
        <is>
          <t>File should not remember the structure and show original file.</t>
        </is>
      </c>
      <c r="F76" s="25" t="inlineStr">
        <is>
          <t>Pending</t>
        </is>
      </c>
      <c r="G76" s="3" t="n"/>
      <c r="H76" s="366" t="inlineStr">
        <is>
          <t>Done</t>
        </is>
      </c>
      <c r="I76" s="149" t="n"/>
      <c r="J76" s="55" t="n"/>
    </row>
    <row r="77" ht="24" customHeight="1">
      <c r="B77" s="195" t="inlineStr">
        <is>
          <t>Clean_068</t>
        </is>
      </c>
      <c r="C77" s="195" t="inlineStr">
        <is>
          <t>Clean PDF</t>
        </is>
      </c>
      <c r="D77" s="195" t="inlineStr">
        <is>
          <t>Open the Spreading screen &gt; merge file,rotate file,split file&gt;despeckle all&gt;Reset.</t>
        </is>
      </c>
      <c r="E77" s="195" t="inlineStr">
        <is>
          <t>Reset for will bring original file.</t>
        </is>
      </c>
      <c r="F77" s="25" t="inlineStr">
        <is>
          <t>Pending</t>
        </is>
      </c>
      <c r="G77" s="3" t="n"/>
      <c r="H77" s="366" t="inlineStr">
        <is>
          <t>Done</t>
        </is>
      </c>
      <c r="I77" s="149" t="n"/>
      <c r="J77" s="55" t="n"/>
    </row>
    <row r="78" ht="36" customHeight="1">
      <c r="B78" s="195" t="inlineStr">
        <is>
          <t>Clean_069</t>
        </is>
      </c>
      <c r="C78" s="195" t="inlineStr">
        <is>
          <t>Clean PDF</t>
        </is>
      </c>
      <c r="D78" s="195" t="inlineStr">
        <is>
          <t>Open the Spreading screen&gt;map value from table &gt; save as draft&gt;go to previous page&gt;apply split current page&gt;rotate first page&gt;merge any two page&gt;apply water mark only for all.</t>
        </is>
      </c>
      <c r="E78" s="195" t="inlineStr">
        <is>
          <t>Observe after clean&gt; Spreading screen &gt;model side should be blank.</t>
        </is>
      </c>
      <c r="F78" s="25" t="inlineStr">
        <is>
          <t>Pending</t>
        </is>
      </c>
      <c r="G78" s="3" t="n"/>
      <c r="H78" s="366" t="inlineStr">
        <is>
          <t>Done</t>
        </is>
      </c>
      <c r="I78" s="149" t="n"/>
      <c r="J78" s="55" t="n"/>
    </row>
    <row r="79" ht="36" customHeight="1">
      <c r="B79" s="195" t="inlineStr">
        <is>
          <t>Clean_070</t>
        </is>
      </c>
      <c r="C79" s="195" t="inlineStr">
        <is>
          <t>Clean PDF</t>
        </is>
      </c>
      <c r="D79" s="195" t="inlineStr">
        <is>
          <t>Open the Spreading screen&gt;map value from table &gt; save as draft&gt;go to previous page&gt;apply split current page&gt;rotate first page&gt;merge any two page&gt;apply despeckle and original only for all.</t>
        </is>
      </c>
      <c r="E79" s="195" t="inlineStr">
        <is>
          <t>Observe after clean&gt; Spreading screen &gt;model side should be blank.</t>
        </is>
      </c>
      <c r="F79" s="25" t="inlineStr">
        <is>
          <t>Pending</t>
        </is>
      </c>
      <c r="G79" s="3" t="n"/>
      <c r="H79" s="366" t="inlineStr">
        <is>
          <t>Done</t>
        </is>
      </c>
      <c r="I79" s="149" t="n"/>
      <c r="J79" s="55" t="n"/>
    </row>
    <row r="80" ht="36" customHeight="1">
      <c r="B80" s="195" t="inlineStr">
        <is>
          <t>Clean_071</t>
        </is>
      </c>
      <c r="C80" s="195" t="inlineStr">
        <is>
          <t>Clean PDF</t>
        </is>
      </c>
      <c r="D80" s="195" t="inlineStr">
        <is>
          <t>Open the Spreading screen&gt;map value from table &gt; save as draft&gt;go to previous page&gt;apply split current page&gt;rotate first page&gt;merge any two page&gt;apply despeckle and watermark only for all.</t>
        </is>
      </c>
      <c r="E80" s="195" t="inlineStr">
        <is>
          <t>Observe after clean&gt; Spreading screen &gt;model side should be blank.</t>
        </is>
      </c>
      <c r="F80" s="25" t="inlineStr">
        <is>
          <t>Pending</t>
        </is>
      </c>
      <c r="G80" s="3" t="n"/>
      <c r="H80" s="366" t="inlineStr">
        <is>
          <t>Done</t>
        </is>
      </c>
      <c r="I80" s="149" t="n"/>
      <c r="J80" s="55" t="n"/>
    </row>
    <row r="81" ht="24" customHeight="1">
      <c r="B81" s="195" t="inlineStr">
        <is>
          <t>Clean_072</t>
        </is>
      </c>
      <c r="C81" s="195" t="inlineStr">
        <is>
          <t>Clean PDF</t>
        </is>
      </c>
      <c r="D81" s="195" t="inlineStr">
        <is>
          <t>Open the Spreading screen&gt;map value from table &gt; save as draft&gt;&gt;apply watermark for all.</t>
        </is>
      </c>
      <c r="E81" s="195" t="inlineStr">
        <is>
          <t>Observe after clean&gt; Spreading screen &gt;model side should be blank.</t>
        </is>
      </c>
      <c r="F81" s="25" t="inlineStr">
        <is>
          <t>Pending</t>
        </is>
      </c>
      <c r="G81" s="3" t="n"/>
      <c r="H81" s="366" t="inlineStr">
        <is>
          <t>Done</t>
        </is>
      </c>
      <c r="I81" s="149" t="n"/>
      <c r="J81" s="55" t="n"/>
    </row>
    <row r="82" ht="96" customHeight="1">
      <c r="B82" s="195" t="inlineStr">
        <is>
          <t>Clean_073</t>
        </is>
      </c>
      <c r="C82" s="195" t="inlineStr">
        <is>
          <t>Reset Merged Pages</t>
        </is>
      </c>
      <c r="D82" s="195" t="inlineStr">
        <is>
          <t>Spreading screen&gt;merge any 2 pages.
Navigates to last page&gt;clean single page.
Verify with:
A) No despeckle.
B) Low despeckle.
C) High despeckle.
Reset then after every clean setting applied.</t>
        </is>
      </c>
      <c r="E82" s="195" t="inlineStr">
        <is>
          <t>The user should be able to Merge Pages.
Clean should be applied using mentioned options.
Reset should work for single page once clean applied.
Reset should not work once already done.</t>
        </is>
      </c>
      <c r="F82" s="25" t="inlineStr">
        <is>
          <t>Pending</t>
        </is>
      </c>
      <c r="G82" s="3" t="n"/>
      <c r="H82" s="366" t="inlineStr">
        <is>
          <t>Done</t>
        </is>
      </c>
      <c r="I82" s="149" t="n"/>
      <c r="J82" s="55" t="n"/>
    </row>
    <row r="83" ht="42.75" customHeight="1">
      <c r="B83" s="195" t="inlineStr">
        <is>
          <t>Clean_074</t>
        </is>
      </c>
      <c r="C83" s="196" t="inlineStr">
        <is>
          <t>Clean PDF - Special Characters</t>
        </is>
      </c>
      <c r="D83" s="196" t="inlineStr">
        <is>
          <t>Table mapping heading have special charcter but while reading these charcters are removed by OCR for e.g hypehn, colon, semi-colon, bractes etc.</t>
        </is>
      </c>
      <c r="E83" s="196" t="inlineStr">
        <is>
          <t>Sometimes OCR is unable to read the special character from file heading in mapping values, clean the file and validate special character again.</t>
        </is>
      </c>
      <c r="F83" s="25" t="inlineStr">
        <is>
          <t>Pending</t>
        </is>
      </c>
      <c r="G83" s="3" t="inlineStr">
        <is>
          <t>New</t>
        </is>
      </c>
      <c r="H83" s="366" t="inlineStr">
        <is>
          <t>Out of Scope</t>
        </is>
      </c>
      <c r="I83" s="3" t="n"/>
      <c r="J83" s="3" t="n"/>
    </row>
    <row r="84" ht="33" customHeight="1">
      <c r="B84" s="195" t="inlineStr">
        <is>
          <t>Clean_075</t>
        </is>
      </c>
      <c r="C84" s="196" t="inlineStr">
        <is>
          <t>Clean PDF - Font Issue Samples</t>
        </is>
      </c>
      <c r="D84" s="196" t="inlineStr">
        <is>
          <t>In Font issues sample files, validate the data mapping before and after cleaning.</t>
        </is>
      </c>
      <c r="E84" s="196" t="inlineStr">
        <is>
          <t>After cleaning the file mapping accuracy should get increase.</t>
        </is>
      </c>
      <c r="F84" s="25" t="inlineStr">
        <is>
          <t>Pending</t>
        </is>
      </c>
      <c r="G84" s="3" t="inlineStr">
        <is>
          <t>New</t>
        </is>
      </c>
      <c r="H84" s="366" t="inlineStr">
        <is>
          <t>Out of Scope</t>
        </is>
      </c>
      <c r="I84" s="3" t="n"/>
      <c r="J84" s="3" t="n"/>
    </row>
    <row r="85" ht="33" customHeight="1">
      <c r="B85" s="195" t="inlineStr">
        <is>
          <t>Clean_076</t>
        </is>
      </c>
      <c r="C85" s="196" t="inlineStr">
        <is>
          <t>Clean PDF -watermark/Stamp Samples</t>
        </is>
      </c>
      <c r="D85" s="196" t="inlineStr">
        <is>
          <t>In Watermark sample files, validate the data mapping data above watermark samples before and after cleaning.</t>
        </is>
      </c>
      <c r="E85" s="196" t="inlineStr">
        <is>
          <t>After cleaning the file mapping accuracy should get increase.</t>
        </is>
      </c>
      <c r="F85" s="25" t="inlineStr">
        <is>
          <t>Pending</t>
        </is>
      </c>
      <c r="G85" s="3" t="inlineStr">
        <is>
          <t>New</t>
        </is>
      </c>
      <c r="H85" s="366" t="inlineStr">
        <is>
          <t>Done</t>
        </is>
      </c>
      <c r="I85" s="3" t="n"/>
      <c r="J85" s="3" t="n"/>
    </row>
    <row r="86" ht="34.5" customHeight="1">
      <c r="B86" s="195" t="inlineStr">
        <is>
          <t>Clean_077</t>
        </is>
      </c>
      <c r="C86" s="196" t="inlineStr">
        <is>
          <t>Clean PDF -Skewed Samples</t>
        </is>
      </c>
      <c r="D86" s="196" t="inlineStr">
        <is>
          <t>In skewed sample files, validate the data rotation for data above watermark samples before and after cleaning.</t>
        </is>
      </c>
      <c r="E86" s="196" t="inlineStr">
        <is>
          <t>After cleaning the file mapping accuracy should get increase.</t>
        </is>
      </c>
      <c r="F86" s="25" t="inlineStr">
        <is>
          <t>Pending</t>
        </is>
      </c>
      <c r="G86" s="3" t="inlineStr">
        <is>
          <t>New</t>
        </is>
      </c>
      <c r="H86" s="366" t="inlineStr">
        <is>
          <t>Done</t>
        </is>
      </c>
      <c r="I86" s="3" t="n"/>
      <c r="J86" s="3" t="n"/>
    </row>
    <row r="87" ht="37.5" customHeight="1">
      <c r="B87" s="195" t="inlineStr">
        <is>
          <t>Clean_078</t>
        </is>
      </c>
      <c r="C87" s="196" t="inlineStr">
        <is>
          <t>Clean PDF -Number Format Issue Samples</t>
        </is>
      </c>
      <c r="D87" s="196" t="inlineStr">
        <is>
          <t>In number format issue sample files, validate the mapping of dots, comma, numbers quality for samples before and after cleaning.</t>
        </is>
      </c>
      <c r="E87" s="196" t="inlineStr">
        <is>
          <t>After cleaning the file mapping accuracy should get increase.</t>
        </is>
      </c>
      <c r="F87" s="25" t="inlineStr">
        <is>
          <t>Pending</t>
        </is>
      </c>
      <c r="G87" s="3" t="inlineStr">
        <is>
          <t>New</t>
        </is>
      </c>
      <c r="H87" s="366" t="inlineStr">
        <is>
          <t>Done</t>
        </is>
      </c>
      <c r="I87" s="3" t="n"/>
      <c r="J87" s="3" t="n"/>
    </row>
  </sheetData>
  <mergeCells count="7">
    <mergeCell ref="B6:C6"/>
    <mergeCell ref="B7:C7"/>
    <mergeCell ref="B2:F2"/>
    <mergeCell ref="B3:C3"/>
    <mergeCell ref="B5:C5"/>
    <mergeCell ref="B8:C8"/>
    <mergeCell ref="B4:C4"/>
  </mergeCells>
  <conditionalFormatting sqref="D3">
    <cfRule type="expression" priority="106" dxfId="51" stopIfTrue="1">
      <formula>AND(COUNTIF($A$8:$A$8, D3)+COUNTIF(#REF!, D3)&gt;1,NOT(ISBLANK(D3)))</formula>
    </cfRule>
  </conditionalFormatting>
  <conditionalFormatting sqref="D4">
    <cfRule type="cellIs" priority="77" operator="lessThan" dxfId="10" stopIfTrue="1">
      <formula>1</formula>
    </cfRule>
  </conditionalFormatting>
  <conditionalFormatting sqref="D4:D8">
    <cfRule type="cellIs" priority="72" operator="greaterThan" dxfId="9" stopIfTrue="1">
      <formula>0</formula>
    </cfRule>
    <cfRule type="cellIs" priority="73" operator="greaterThan" dxfId="9" stopIfTrue="1">
      <formula>1</formula>
    </cfRule>
    <cfRule type="cellIs" priority="74" operator="greaterThan" dxfId="10" stopIfTrue="1">
      <formula>0</formula>
    </cfRule>
    <cfRule type="cellIs" priority="75" operator="greaterThan" dxfId="10" stopIfTrue="1">
      <formula>1</formula>
    </cfRule>
    <cfRule type="cellIs" priority="76" operator="equal" dxfId="9" stopIfTrue="1">
      <formula>$C$3</formula>
    </cfRule>
  </conditionalFormatting>
  <conditionalFormatting sqref="D5:D8">
    <cfRule type="cellIs" priority="65" operator="lessThan" dxfId="10" stopIfTrue="1">
      <formula>1</formula>
    </cfRule>
  </conditionalFormatting>
  <conditionalFormatting sqref="E4">
    <cfRule type="cellIs" priority="104" operator="equal" dxfId="9" stopIfTrue="1">
      <formula>1</formula>
    </cfRule>
    <cfRule type="cellIs" priority="105" operator="lessThan" dxfId="10" stopIfTrue="1">
      <formula>1</formula>
    </cfRule>
  </conditionalFormatting>
  <conditionalFormatting sqref="E5:E8">
    <cfRule type="cellIs" priority="78" operator="equal" dxfId="9" stopIfTrue="1">
      <formula>1</formula>
    </cfRule>
    <cfRule type="cellIs" priority="79" operator="lessThan" dxfId="10" stopIfTrue="1">
      <formula>1</formula>
    </cfRule>
    <cfRule type="cellIs" priority="80" operator="equal" dxfId="9" stopIfTrue="1">
      <formula>1</formula>
    </cfRule>
    <cfRule type="cellIs" priority="81" operator="lessThan" dxfId="10" stopIfTrue="1">
      <formula>1</formula>
    </cfRule>
  </conditionalFormatting>
  <conditionalFormatting sqref="E4:F4">
    <cfRule type="cellIs" priority="100" operator="equal" dxfId="9" stopIfTrue="1">
      <formula>1</formula>
    </cfRule>
    <cfRule type="cellIs" priority="101" operator="lessThan" dxfId="10" stopIfTrue="1">
      <formula>1</formula>
    </cfRule>
  </conditionalFormatting>
  <conditionalFormatting sqref="F4">
    <cfRule type="cellIs" priority="98" operator="equal" dxfId="9" stopIfTrue="1">
      <formula>1</formula>
    </cfRule>
    <cfRule type="cellIs" priority="99" operator="lessThan" dxfId="10" stopIfTrue="1">
      <formula>1</formula>
    </cfRule>
  </conditionalFormatting>
  <conditionalFormatting sqref="F5">
    <cfRule type="cellIs" priority="94" operator="greaterThan" dxfId="10" stopIfTrue="1">
      <formula>0</formula>
    </cfRule>
    <cfRule type="cellIs" priority="95" operator="equal" dxfId="9" stopIfTrue="1">
      <formula>0</formula>
    </cfRule>
    <cfRule type="cellIs" priority="96" operator="greaterThan" dxfId="10" stopIfTrue="1">
      <formula>0</formula>
    </cfRule>
    <cfRule type="cellIs" priority="97" operator="equal" dxfId="9" stopIfTrue="1">
      <formula>0</formula>
    </cfRule>
  </conditionalFormatting>
  <conditionalFormatting sqref="F6">
    <cfRule type="cellIs" priority="92" operator="equal" dxfId="9" stopIfTrue="1">
      <formula>0</formula>
    </cfRule>
    <cfRule type="cellIs" priority="93" operator="greaterThan" dxfId="22" stopIfTrue="1">
      <formula>0</formula>
    </cfRule>
  </conditionalFormatting>
  <conditionalFormatting sqref="F6:F7">
    <cfRule type="cellIs" priority="88" operator="equal" dxfId="9" stopIfTrue="1">
      <formula>0</formula>
    </cfRule>
    <cfRule type="cellIs" priority="89" operator="greaterThan" dxfId="22" stopIfTrue="1">
      <formula>0</formula>
    </cfRule>
  </conditionalFormatting>
  <conditionalFormatting sqref="F7:F8">
    <cfRule type="cellIs" priority="84" operator="equal" dxfId="9" stopIfTrue="1">
      <formula>0</formula>
    </cfRule>
    <cfRule type="cellIs" priority="85" operator="greaterThan" dxfId="22" stopIfTrue="1">
      <formula>0</formula>
    </cfRule>
  </conditionalFormatting>
  <conditionalFormatting sqref="F8">
    <cfRule type="cellIs" priority="82" operator="equal" dxfId="9" stopIfTrue="1">
      <formula>0</formula>
    </cfRule>
    <cfRule type="cellIs" priority="83" operator="greaterThan" dxfId="22" stopIfTrue="1">
      <formula>0</formula>
    </cfRule>
  </conditionalFormatting>
  <conditionalFormatting sqref="F10:F87">
    <cfRule type="cellIs" priority="107" operator="equal" dxfId="6" stopIfTrue="1">
      <formula>"NA"</formula>
    </cfRule>
    <cfRule type="cellIs" priority="108" operator="equal" dxfId="5" stopIfTrue="1">
      <formula>"Blocked"</formula>
    </cfRule>
    <cfRule type="cellIs" priority="109" operator="equal" dxfId="4" stopIfTrue="1">
      <formula>"Pending"</formula>
    </cfRule>
    <cfRule type="cellIs" priority="110" operator="equal" dxfId="0" stopIfTrue="1">
      <formula>"Passed"</formula>
    </cfRule>
    <cfRule type="cellIs" priority="111" operator="equal" dxfId="1" stopIfTrue="1">
      <formula>"Failed"</formula>
    </cfRule>
    <cfRule type="cellIs" priority="112" operator="equal" dxfId="1" stopIfTrue="1">
      <formula>"Fail"</formula>
    </cfRule>
    <cfRule type="cellIs" priority="113" operator="equal" dxfId="0" stopIfTrue="1">
      <formula>"Pass"</formula>
    </cfRule>
  </conditionalFormatting>
  <conditionalFormatting sqref="G5:G8">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0:H87">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87" showDropDown="0" showInputMessage="1" showErrorMessage="1" allowBlank="1" type="list">
      <formula1>"Passed,Failed,Blocked,Pending,NA"</formula1>
    </dataValidation>
    <dataValidation sqref="H10:H87"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11.xml><?xml version="1.0" encoding="utf-8"?>
<worksheet xmlns="http://schemas.openxmlformats.org/spreadsheetml/2006/main">
  <sheetPr>
    <tabColor theme="0"/>
    <outlinePr summaryBelow="1" summaryRight="1"/>
    <pageSetUpPr/>
  </sheetPr>
  <dimension ref="B2:J124"/>
  <sheetViews>
    <sheetView showGridLines="0" topLeftCell="C1" workbookViewId="0">
      <selection activeCell="G11" sqref="G11"/>
    </sheetView>
  </sheetViews>
  <sheetFormatPr baseColWidth="8" defaultRowHeight="15"/>
  <cols>
    <col width="5" customWidth="1" min="1" max="1"/>
    <col width="10.85546875" customWidth="1" min="2" max="2"/>
    <col width="33.28515625" customWidth="1" min="3" max="3"/>
    <col width="59.7109375" customWidth="1" min="4" max="4"/>
    <col width="50.42578125" customWidth="1" min="5" max="5"/>
    <col width="14.7109375" customWidth="1" min="7" max="7"/>
    <col width="19.85546875" customWidth="1" min="8" max="8"/>
    <col width="14.7109375" customWidth="1" min="9" max="9"/>
    <col width="14.7109375" customWidth="1" style="4" min="10" max="10"/>
  </cols>
  <sheetData>
    <row r="2">
      <c r="B2" s="352" t="inlineStr">
        <is>
          <t>Test Case Summary</t>
        </is>
      </c>
      <c r="C2" s="389" t="n"/>
      <c r="D2" s="389" t="n"/>
      <c r="E2" s="389" t="n"/>
      <c r="F2" s="390" t="n"/>
      <c r="G2" s="153" t="n"/>
    </row>
    <row r="3" ht="25.5" customHeight="1">
      <c r="B3" s="352" t="inlineStr">
        <is>
          <t>Total Test Cases</t>
        </is>
      </c>
      <c r="C3" s="390" t="n"/>
      <c r="D3" s="47">
        <f>SUM(D4:D8)</f>
        <v/>
      </c>
      <c r="E3" s="352" t="inlineStr">
        <is>
          <t>Executed Tests</t>
        </is>
      </c>
      <c r="F3" s="352" t="inlineStr">
        <is>
          <t>Total Tests</t>
        </is>
      </c>
      <c r="G3" s="352" t="inlineStr">
        <is>
          <t>Automation Scripts</t>
        </is>
      </c>
    </row>
    <row r="4">
      <c r="B4" s="350" t="inlineStr">
        <is>
          <t>Passed</t>
        </is>
      </c>
      <c r="D4" s="52">
        <f>COUNTIF(F9:F135,"Passed")</f>
        <v/>
      </c>
      <c r="E4" s="53">
        <f>IF(D4=0,,(D4/(D4+D5)))</f>
        <v/>
      </c>
      <c r="F4" s="51">
        <f>IF(D3=0,,(D4/D3))</f>
        <v/>
      </c>
      <c r="G4" s="156">
        <f>COUNTIF(H10:H495,"Done")</f>
        <v/>
      </c>
    </row>
    <row r="5">
      <c r="B5" s="350" t="inlineStr">
        <is>
          <t>Failed</t>
        </is>
      </c>
      <c r="D5" s="52">
        <f>COUNTIF(F9:F135,"Failed")</f>
        <v/>
      </c>
      <c r="E5" s="53">
        <f>IF(D5=0,,(D5/(D5+D6)))</f>
        <v/>
      </c>
      <c r="F5" s="51">
        <f>IF(D3=0,,(D5/D3))</f>
        <v/>
      </c>
      <c r="G5" s="52">
        <f>COUNTIF(H10:H495,"Failed")</f>
        <v/>
      </c>
    </row>
    <row r="6">
      <c r="B6" s="350" t="inlineStr">
        <is>
          <t>Blocked</t>
        </is>
      </c>
      <c r="D6" s="52">
        <f>COUNTIF(F9:F135,"Blocked")</f>
        <v/>
      </c>
      <c r="E6" s="53">
        <f>IF(D6=0,,(D6/(D6+D7)))</f>
        <v/>
      </c>
      <c r="F6" s="51">
        <f>IF(D3=0,,(D6/D3))</f>
        <v/>
      </c>
      <c r="G6" s="52">
        <f>COUNTIF(H10:H495,"Blocked")</f>
        <v/>
      </c>
    </row>
    <row r="7">
      <c r="B7" s="350" t="inlineStr">
        <is>
          <t>Pending</t>
        </is>
      </c>
      <c r="D7" s="52">
        <f>COUNTIF(F9:F1500,"Pending")</f>
        <v/>
      </c>
      <c r="E7" s="53">
        <f>IF(D7=0,,(D7/(D7+D8)))</f>
        <v/>
      </c>
      <c r="F7" s="51">
        <f>IF(D3=0,,(D7/D3))</f>
        <v/>
      </c>
      <c r="G7" s="52">
        <f>COUNTIF(H10:H495,"Pending")</f>
        <v/>
      </c>
    </row>
    <row r="8">
      <c r="B8" s="350" t="inlineStr">
        <is>
          <t>Not Applicable</t>
        </is>
      </c>
      <c r="D8" s="52">
        <f>COUNTIF(F9:F135,"Not Applicable")</f>
        <v/>
      </c>
      <c r="E8" s="53">
        <f>IF(D8=0,,(D8/(D8+#REF!)))</f>
        <v/>
      </c>
      <c r="F8" s="51">
        <f>IF(D3=0,,(D8/D3))</f>
        <v/>
      </c>
      <c r="G8" s="52">
        <f>COUNTIF(H10:H495,"Out of Scope")</f>
        <v/>
      </c>
    </row>
    <row r="9">
      <c r="B9" s="22" t="inlineStr">
        <is>
          <t>S.No.</t>
        </is>
      </c>
      <c r="C9" s="2" t="inlineStr">
        <is>
          <t>Module/Sub-Module</t>
        </is>
      </c>
      <c r="D9" s="1" t="inlineStr">
        <is>
          <t>Test Steps</t>
        </is>
      </c>
      <c r="E9" s="2" t="inlineStr">
        <is>
          <t>Expected Results</t>
        </is>
      </c>
      <c r="F9" s="2" t="inlineStr">
        <is>
          <t>Result</t>
        </is>
      </c>
      <c r="G9" s="2" t="inlineStr">
        <is>
          <t>Bug ID</t>
        </is>
      </c>
      <c r="H9" s="8" t="inlineStr">
        <is>
          <t>Automation Status</t>
        </is>
      </c>
      <c r="I9" s="8" t="inlineStr">
        <is>
          <t>Mapped Scripts</t>
        </is>
      </c>
      <c r="J9" s="170" t="inlineStr">
        <is>
          <t>Comments</t>
        </is>
      </c>
    </row>
    <row r="10" ht="41.25" customHeight="1">
      <c r="B10" s="198" t="inlineStr">
        <is>
          <t>Split_001</t>
        </is>
      </c>
      <c r="C10" s="199" t="inlineStr">
        <is>
          <t>Split Ribbon Button</t>
        </is>
      </c>
      <c r="D10" s="199" t="inlineStr">
        <is>
          <t>Select any customer with added Item then Navigate to Spreading.
Screen (Precondition: attached PDF document should have page in booklet view).</t>
        </is>
      </c>
      <c r="E10" s="199" t="inlineStr">
        <is>
          <t>Spreading screen should open.</t>
        </is>
      </c>
      <c r="F10" s="127" t="inlineStr">
        <is>
          <t>Pending</t>
        </is>
      </c>
      <c r="G10" s="128" t="n"/>
      <c r="H10" s="154" t="inlineStr">
        <is>
          <t>Done</t>
        </is>
      </c>
      <c r="I10" s="163" t="n"/>
      <c r="J10" s="171" t="n"/>
    </row>
    <row r="11" ht="27" customHeight="1">
      <c r="B11" s="194" t="inlineStr">
        <is>
          <t>Split_002</t>
        </is>
      </c>
      <c r="C11" s="195" t="inlineStr">
        <is>
          <t>Split Ribbon Button</t>
        </is>
      </c>
      <c r="D11" s="197" t="inlineStr">
        <is>
          <t>Verify Split button in the Spreading screen ribbon.</t>
        </is>
      </c>
      <c r="E11" s="195" t="inlineStr">
        <is>
          <t>Split button should be visible to user.</t>
        </is>
      </c>
      <c r="F11" s="26" t="inlineStr">
        <is>
          <t>Pending</t>
        </is>
      </c>
      <c r="G11" s="3" t="n"/>
      <c r="H11" s="366" t="inlineStr">
        <is>
          <t>Done</t>
        </is>
      </c>
      <c r="I11" s="149" t="n"/>
      <c r="J11" s="123" t="n"/>
    </row>
    <row r="12">
      <c r="B12" s="194" t="inlineStr">
        <is>
          <t>Split_003</t>
        </is>
      </c>
      <c r="C12" s="195" t="inlineStr">
        <is>
          <t>Split Ribbon Button</t>
        </is>
      </c>
      <c r="D12" s="195" t="inlineStr">
        <is>
          <t>Log in to to Spreadsmart application.</t>
        </is>
      </c>
      <c r="E12" s="195" t="inlineStr">
        <is>
          <t>The user should be logged in to Spreadsmart application.</t>
        </is>
      </c>
      <c r="F12" s="26" t="inlineStr">
        <is>
          <t>Pending</t>
        </is>
      </c>
      <c r="G12" s="3" t="n"/>
      <c r="H12" s="366" t="inlineStr">
        <is>
          <t>Done</t>
        </is>
      </c>
      <c r="I12" s="149" t="n"/>
      <c r="J12" s="123" t="n"/>
    </row>
    <row r="13" ht="64.5" customHeight="1">
      <c r="B13" s="200" t="inlineStr">
        <is>
          <t>Split_004</t>
        </is>
      </c>
      <c r="C13" s="197" t="inlineStr">
        <is>
          <t>Split Window Option</t>
        </is>
      </c>
      <c r="D13" s="197" t="inlineStr">
        <is>
          <t>Open the Spreading screen.
Open the Secondary Category menu in the document pane.
Review the available options under Secondary Category.</t>
        </is>
      </c>
      <c r="E13" s="197" t="inlineStr">
        <is>
          <t>The Split Window option should be visible when Secondary Category is opened.</t>
        </is>
      </c>
      <c r="F13" s="26" t="inlineStr">
        <is>
          <t>Pending</t>
        </is>
      </c>
      <c r="G13" s="3" t="n"/>
      <c r="H13" s="366" t="inlineStr">
        <is>
          <t>Done</t>
        </is>
      </c>
      <c r="I13" s="149" t="n"/>
      <c r="J13" s="123" t="n"/>
    </row>
    <row r="14" ht="73.5" customHeight="1">
      <c r="B14" s="200" t="inlineStr">
        <is>
          <t>Split_004</t>
        </is>
      </c>
      <c r="C14" s="197" t="inlineStr">
        <is>
          <t>Split Pages Option</t>
        </is>
      </c>
      <c r="D14" s="197" t="inlineStr">
        <is>
          <t>Open the Spreading screen.
Open the Secondary Category menu in the document pane.
Review the available options under Secondary Category.</t>
        </is>
      </c>
      <c r="E14" s="197" t="inlineStr">
        <is>
          <t>The Split Pages option should be visible when Secondary Category is opened.</t>
        </is>
      </c>
      <c r="F14" s="26" t="n"/>
      <c r="G14" s="3" t="n"/>
      <c r="H14" s="366" t="inlineStr">
        <is>
          <t>Done</t>
        </is>
      </c>
      <c r="I14" s="149" t="n"/>
      <c r="J14" s="123" t="n"/>
    </row>
    <row r="15" ht="63.75" customHeight="1">
      <c r="B15" s="194" t="inlineStr">
        <is>
          <t>Split_005</t>
        </is>
      </c>
      <c r="C15" s="195" t="inlineStr">
        <is>
          <t>Split Page Option Click Action</t>
        </is>
      </c>
      <c r="D15" s="195" t="inlineStr">
        <is>
          <t>Open the Spreading screen.
Open the Secondary Category menu in the document pane.
Review the available options under Secondary Category.
Click Split Pages option.</t>
        </is>
      </c>
      <c r="E15" s="195" t="inlineStr">
        <is>
          <t>Clicking Split Pages should open a popup where the user can specify where the page should be split.</t>
        </is>
      </c>
      <c r="F15" s="26" t="inlineStr">
        <is>
          <t>Pending</t>
        </is>
      </c>
      <c r="G15" s="3" t="n"/>
      <c r="H15" s="366" t="inlineStr">
        <is>
          <t>Done</t>
        </is>
      </c>
      <c r="I15" s="149" t="n"/>
      <c r="J15" s="123" t="n"/>
    </row>
    <row r="16" ht="63.75" customHeight="1">
      <c r="B16" s="194" t="inlineStr">
        <is>
          <t>Split_005</t>
        </is>
      </c>
      <c r="C16" s="195" t="inlineStr">
        <is>
          <t>Split Window Option Click Action</t>
        </is>
      </c>
      <c r="D16" s="195" t="inlineStr">
        <is>
          <t>Open the Spreading screen.
Open the Secondary Category menu in the document pane.
Review the available options under Secondary Category.
Click Split Window option.</t>
        </is>
      </c>
      <c r="E16" s="195" t="inlineStr">
        <is>
          <t>Clicking Split Window should open two separate windows in the document area.</t>
        </is>
      </c>
      <c r="F16" s="26" t="n"/>
      <c r="G16" s="3" t="n"/>
      <c r="H16" s="366" t="inlineStr">
        <is>
          <t>Done</t>
        </is>
      </c>
      <c r="I16" s="149" t="n"/>
      <c r="J16" s="123" t="n"/>
    </row>
    <row r="17" ht="92.25" customHeight="1">
      <c r="B17" s="194" t="inlineStr">
        <is>
          <t>Split_006</t>
        </is>
      </c>
      <c r="C17" s="195" t="inlineStr">
        <is>
          <t>Split Ribbon Button</t>
        </is>
      </c>
      <c r="D17" s="195" t="inlineStr">
        <is>
          <t>Open the Spreading screen.
Open the Secondary Category menu in the document pane.
Click "Split Pages" under Secondary Category.
Review the popup that displays the split pages.</t>
        </is>
      </c>
      <c r="E17" s="195" t="inlineStr">
        <is>
          <t>Split separator should show in the middle of the booklet view of PDF page.</t>
        </is>
      </c>
      <c r="F17" s="26" t="inlineStr">
        <is>
          <t>Pending</t>
        </is>
      </c>
      <c r="G17" s="3" t="n"/>
      <c r="H17" s="366" t="inlineStr">
        <is>
          <t>Done</t>
        </is>
      </c>
      <c r="I17" s="149" t="n"/>
      <c r="J17" s="123" t="n"/>
    </row>
    <row r="18" ht="107.25" customHeight="1">
      <c r="B18" s="194" t="inlineStr">
        <is>
          <t>Split_007</t>
        </is>
      </c>
      <c r="C18" s="195" t="inlineStr">
        <is>
          <t>Split Ribbon Button</t>
        </is>
      </c>
      <c r="D18" s="195" t="inlineStr">
        <is>
          <t>Open the Spreading screen.
Open the Secondary Category menu in the document pane.
Click "Split Pages" under Secondary Category.
Review the popup that displays the split pages.
Verify that the user can drag separator towards left or right to.
Select pages for split.</t>
        </is>
      </c>
      <c r="E18" s="195" t="inlineStr">
        <is>
          <t>The system should allow user to drag left or right to select pages for split.</t>
        </is>
      </c>
      <c r="F18" s="26" t="inlineStr">
        <is>
          <t>Pending</t>
        </is>
      </c>
      <c r="G18" s="3" t="n"/>
      <c r="H18" s="366" t="inlineStr">
        <is>
          <t>Out of Scope</t>
        </is>
      </c>
      <c r="I18" s="149" t="n"/>
      <c r="J18" s="123" t="n"/>
    </row>
    <row r="19" ht="48" customHeight="1">
      <c r="B19" s="194" t="inlineStr">
        <is>
          <t>Split_008</t>
        </is>
      </c>
      <c r="C19" s="195" t="inlineStr">
        <is>
          <t>Split Ribbon Button</t>
        </is>
      </c>
      <c r="D19" s="195" t="inlineStr">
        <is>
          <t>Verify system should not stop user anywhere in the page even if separator crossing the text word on the page.</t>
        </is>
      </c>
      <c r="E19" s="195" t="inlineStr">
        <is>
          <t>System should not stop split separator operation even if it is crossing the text/word on the booklet view of the PDF page (Selecting page section for split is completely under user control).</t>
        </is>
      </c>
      <c r="F19" s="26" t="inlineStr">
        <is>
          <t>Pending</t>
        </is>
      </c>
      <c r="G19" s="3" t="n"/>
      <c r="H19" s="366" t="inlineStr">
        <is>
          <t>Out of Scope</t>
        </is>
      </c>
      <c r="I19" s="149" t="n"/>
      <c r="J19" s="123" t="n"/>
    </row>
    <row r="20" ht="84.75" customHeight="1">
      <c r="B20" s="194" t="inlineStr">
        <is>
          <t>Split_009</t>
        </is>
      </c>
      <c r="C20" s="195" t="inlineStr">
        <is>
          <t>Split Ribbon Button</t>
        </is>
      </c>
      <c r="D20" s="195" t="inlineStr">
        <is>
          <t>Open the Spreading screen.
Open the Secondary Category menu in the document pane.
Click "Split Pages" under Secondary Category.
Review the popup that displays the split pages.
Verify Accept and Cancel button on split page screen.</t>
        </is>
      </c>
      <c r="E20" s="195" t="inlineStr">
        <is>
          <t>Accept and Cancel button should be present.</t>
        </is>
      </c>
      <c r="F20" s="26" t="inlineStr">
        <is>
          <t>Pending</t>
        </is>
      </c>
      <c r="G20" s="3" t="n"/>
      <c r="H20" s="366" t="inlineStr">
        <is>
          <t>Done</t>
        </is>
      </c>
      <c r="I20" s="149" t="n"/>
      <c r="J20" s="123" t="n"/>
    </row>
    <row r="21" ht="101.25" customHeight="1">
      <c r="B21" s="194" t="inlineStr">
        <is>
          <t>Split_010</t>
        </is>
      </c>
      <c r="C21" s="195" t="inlineStr">
        <is>
          <t>Split Ribbon Button</t>
        </is>
      </c>
      <c r="D21" s="195" t="inlineStr">
        <is>
          <t>Open the Spreading screen.
Open the Secondary Category menu in the document pane.
Click "Split Pages" under Secondary Category.
Review the popup that displays the split pages.
Review the Accept and Cancel button on split page screen.
Select split page and click Cancel button.</t>
        </is>
      </c>
      <c r="E21" s="195" t="inlineStr">
        <is>
          <t>On click Cancel button cursor should remain on Split Page.</t>
        </is>
      </c>
      <c r="F21" s="26" t="inlineStr">
        <is>
          <t>Pending</t>
        </is>
      </c>
      <c r="G21" s="3" t="n"/>
      <c r="H21" s="366" t="inlineStr">
        <is>
          <t>Done</t>
        </is>
      </c>
      <c r="I21" s="149" t="n"/>
      <c r="J21" s="123" t="n"/>
    </row>
    <row r="22" ht="134.25" customHeight="1">
      <c r="B22" s="194" t="inlineStr">
        <is>
          <t>Split_011</t>
        </is>
      </c>
      <c r="C22" s="195" t="inlineStr">
        <is>
          <t>Split Ribbon Button</t>
        </is>
      </c>
      <c r="D22" s="201" t="inlineStr">
        <is>
          <t>Open the Spreading screen.
Open the Secondary Category menu in the document pane.
Click "Split Pages" under Secondary Category.
Review the popup that displays the split pages.
Review the Accept and Cancel button on split page screen.
Select page for split and click Accept button.</t>
        </is>
      </c>
      <c r="E22" s="195" t="inlineStr">
        <is>
          <t>Upon Clicking on "Accept" button then a warning message will appear stating that "Mapping data including zones from the current page will get lost. Do you want to continue?.</t>
        </is>
      </c>
      <c r="F22" s="26" t="inlineStr">
        <is>
          <t>Pending</t>
        </is>
      </c>
      <c r="G22" s="3" t="n"/>
      <c r="H22" s="366" t="inlineStr">
        <is>
          <t>Done</t>
        </is>
      </c>
      <c r="I22" s="149" t="n"/>
      <c r="J22" s="123" t="n"/>
    </row>
    <row r="23" ht="124.5" customHeight="1">
      <c r="B23" s="194" t="inlineStr">
        <is>
          <t>Split_012</t>
        </is>
      </c>
      <c r="C23" s="195" t="inlineStr">
        <is>
          <t>Split Ribbon Button</t>
        </is>
      </c>
      <c r="D23" s="195" t="inlineStr">
        <is>
          <t>Open the Spreading screen.
Open the Secondary Category menu in the document pane.
Click "Split Pages" under Secondary Category.
Review the popup that displays the split pages.
Review the Accept and Cancel button on split page screen.
Select page for split and click Accept button.
Warning message popup appeared and User is click Continue button.</t>
        </is>
      </c>
      <c r="E23" s="195" t="inlineStr">
        <is>
          <t>On click continue page should be split and page number should get adjusted automatically.</t>
        </is>
      </c>
      <c r="F23" s="26" t="inlineStr">
        <is>
          <t>Pending</t>
        </is>
      </c>
      <c r="G23" s="3" t="n"/>
      <c r="H23" s="366" t="inlineStr">
        <is>
          <t>Done</t>
        </is>
      </c>
      <c r="I23" s="149" t="n"/>
      <c r="J23" s="123" t="n"/>
    </row>
    <row r="24" ht="101.25" customHeight="1">
      <c r="B24" s="194" t="inlineStr">
        <is>
          <t>Split_013</t>
        </is>
      </c>
      <c r="C24" s="195" t="inlineStr">
        <is>
          <t>Split Ribbon Button</t>
        </is>
      </c>
      <c r="D24" s="195" t="inlineStr">
        <is>
          <t>Verify after splitting the page split will happen and if there is any zone or mapping from that page it will be lost.</t>
        </is>
      </c>
      <c r="E24" s="195" t="inlineStr">
        <is>
          <t>Zone and mapped data will should not be saved for split page.</t>
        </is>
      </c>
      <c r="F24" s="26" t="inlineStr">
        <is>
          <t>Pending</t>
        </is>
      </c>
      <c r="G24" s="3" t="n"/>
      <c r="H24" s="366" t="inlineStr">
        <is>
          <t>Done</t>
        </is>
      </c>
      <c r="I24" s="149" t="n"/>
      <c r="J24" s="123" t="n"/>
    </row>
    <row r="25" ht="84.75" customHeight="1">
      <c r="B25" s="194" t="inlineStr">
        <is>
          <t>Split_014</t>
        </is>
      </c>
      <c r="C25" s="195" t="inlineStr">
        <is>
          <t>Split Ribbon Button</t>
        </is>
      </c>
      <c r="D25" s="195" t="inlineStr">
        <is>
          <t>Verify that after the split, AI/ML-predicted pages shift by one page so that zones on the remaining page are navigated correctly.</t>
        </is>
      </c>
      <c r="E25" s="195" t="inlineStr">
        <is>
          <t>The system should adjust the pages so that zones on the remaining page are navigated correctly.</t>
        </is>
      </c>
      <c r="F25" s="26" t="inlineStr">
        <is>
          <t>Pending</t>
        </is>
      </c>
      <c r="G25" s="3" t="n">
        <v>71243</v>
      </c>
      <c r="H25" s="366" t="inlineStr">
        <is>
          <t>Done</t>
        </is>
      </c>
      <c r="I25" s="149" t="n"/>
      <c r="J25" s="123" t="n"/>
    </row>
    <row r="26" ht="42" customHeight="1">
      <c r="B26" s="194" t="inlineStr">
        <is>
          <t>Split_015</t>
        </is>
      </c>
      <c r="C26" s="195" t="inlineStr">
        <is>
          <t>Split Ribbon Button</t>
        </is>
      </c>
      <c r="D26" s="195" t="inlineStr">
        <is>
          <t>Verify that the user can Draw Table on split page and map values.</t>
        </is>
      </c>
      <c r="E26" s="195" t="inlineStr">
        <is>
          <t>The user should be able to perform all operations on the split page.</t>
        </is>
      </c>
      <c r="F26" s="26" t="inlineStr">
        <is>
          <t>Pending</t>
        </is>
      </c>
      <c r="G26" s="3" t="n">
        <v>71247</v>
      </c>
      <c r="H26" s="366" t="inlineStr">
        <is>
          <t>Out of Scope</t>
        </is>
      </c>
      <c r="I26" s="149" t="n"/>
      <c r="J26" s="123" t="n"/>
    </row>
    <row r="27" ht="42.75" customHeight="1">
      <c r="B27" s="194" t="inlineStr">
        <is>
          <t>Split_016</t>
        </is>
      </c>
      <c r="C27" s="195" t="inlineStr">
        <is>
          <t>Split Ribbon Button</t>
        </is>
      </c>
      <c r="D27" s="195" t="inlineStr">
        <is>
          <t>Verify Contra/merge /rotate operations can be performed on Split Pages.</t>
        </is>
      </c>
      <c r="E27" s="195" t="inlineStr">
        <is>
          <t>The system should allow user to perform all operations on split page.</t>
        </is>
      </c>
      <c r="F27" s="26" t="inlineStr">
        <is>
          <t>Pending</t>
        </is>
      </c>
      <c r="G27" s="3" t="n"/>
      <c r="H27" s="366" t="inlineStr">
        <is>
          <t>Done</t>
        </is>
      </c>
      <c r="I27" s="149" t="n"/>
      <c r="J27" s="123" t="n"/>
    </row>
    <row r="28" ht="48" customHeight="1">
      <c r="B28" s="194" t="inlineStr">
        <is>
          <t>Split_017</t>
        </is>
      </c>
      <c r="C28" s="195" t="inlineStr">
        <is>
          <t>Split Ribbon Button</t>
        </is>
      </c>
      <c r="D28" s="195" t="inlineStr">
        <is>
          <t>Verify that the user can Submit spread after creating Zones and mapping values.</t>
        </is>
      </c>
      <c r="E28" s="195" t="inlineStr">
        <is>
          <t>System should allow user to submit spread.</t>
        </is>
      </c>
      <c r="F28" s="26" t="inlineStr">
        <is>
          <t>Pending</t>
        </is>
      </c>
      <c r="G28" s="3" t="n"/>
      <c r="H28" s="366" t="inlineStr">
        <is>
          <t>Done</t>
        </is>
      </c>
      <c r="I28" s="149" t="n"/>
      <c r="J28" s="123" t="n"/>
    </row>
    <row r="29" ht="92.25" customHeight="1">
      <c r="B29" s="194" t="inlineStr">
        <is>
          <t>Split_018</t>
        </is>
      </c>
      <c r="C29" s="195" t="inlineStr">
        <is>
          <t>Split Ribbon Button</t>
        </is>
      </c>
      <c r="D29" s="195" t="inlineStr">
        <is>
          <t>User is after split page action and click continue button from warning popup.
Open the Spreading screen and view the pages are in split view.
Review the Clean file dropdown from Secondary Category and click it.
Review the reset option.
Verify Reset option should not work once file is split and processed.</t>
        </is>
      </c>
      <c r="E29" s="195" t="inlineStr">
        <is>
          <t>Reset option should not work once files is split and processed.</t>
        </is>
      </c>
      <c r="F29" s="26" t="inlineStr">
        <is>
          <t>Pending</t>
        </is>
      </c>
      <c r="G29" s="3" t="n"/>
      <c r="H29" s="366" t="inlineStr">
        <is>
          <t>Done</t>
        </is>
      </c>
      <c r="I29" s="149" t="n"/>
      <c r="J29" s="123" t="n"/>
    </row>
    <row r="30" ht="82.5" customHeight="1">
      <c r="B30" s="194" t="inlineStr">
        <is>
          <t>Split_019</t>
        </is>
      </c>
      <c r="C30" s="195" t="inlineStr">
        <is>
          <t>Split Ribbon Button</t>
        </is>
      </c>
      <c r="D30" s="195" t="inlineStr">
        <is>
          <t>Verify how to bring the file back to original state:
1:User can either delete the file or an item to bring back original.
File.
2: Can choose to use Merge page functionality Spreading screen under the Secondary Category from document side.</t>
        </is>
      </c>
      <c r="E30" s="195" t="inlineStr">
        <is>
          <t>Verify system allows user to delete the Item Or use "Merge Page" operation from Spreading screen to bring back file to original state.</t>
        </is>
      </c>
      <c r="F30" s="26" t="inlineStr">
        <is>
          <t>Pending</t>
        </is>
      </c>
      <c r="G30" s="5" t="n">
        <v>70801</v>
      </c>
      <c r="H30" s="366" t="inlineStr">
        <is>
          <t>Done</t>
        </is>
      </c>
      <c r="I30" s="158" t="n"/>
      <c r="J30" s="123" t="n"/>
    </row>
    <row r="31" ht="82.5" customHeight="1">
      <c r="B31" s="194" t="inlineStr">
        <is>
          <t>Split_020</t>
        </is>
      </c>
      <c r="C31" s="195" t="inlineStr">
        <is>
          <t>Split Ribbon Button</t>
        </is>
      </c>
      <c r="D31" s="195" t="inlineStr">
        <is>
          <t>Attach file from bulk store and navigate to Spreading screen(file should be already split file through OCR processing) Verify system should not shows any booklet view pages in PDF document.</t>
        </is>
      </c>
      <c r="E31" s="195" t="inlineStr">
        <is>
          <t>Split function on Spreading screen should be disable.</t>
        </is>
      </c>
      <c r="F31" s="26" t="inlineStr">
        <is>
          <t>Pending</t>
        </is>
      </c>
      <c r="G31" s="3" t="n"/>
      <c r="H31" s="366" t="inlineStr">
        <is>
          <t>Done</t>
        </is>
      </c>
      <c r="I31" s="149" t="n"/>
      <c r="J31" s="123" t="n"/>
    </row>
    <row r="32" ht="74.25" customHeight="1">
      <c r="B32" s="194" t="inlineStr">
        <is>
          <t>Split_021</t>
        </is>
      </c>
      <c r="C32" s="195" t="inlineStr">
        <is>
          <t>Split Ribbon Button</t>
        </is>
      </c>
      <c r="D32" s="195" t="inlineStr">
        <is>
          <t>Verify Split check box (Add Item) and Split All/Current page from Spreading screen should be disabled when files(Booklet view page PDF document) uploaded from Bulk and Adhoc screens.</t>
        </is>
      </c>
      <c r="E32" s="195" t="inlineStr">
        <is>
          <t>Split check box (Add Item) and Split All/Current page from Spreading screen should be disabled when files(Booklet view page PDF document) uploaded from Bulk and Adhoc screens.</t>
        </is>
      </c>
      <c r="F32" s="26" t="inlineStr">
        <is>
          <t>Pending</t>
        </is>
      </c>
      <c r="G32" s="3" t="n"/>
      <c r="H32" s="366" t="inlineStr">
        <is>
          <t>Done</t>
        </is>
      </c>
      <c r="I32" s="149" t="n"/>
      <c r="J32" s="123" t="n"/>
    </row>
    <row r="33" ht="33" customHeight="1">
      <c r="B33" s="194" t="inlineStr">
        <is>
          <t>Split_022</t>
        </is>
      </c>
      <c r="C33" s="195" t="inlineStr">
        <is>
          <t>Split Ribbon Button</t>
        </is>
      </c>
      <c r="D33" s="195" t="inlineStr">
        <is>
          <t>Verify if the user has not split the file initially, but then after item has been created he/she wants to modify the file and use split option.</t>
        </is>
      </c>
      <c r="E33" s="195" t="inlineStr">
        <is>
          <t>System should allow to split PDF in modify option.</t>
        </is>
      </c>
      <c r="F33" s="26" t="inlineStr">
        <is>
          <t>Pending</t>
        </is>
      </c>
      <c r="G33" s="3" t="n"/>
      <c r="H33" s="366" t="inlineStr">
        <is>
          <t>Done</t>
        </is>
      </c>
      <c r="I33" s="149" t="n"/>
      <c r="J33" s="123" t="n"/>
    </row>
    <row r="34" ht="25.5" customHeight="1">
      <c r="B34" s="194" t="inlineStr">
        <is>
          <t>Split_023</t>
        </is>
      </c>
      <c r="C34" s="195" t="inlineStr">
        <is>
          <t>Split Integration with Rotate</t>
        </is>
      </c>
      <c r="D34" s="195" t="inlineStr">
        <is>
          <t>Upload any file in Spreadsmart, save the item, and navigate to the Spreading screen.</t>
        </is>
      </c>
      <c r="E34" s="195" t="inlineStr">
        <is>
          <t>The user should be taken to the Spreading screen.</t>
        </is>
      </c>
      <c r="F34" s="26" t="inlineStr">
        <is>
          <t>Pending</t>
        </is>
      </c>
      <c r="G34" s="3" t="n"/>
      <c r="H34" s="366" t="inlineStr">
        <is>
          <t>Done</t>
        </is>
      </c>
      <c r="I34" s="149" t="n"/>
      <c r="J34" s="123" t="n"/>
    </row>
    <row r="35" ht="27.75" customHeight="1">
      <c r="B35" s="194" t="inlineStr">
        <is>
          <t>Split_024</t>
        </is>
      </c>
      <c r="C35" s="195" t="inlineStr">
        <is>
          <t>Split Integration with Rotate</t>
        </is>
      </c>
      <c r="D35" s="195" t="inlineStr">
        <is>
          <t>Click rotate page and wait for page to be rotated.</t>
        </is>
      </c>
      <c r="E35" s="195" t="inlineStr">
        <is>
          <t>Page should be rotated.</t>
        </is>
      </c>
      <c r="F35" s="26" t="inlineStr">
        <is>
          <t>Pending</t>
        </is>
      </c>
      <c r="G35" s="3" t="n"/>
      <c r="H35" s="366" t="inlineStr">
        <is>
          <t>Done</t>
        </is>
      </c>
      <c r="I35" s="149" t="n"/>
      <c r="J35" s="123" t="n"/>
    </row>
    <row r="36" ht="27.75" customHeight="1">
      <c r="B36" s="194" t="inlineStr">
        <is>
          <t>Split_025</t>
        </is>
      </c>
      <c r="C36" s="195" t="inlineStr">
        <is>
          <t>Split Integration with Rotate</t>
        </is>
      </c>
      <c r="D36" s="195" t="inlineStr">
        <is>
          <t>Apply Split on rotated page.</t>
        </is>
      </c>
      <c r="E36" s="195" t="inlineStr">
        <is>
          <t>Split should be applied.</t>
        </is>
      </c>
      <c r="F36" s="26" t="inlineStr">
        <is>
          <t>Pending</t>
        </is>
      </c>
      <c r="G36" s="3" t="n"/>
      <c r="H36" s="366" t="inlineStr">
        <is>
          <t>Done</t>
        </is>
      </c>
      <c r="I36" s="149" t="n"/>
      <c r="J36" s="123" t="n"/>
    </row>
    <row r="37" ht="31.5" customHeight="1">
      <c r="B37" s="194" t="inlineStr">
        <is>
          <t>Split_026</t>
        </is>
      </c>
      <c r="C37" s="195" t="inlineStr">
        <is>
          <t>Split Integration with Rotate</t>
        </is>
      </c>
      <c r="D37" s="195" t="inlineStr">
        <is>
          <t>Move any other page, apply split on page and then rotate.</t>
        </is>
      </c>
      <c r="E37" s="195" t="inlineStr">
        <is>
          <t>Split should be applied and page should be rotated.</t>
        </is>
      </c>
      <c r="F37" s="26" t="inlineStr">
        <is>
          <t>Pending</t>
        </is>
      </c>
      <c r="G37" s="3" t="n"/>
      <c r="H37" s="366" t="inlineStr">
        <is>
          <t>Done</t>
        </is>
      </c>
      <c r="I37" s="149" t="n"/>
      <c r="J37" s="123" t="n"/>
    </row>
    <row r="38" ht="34.5" customHeight="1">
      <c r="B38" s="194" t="inlineStr">
        <is>
          <t>Split_027</t>
        </is>
      </c>
      <c r="C38" s="195" t="inlineStr">
        <is>
          <t>Split Integration with Clean PDF</t>
        </is>
      </c>
      <c r="D38" s="195" t="inlineStr">
        <is>
          <t>In Spreading screen&gt;apply Split in any booklet form page.</t>
        </is>
      </c>
      <c r="E38" s="195" t="inlineStr">
        <is>
          <t>Split should be applied.</t>
        </is>
      </c>
      <c r="F38" s="26" t="inlineStr">
        <is>
          <t>Pending</t>
        </is>
      </c>
      <c r="G38" s="3" t="n"/>
      <c r="H38" s="366" t="inlineStr">
        <is>
          <t>Done</t>
        </is>
      </c>
      <c r="I38" s="149" t="n"/>
      <c r="J38" s="123" t="n"/>
    </row>
    <row r="39" ht="21.75" customHeight="1">
      <c r="B39" s="194" t="inlineStr">
        <is>
          <t>Split_028</t>
        </is>
      </c>
      <c r="C39" s="195" t="inlineStr">
        <is>
          <t>Split Integration with Clean PDF</t>
        </is>
      </c>
      <c r="D39" s="195" t="inlineStr">
        <is>
          <t>Apply Watermark in split page &gt; observe page.</t>
        </is>
      </c>
      <c r="E39" s="195" t="inlineStr">
        <is>
          <t>Page should be watermarked.</t>
        </is>
      </c>
      <c r="F39" s="26" t="inlineStr">
        <is>
          <t>Pending</t>
        </is>
      </c>
      <c r="G39" s="3" t="n"/>
      <c r="H39" s="366" t="inlineStr">
        <is>
          <t>Done</t>
        </is>
      </c>
      <c r="I39" s="149" t="n"/>
      <c r="J39" s="123" t="n"/>
    </row>
    <row r="40" ht="33" customHeight="1">
      <c r="B40" s="194" t="inlineStr">
        <is>
          <t>Split_029</t>
        </is>
      </c>
      <c r="C40" s="195" t="inlineStr">
        <is>
          <t>Split Integration with Clean PDF</t>
        </is>
      </c>
      <c r="D40" s="195" t="inlineStr">
        <is>
          <t>Map values from page to model.</t>
        </is>
      </c>
      <c r="E40" s="195" t="inlineStr">
        <is>
          <t>Values should be mapped.</t>
        </is>
      </c>
      <c r="F40" s="26" t="inlineStr">
        <is>
          <t>Pending</t>
        </is>
      </c>
      <c r="G40" s="3" t="n"/>
      <c r="H40" s="366" t="inlineStr">
        <is>
          <t>Done</t>
        </is>
      </c>
      <c r="I40" s="149" t="n"/>
      <c r="J40" s="123" t="n"/>
    </row>
    <row r="41" ht="30" customHeight="1">
      <c r="B41" s="194" t="inlineStr">
        <is>
          <t>Split_030</t>
        </is>
      </c>
      <c r="C41" s="195" t="inlineStr">
        <is>
          <t>Split Integration with Clean PDF</t>
        </is>
      </c>
      <c r="D41" s="195" t="inlineStr">
        <is>
          <t>Reset Clean PDF &gt; observe.</t>
        </is>
      </c>
      <c r="E41" s="195" t="inlineStr">
        <is>
          <t>Should reset the watermark only, split page should remain same.</t>
        </is>
      </c>
      <c r="F41" s="26" t="inlineStr">
        <is>
          <t>Pending</t>
        </is>
      </c>
      <c r="G41" s="3" t="n"/>
      <c r="H41" s="366" t="inlineStr">
        <is>
          <t>Done</t>
        </is>
      </c>
      <c r="I41" s="149" t="n"/>
      <c r="J41" s="123" t="n"/>
    </row>
    <row r="42" ht="27.75" customHeight="1">
      <c r="B42" s="194" t="inlineStr">
        <is>
          <t>Split_031</t>
        </is>
      </c>
      <c r="C42" s="195" t="inlineStr">
        <is>
          <t>Split Integration with Clean PDF</t>
        </is>
      </c>
      <c r="D42" s="195" t="inlineStr">
        <is>
          <t>Navigate to any other page&gt;apply clean PDF and then apply split.</t>
        </is>
      </c>
      <c r="E42" s="195" t="inlineStr">
        <is>
          <t>The user should be able to apply split on despeckle/watermark page.</t>
        </is>
      </c>
      <c r="F42" s="26" t="inlineStr">
        <is>
          <t>Pending</t>
        </is>
      </c>
      <c r="G42" s="3" t="n"/>
      <c r="H42" s="366" t="inlineStr">
        <is>
          <t>Done</t>
        </is>
      </c>
      <c r="I42" s="149" t="n"/>
      <c r="J42" s="123" t="n"/>
    </row>
    <row r="43" ht="26.25" customHeight="1">
      <c r="B43" s="194" t="inlineStr">
        <is>
          <t>Split_032</t>
        </is>
      </c>
      <c r="C43" s="195" t="inlineStr">
        <is>
          <t>Split Integration with Clean PDF</t>
        </is>
      </c>
      <c r="D43" s="195" t="inlineStr">
        <is>
          <t>Map values in clean PDF page.</t>
        </is>
      </c>
      <c r="E43" s="195" t="inlineStr">
        <is>
          <t>The user should be able to map values.</t>
        </is>
      </c>
      <c r="F43" s="26" t="inlineStr">
        <is>
          <t>Pending</t>
        </is>
      </c>
      <c r="G43" s="3" t="n"/>
      <c r="H43" s="366" t="inlineStr">
        <is>
          <t>Done</t>
        </is>
      </c>
      <c r="I43" s="149" t="n"/>
      <c r="J43" s="123" t="n"/>
    </row>
    <row r="44" ht="41.25" customHeight="1">
      <c r="B44" s="194" t="inlineStr">
        <is>
          <t>Split_033</t>
        </is>
      </c>
      <c r="C44" s="195" t="inlineStr">
        <is>
          <t>Split Integration with Clean PDF</t>
        </is>
      </c>
      <c r="D44" s="195" t="inlineStr">
        <is>
          <t>Reset page with mapped values &gt; observe it should show message that mapping will be lost.</t>
        </is>
      </c>
      <c r="E44" s="195" t="inlineStr">
        <is>
          <t>Mapping loss message should come.</t>
        </is>
      </c>
      <c r="F44" s="26" t="inlineStr">
        <is>
          <t>Pending</t>
        </is>
      </c>
      <c r="G44" s="3" t="n"/>
      <c r="H44" s="366" t="inlineStr">
        <is>
          <t>Done</t>
        </is>
      </c>
      <c r="I44" s="149" t="n"/>
      <c r="J44" s="123" t="n"/>
    </row>
    <row r="45" ht="24" customHeight="1">
      <c r="B45" s="194" t="inlineStr">
        <is>
          <t>Split_034</t>
        </is>
      </c>
      <c r="C45" s="195" t="inlineStr">
        <is>
          <t>Split Integration with Clean PDF</t>
        </is>
      </c>
      <c r="D45" s="195" t="inlineStr">
        <is>
          <t>Reset should take the page to original state from binarization.</t>
        </is>
      </c>
      <c r="E45" s="195" t="inlineStr">
        <is>
          <t>Page should be reflect to original state.</t>
        </is>
      </c>
      <c r="F45" s="26" t="inlineStr">
        <is>
          <t>Pending</t>
        </is>
      </c>
      <c r="G45" s="3" t="n"/>
      <c r="H45" s="366" t="inlineStr">
        <is>
          <t>Done</t>
        </is>
      </c>
      <c r="I45" s="149" t="n"/>
      <c r="J45" s="123" t="n"/>
    </row>
    <row r="46">
      <c r="B46" s="194" t="inlineStr">
        <is>
          <t>Split_035</t>
        </is>
      </c>
      <c r="C46" s="195" t="inlineStr">
        <is>
          <t>Split Integration with Clean PDF</t>
        </is>
      </c>
      <c r="D46" s="195" t="inlineStr">
        <is>
          <t>Apply Clean PDF in any page and map values.</t>
        </is>
      </c>
      <c r="E46" s="195" t="inlineStr">
        <is>
          <t>The user should be able to apply watermark and map values.</t>
        </is>
      </c>
      <c r="F46" s="26" t="inlineStr">
        <is>
          <t>Pending</t>
        </is>
      </c>
      <c r="G46" s="3" t="n"/>
      <c r="H46" s="366" t="inlineStr">
        <is>
          <t>Done</t>
        </is>
      </c>
      <c r="I46" s="149" t="n"/>
      <c r="J46" s="123" t="n"/>
    </row>
    <row r="47" ht="24" customHeight="1">
      <c r="B47" s="194" t="inlineStr">
        <is>
          <t>Split_036</t>
        </is>
      </c>
      <c r="C47" s="195" t="inlineStr">
        <is>
          <t>Split Integration with Clean PDF</t>
        </is>
      </c>
      <c r="D47" s="195" t="inlineStr">
        <is>
          <t>Apply split on the same page&gt;popup appears to continue and cancel.</t>
        </is>
      </c>
      <c r="E47" s="195" t="inlineStr">
        <is>
          <t>It should show warning popup saying mapping data will be lost.</t>
        </is>
      </c>
      <c r="F47" s="26" t="inlineStr">
        <is>
          <t>Pending</t>
        </is>
      </c>
      <c r="G47" s="3" t="n"/>
      <c r="H47" s="366" t="inlineStr">
        <is>
          <t>Done</t>
        </is>
      </c>
      <c r="I47" s="149" t="n"/>
      <c r="J47" s="123" t="n"/>
    </row>
    <row r="48">
      <c r="B48" s="194" t="inlineStr">
        <is>
          <t>Split_037</t>
        </is>
      </c>
      <c r="C48" s="195" t="inlineStr">
        <is>
          <t>Split Integration with Clean PDF</t>
        </is>
      </c>
      <c r="D48" s="195" t="inlineStr">
        <is>
          <t>Reset single page and observe.</t>
        </is>
      </c>
      <c r="E48" s="195" t="inlineStr">
        <is>
          <t>Should reset the binarization only.</t>
        </is>
      </c>
      <c r="F48" s="26" t="inlineStr">
        <is>
          <t>Pending</t>
        </is>
      </c>
      <c r="G48" s="3" t="n"/>
      <c r="H48" s="366" t="inlineStr">
        <is>
          <t>Done</t>
        </is>
      </c>
      <c r="I48" s="149" t="n"/>
      <c r="J48" s="123" t="n"/>
    </row>
    <row r="49">
      <c r="B49" s="194" t="inlineStr">
        <is>
          <t>Split_038</t>
        </is>
      </c>
      <c r="C49" s="195" t="inlineStr">
        <is>
          <t>Split Matrix</t>
        </is>
      </c>
      <c r="D49" s="195" t="inlineStr">
        <is>
          <t>Perform Split matrix with clean PDF integration.</t>
        </is>
      </c>
      <c r="E49" s="195" t="inlineStr">
        <is>
          <t>All the cases should work.</t>
        </is>
      </c>
      <c r="F49" s="26" t="inlineStr">
        <is>
          <t>Pending</t>
        </is>
      </c>
      <c r="G49" s="3" t="n"/>
      <c r="H49" s="366" t="inlineStr">
        <is>
          <t>Done</t>
        </is>
      </c>
      <c r="I49" s="149" t="n"/>
      <c r="J49" s="123" t="n"/>
    </row>
    <row r="50">
      <c r="B50" s="194" t="inlineStr">
        <is>
          <t>Split_039</t>
        </is>
      </c>
      <c r="C50" s="195" t="inlineStr">
        <is>
          <t>Split Integration with Merge Pages</t>
        </is>
      </c>
      <c r="D50" s="195" t="inlineStr">
        <is>
          <t>Spreading screen&gt;Merge any 2 pages.</t>
        </is>
      </c>
      <c r="E50" s="195" t="inlineStr">
        <is>
          <t>Pages should be merged and added as last page.</t>
        </is>
      </c>
      <c r="F50" s="26" t="inlineStr">
        <is>
          <t>Pending</t>
        </is>
      </c>
      <c r="G50" s="3" t="n"/>
      <c r="H50" s="366" t="inlineStr">
        <is>
          <t>Done</t>
        </is>
      </c>
      <c r="I50" s="149" t="n"/>
      <c r="J50" s="123" t="n"/>
    </row>
    <row r="51">
      <c r="B51" s="194" t="inlineStr">
        <is>
          <t>Split_040</t>
        </is>
      </c>
      <c r="C51" s="195" t="inlineStr">
        <is>
          <t>Split Integration with Merge Pages</t>
        </is>
      </c>
      <c r="D51" s="195" t="inlineStr">
        <is>
          <t>Apply Split page on merged page.</t>
        </is>
      </c>
      <c r="E51" s="195" t="inlineStr">
        <is>
          <t>Observe partitioning should be correct while splitting pages.</t>
        </is>
      </c>
      <c r="F51" s="26" t="inlineStr">
        <is>
          <t>Pending</t>
        </is>
      </c>
      <c r="G51" s="3" t="n"/>
      <c r="H51" s="366" t="inlineStr">
        <is>
          <t>Done</t>
        </is>
      </c>
      <c r="I51" s="149" t="n"/>
      <c r="J51" s="123" t="n"/>
    </row>
    <row r="52">
      <c r="B52" s="194" t="inlineStr">
        <is>
          <t>Split_041</t>
        </is>
      </c>
      <c r="C52" s="195" t="inlineStr">
        <is>
          <t>Split Integration with Merge Pages</t>
        </is>
      </c>
      <c r="D52" s="195" t="inlineStr">
        <is>
          <t>Split should break the pages in 2 and observe page count.</t>
        </is>
      </c>
      <c r="E52" s="195" t="inlineStr">
        <is>
          <t>Page count should be increased by 1.</t>
        </is>
      </c>
      <c r="F52" s="26" t="inlineStr">
        <is>
          <t>Pending</t>
        </is>
      </c>
      <c r="G52" s="3" t="n"/>
      <c r="H52" s="366" t="inlineStr">
        <is>
          <t>Done</t>
        </is>
      </c>
      <c r="I52" s="149" t="n"/>
      <c r="J52" s="123" t="n"/>
    </row>
    <row r="53" ht="24" customHeight="1">
      <c r="B53" s="194" t="inlineStr">
        <is>
          <t>Split_042</t>
        </is>
      </c>
      <c r="C53" s="195" t="inlineStr">
        <is>
          <t>Split Integration with Merge Pages</t>
        </is>
      </c>
      <c r="D53" s="195" t="inlineStr">
        <is>
          <t>Map values in split page and submit and continue.</t>
        </is>
      </c>
      <c r="E53" s="195" t="inlineStr">
        <is>
          <t>Submit and continue should work and navigate to next financial.</t>
        </is>
      </c>
      <c r="F53" s="26" t="inlineStr">
        <is>
          <t>Pending</t>
        </is>
      </c>
      <c r="G53" s="3" t="n"/>
      <c r="H53" s="366" t="inlineStr">
        <is>
          <t>Done</t>
        </is>
      </c>
      <c r="I53" s="149" t="n"/>
      <c r="J53" s="123" t="n"/>
    </row>
    <row r="54">
      <c r="B54" s="194" t="inlineStr">
        <is>
          <t>Split_043</t>
        </is>
      </c>
      <c r="C54" s="195" t="inlineStr">
        <is>
          <t>Split Integration with Merge Pages</t>
        </is>
      </c>
      <c r="D54" s="195" t="inlineStr">
        <is>
          <t>Review in subsequent financial, zones are loading and autofill.</t>
        </is>
      </c>
      <c r="E54" s="195" t="inlineStr">
        <is>
          <t>Autofill should work for all the zones.</t>
        </is>
      </c>
      <c r="F54" s="26" t="inlineStr">
        <is>
          <t>Pending</t>
        </is>
      </c>
      <c r="G54" s="3" t="n"/>
      <c r="H54" s="366" t="inlineStr">
        <is>
          <t>Done</t>
        </is>
      </c>
      <c r="I54" s="149" t="n"/>
      <c r="J54" s="123" t="n"/>
    </row>
    <row r="55">
      <c r="B55" s="194" t="inlineStr">
        <is>
          <t>Split_044</t>
        </is>
      </c>
      <c r="C55" s="195" t="inlineStr">
        <is>
          <t>Split for Excel Files.</t>
        </is>
      </c>
      <c r="D55" s="195" t="inlineStr">
        <is>
          <t>Add Item &gt;upload Excel file &gt; observe split radio button,.</t>
        </is>
      </c>
      <c r="E55" s="195" t="inlineStr">
        <is>
          <t>Radio button with yes and no should be present.</t>
        </is>
      </c>
      <c r="F55" s="26" t="inlineStr">
        <is>
          <t>Pending</t>
        </is>
      </c>
      <c r="G55" s="3" t="n"/>
      <c r="H55" s="366" t="inlineStr">
        <is>
          <t>Done</t>
        </is>
      </c>
      <c r="I55" s="149" t="n"/>
      <c r="J55" s="123" t="n"/>
    </row>
    <row r="56">
      <c r="B56" s="194" t="inlineStr">
        <is>
          <t>Split_045</t>
        </is>
      </c>
      <c r="C56" s="195" t="inlineStr">
        <is>
          <t>Split for Excel Files.</t>
        </is>
      </c>
      <c r="D56" s="195" t="inlineStr">
        <is>
          <t>User should not be able to select yes or no.</t>
        </is>
      </c>
      <c r="E56" s="195" t="inlineStr">
        <is>
          <t>Button should be disabled in case of excel file.</t>
        </is>
      </c>
      <c r="F56" s="26" t="inlineStr">
        <is>
          <t>Pending</t>
        </is>
      </c>
      <c r="G56" s="3" t="n"/>
      <c r="H56" s="366" t="inlineStr">
        <is>
          <t>Done</t>
        </is>
      </c>
      <c r="I56" s="149" t="n"/>
      <c r="J56" s="123" t="n"/>
    </row>
    <row r="57">
      <c r="B57" s="194" t="inlineStr">
        <is>
          <t>Split_046</t>
        </is>
      </c>
      <c r="C57" s="195" t="inlineStr">
        <is>
          <t>Split for Excel Files.</t>
        </is>
      </c>
      <c r="D57" s="195" t="inlineStr">
        <is>
          <t>For first item excel upload, No should be selected.</t>
        </is>
      </c>
      <c r="E57" s="195" t="inlineStr">
        <is>
          <t>No should be automatically selected, user input not required.</t>
        </is>
      </c>
      <c r="F57" s="26" t="inlineStr">
        <is>
          <t>Pending</t>
        </is>
      </c>
      <c r="G57" s="3" t="n"/>
      <c r="H57" s="366" t="inlineStr">
        <is>
          <t>Done</t>
        </is>
      </c>
      <c r="I57" s="149" t="n"/>
      <c r="J57" s="123" t="n"/>
    </row>
    <row r="58" ht="24" customHeight="1">
      <c r="B58" s="194" t="inlineStr">
        <is>
          <t>Split_047</t>
        </is>
      </c>
      <c r="C58" s="195" t="inlineStr">
        <is>
          <t>Split for Excel Files.</t>
        </is>
      </c>
      <c r="D58" s="195" t="inlineStr">
        <is>
          <t>Verify the same in modify item screen for excel file.</t>
        </is>
      </c>
      <c r="E58" s="195" t="inlineStr">
        <is>
          <t>Option should selected as No and disabled to change the selected.</t>
        </is>
      </c>
      <c r="F58" s="26" t="inlineStr">
        <is>
          <t>Pending</t>
        </is>
      </c>
      <c r="G58" s="3" t="n"/>
      <c r="H58" s="366" t="inlineStr">
        <is>
          <t>Done</t>
        </is>
      </c>
      <c r="I58" s="149" t="n"/>
      <c r="J58" s="123" t="n"/>
    </row>
    <row r="59" ht="24" customHeight="1">
      <c r="B59" s="194" t="inlineStr">
        <is>
          <t>Split_048</t>
        </is>
      </c>
      <c r="C59" s="195" t="inlineStr">
        <is>
          <t>Split for Excel Files.</t>
        </is>
      </c>
      <c r="D59" s="195" t="inlineStr">
        <is>
          <t>Verify uploading file from File Store &gt; observe in modify screen.</t>
        </is>
      </c>
      <c r="E59" s="195" t="inlineStr">
        <is>
          <t>Option should selected as No and disabled to change the selected.</t>
        </is>
      </c>
      <c r="F59" s="26" t="inlineStr">
        <is>
          <t>Pending</t>
        </is>
      </c>
      <c r="G59" s="3" t="n"/>
      <c r="H59" s="366" t="inlineStr">
        <is>
          <t>Done</t>
        </is>
      </c>
      <c r="I59" s="149" t="n"/>
      <c r="J59" s="123" t="n"/>
    </row>
    <row r="60">
      <c r="B60" s="194" t="inlineStr">
        <is>
          <t>Split_049</t>
        </is>
      </c>
      <c r="C60" s="195" t="inlineStr">
        <is>
          <t>Split for Excel Files.</t>
        </is>
      </c>
      <c r="D60" s="195" t="inlineStr">
        <is>
          <t>Navigate to Spreading screen &gt; observe split button.</t>
        </is>
      </c>
      <c r="E60" s="195" t="inlineStr">
        <is>
          <t>Split button should be present.</t>
        </is>
      </c>
      <c r="F60" s="26" t="inlineStr">
        <is>
          <t>Pending</t>
        </is>
      </c>
      <c r="G60" s="3" t="n"/>
      <c r="H60" s="366" t="inlineStr">
        <is>
          <t>Done</t>
        </is>
      </c>
      <c r="I60" s="149" t="n"/>
      <c r="J60" s="123" t="n"/>
    </row>
    <row r="61">
      <c r="B61" s="194" t="inlineStr">
        <is>
          <t>Split_050</t>
        </is>
      </c>
      <c r="C61" s="195" t="inlineStr">
        <is>
          <t>Split for Excel Files.</t>
        </is>
      </c>
      <c r="D61" s="195" t="inlineStr">
        <is>
          <t>Click Split button&gt;Split Window and Split Pages should be displayed.</t>
        </is>
      </c>
      <c r="E61" s="195" t="inlineStr">
        <is>
          <t>Both the option should be present under Split.</t>
        </is>
      </c>
      <c r="F61" s="26" t="inlineStr">
        <is>
          <t>Pending</t>
        </is>
      </c>
      <c r="G61" s="3" t="n"/>
      <c r="H61" s="366" t="inlineStr">
        <is>
          <t>Done</t>
        </is>
      </c>
      <c r="I61" s="149" t="n"/>
      <c r="J61" s="123" t="n"/>
    </row>
    <row r="62">
      <c r="B62" s="194" t="inlineStr">
        <is>
          <t>Split_051</t>
        </is>
      </c>
      <c r="C62" s="195" t="inlineStr">
        <is>
          <t>Split for Excel Files.</t>
        </is>
      </c>
      <c r="D62" s="195" t="inlineStr">
        <is>
          <t>Split Window button should be enabled but Split Pages should be disabled.</t>
        </is>
      </c>
      <c r="E62" s="195" t="inlineStr">
        <is>
          <t>Split Pages should be disabled.</t>
        </is>
      </c>
      <c r="F62" s="26" t="inlineStr">
        <is>
          <t>Pending</t>
        </is>
      </c>
      <c r="G62" s="3" t="n"/>
      <c r="H62" s="366" t="inlineStr">
        <is>
          <t>Done</t>
        </is>
      </c>
      <c r="I62" s="149" t="n"/>
      <c r="J62" s="123" t="n"/>
    </row>
    <row r="63">
      <c r="B63" s="194" t="inlineStr">
        <is>
          <t>Split_052</t>
        </is>
      </c>
      <c r="C63" s="195" t="inlineStr">
        <is>
          <t>Split for Excel Files.</t>
        </is>
      </c>
      <c r="D63" s="195" t="inlineStr">
        <is>
          <t>Click disabled button.</t>
        </is>
      </c>
      <c r="E63" s="195" t="inlineStr">
        <is>
          <t>Nothing should happen, click should not work.</t>
        </is>
      </c>
      <c r="F63" s="26" t="inlineStr">
        <is>
          <t>Pending</t>
        </is>
      </c>
      <c r="G63" s="3" t="n"/>
      <c r="H63" s="366" t="inlineStr">
        <is>
          <t>Done</t>
        </is>
      </c>
      <c r="I63" s="149" t="n"/>
      <c r="J63" s="123" t="n"/>
    </row>
    <row r="64" ht="24" customHeight="1">
      <c r="B64" s="194" t="inlineStr">
        <is>
          <t>Split_053</t>
        </is>
      </c>
      <c r="C64" s="195" t="inlineStr">
        <is>
          <t>Split in Template Screen</t>
        </is>
      </c>
      <c r="D64" s="195" t="inlineStr">
        <is>
          <t>Existing models&gt;add modify template&gt;go to template configuration screen.</t>
        </is>
      </c>
      <c r="E64" s="195" t="inlineStr">
        <is>
          <t>Template configuration screen should be enabled.</t>
        </is>
      </c>
      <c r="F64" s="26" t="inlineStr">
        <is>
          <t>Pending</t>
        </is>
      </c>
      <c r="G64" s="3" t="n"/>
      <c r="H64" s="366" t="inlineStr">
        <is>
          <t>Done</t>
        </is>
      </c>
      <c r="I64" s="149" t="n"/>
      <c r="J64" s="123" t="n"/>
    </row>
    <row r="65">
      <c r="B65" s="194" t="inlineStr">
        <is>
          <t>Split_054</t>
        </is>
      </c>
      <c r="C65" s="195" t="inlineStr">
        <is>
          <t>Split in Template Screen</t>
        </is>
      </c>
      <c r="D65" s="195" t="inlineStr">
        <is>
          <t>Verify Clean PDF button in ribbon button list.</t>
        </is>
      </c>
      <c r="E65" s="195" t="inlineStr">
        <is>
          <t>Split button should be present.</t>
        </is>
      </c>
      <c r="F65" s="26" t="inlineStr">
        <is>
          <t>Pending</t>
        </is>
      </c>
      <c r="G65" s="3" t="n"/>
      <c r="H65" s="366" t="inlineStr">
        <is>
          <t>Done</t>
        </is>
      </c>
      <c r="I65" s="149" t="n"/>
      <c r="J65" s="123" t="n"/>
    </row>
    <row r="66">
      <c r="B66" s="194" t="inlineStr">
        <is>
          <t>Split_055</t>
        </is>
      </c>
      <c r="C66" s="195" t="inlineStr">
        <is>
          <t>Split in Template Screen</t>
        </is>
      </c>
      <c r="D66" s="195" t="inlineStr">
        <is>
          <t>Verify that button should be disabled for user to use.</t>
        </is>
      </c>
      <c r="E66" s="195" t="inlineStr">
        <is>
          <t>Button should be disabled.</t>
        </is>
      </c>
      <c r="F66" s="26" t="inlineStr">
        <is>
          <t>Pending</t>
        </is>
      </c>
      <c r="G66" s="3" t="n"/>
      <c r="H66" s="366" t="inlineStr">
        <is>
          <t>Done</t>
        </is>
      </c>
      <c r="I66" s="149" t="n"/>
      <c r="J66" s="123" t="n"/>
    </row>
    <row r="67" ht="24" customHeight="1">
      <c r="B67" s="194" t="inlineStr">
        <is>
          <t>Split_056</t>
        </is>
      </c>
      <c r="C67" s="195" t="inlineStr">
        <is>
          <t>Split in Template Screen</t>
        </is>
      </c>
      <c r="D67" s="195" t="inlineStr">
        <is>
          <t>Navigate to base template from current template&gt;split button should be disabled.</t>
        </is>
      </c>
      <c r="E67" s="195" t="inlineStr">
        <is>
          <t>Button should be disabled.</t>
        </is>
      </c>
      <c r="F67" s="26" t="inlineStr">
        <is>
          <t>Pending</t>
        </is>
      </c>
      <c r="G67" s="3" t="n"/>
      <c r="H67" s="366" t="inlineStr">
        <is>
          <t>Done</t>
        </is>
      </c>
      <c r="I67" s="149" t="n"/>
      <c r="J67" s="123" t="n"/>
    </row>
    <row r="68">
      <c r="B68" s="194" t="inlineStr">
        <is>
          <t>Split_057</t>
        </is>
      </c>
      <c r="C68" s="195" t="inlineStr">
        <is>
          <t>Split in Template Screen</t>
        </is>
      </c>
      <c r="D68" s="195" t="inlineStr">
        <is>
          <t>Go to Spreading screen and select template to use.</t>
        </is>
      </c>
      <c r="E68" s="195" t="inlineStr">
        <is>
          <t>Template should launched in Spreading screen as base.</t>
        </is>
      </c>
      <c r="F68" s="26" t="inlineStr">
        <is>
          <t>Pending</t>
        </is>
      </c>
      <c r="G68" s="3" t="n"/>
      <c r="H68" s="366" t="inlineStr">
        <is>
          <t>Done</t>
        </is>
      </c>
      <c r="I68" s="149" t="n"/>
      <c r="J68" s="123" t="n"/>
    </row>
    <row r="69">
      <c r="B69" s="194" t="inlineStr">
        <is>
          <t>Split_058</t>
        </is>
      </c>
      <c r="C69" s="195" t="inlineStr">
        <is>
          <t>Split in Template Screen</t>
        </is>
      </c>
      <c r="D69" s="195" t="inlineStr">
        <is>
          <t>Navigate to base template &gt; observe split.</t>
        </is>
      </c>
      <c r="E69" s="195" t="inlineStr">
        <is>
          <t>Button should be disabled.</t>
        </is>
      </c>
      <c r="F69" s="26" t="inlineStr">
        <is>
          <t>Pending</t>
        </is>
      </c>
      <c r="G69" s="3" t="n"/>
      <c r="H69" s="366" t="inlineStr">
        <is>
          <t>Done</t>
        </is>
      </c>
      <c r="I69" s="149" t="n"/>
      <c r="J69" s="123" t="n"/>
    </row>
    <row r="70">
      <c r="B70" s="192" t="inlineStr">
        <is>
          <t>Split_059</t>
        </is>
      </c>
      <c r="C70" s="193" t="inlineStr">
        <is>
          <t>Split Functionality in Quality Check</t>
        </is>
      </c>
      <c r="D70" s="193" t="inlineStr">
        <is>
          <t>Navigate to Quality check screen in QC pool. And spread any item.</t>
        </is>
      </c>
      <c r="E70" s="193" t="inlineStr">
        <is>
          <t>The Spreading screen should open.</t>
        </is>
      </c>
      <c r="F70" s="26" t="inlineStr">
        <is>
          <t>Pending</t>
        </is>
      </c>
      <c r="G70" s="3" t="n"/>
      <c r="H70" s="366" t="inlineStr">
        <is>
          <t>Done</t>
        </is>
      </c>
      <c r="I70" s="149" t="n"/>
      <c r="J70" s="123" t="n"/>
    </row>
    <row r="71">
      <c r="B71" s="192" t="inlineStr">
        <is>
          <t>Split_060</t>
        </is>
      </c>
      <c r="C71" s="193" t="inlineStr">
        <is>
          <t>Split Functionality in Quality Check</t>
        </is>
      </c>
      <c r="D71" s="193" t="inlineStr">
        <is>
          <t>Review split button &gt;Split Window and Split Pages,.</t>
        </is>
      </c>
      <c r="E71" s="193" t="inlineStr">
        <is>
          <t>Split ribbon button should be present.</t>
        </is>
      </c>
      <c r="F71" s="26" t="inlineStr">
        <is>
          <t>Pending</t>
        </is>
      </c>
      <c r="G71" s="3" t="n"/>
      <c r="H71" s="366" t="inlineStr">
        <is>
          <t>Done</t>
        </is>
      </c>
      <c r="I71" s="149" t="n"/>
      <c r="J71" s="123" t="n"/>
    </row>
    <row r="72">
      <c r="B72" s="192" t="inlineStr">
        <is>
          <t>Split_061</t>
        </is>
      </c>
      <c r="C72" s="193" t="inlineStr">
        <is>
          <t>Split Functionality in Quality Check</t>
        </is>
      </c>
      <c r="D72" s="193" t="inlineStr">
        <is>
          <t>Click Split Window &gt; observe.</t>
        </is>
      </c>
      <c r="E72" s="193" t="inlineStr">
        <is>
          <t>Split Window should launch screen in two sections.</t>
        </is>
      </c>
      <c r="F72" s="26" t="inlineStr">
        <is>
          <t>Pending</t>
        </is>
      </c>
      <c r="G72" s="3" t="n"/>
      <c r="H72" s="366" t="inlineStr">
        <is>
          <t>Done</t>
        </is>
      </c>
      <c r="I72" s="149" t="n"/>
      <c r="J72" s="123" t="n"/>
    </row>
    <row r="73">
      <c r="B73" s="192" t="inlineStr">
        <is>
          <t>Split_062</t>
        </is>
      </c>
      <c r="C73" s="193" t="inlineStr">
        <is>
          <t>Split Functionality in Quality Check</t>
        </is>
      </c>
      <c r="D73" s="193" t="inlineStr">
        <is>
          <t>Click split page &gt; observe.</t>
        </is>
      </c>
      <c r="E73" s="193" t="inlineStr">
        <is>
          <t>Split screen should appear with preview of partitioning,.</t>
        </is>
      </c>
      <c r="F73" s="26" t="inlineStr">
        <is>
          <t>Pending</t>
        </is>
      </c>
      <c r="G73" s="3" t="n"/>
      <c r="H73" s="366" t="inlineStr">
        <is>
          <t>Done</t>
        </is>
      </c>
      <c r="I73" s="149" t="n"/>
      <c r="J73" s="123" t="n"/>
    </row>
    <row r="74">
      <c r="B74" s="192" t="inlineStr">
        <is>
          <t>Split_063</t>
        </is>
      </c>
      <c r="C74" s="193" t="inlineStr">
        <is>
          <t>Split Functionality in Quality Check</t>
        </is>
      </c>
      <c r="D74" s="193" t="inlineStr">
        <is>
          <t>Adjust partition area and continue.</t>
        </is>
      </c>
      <c r="E74" s="193" t="inlineStr">
        <is>
          <t>Split should happen as per selected area.</t>
        </is>
      </c>
      <c r="F74" s="26" t="inlineStr">
        <is>
          <t>Pending</t>
        </is>
      </c>
      <c r="G74" s="3" t="n"/>
      <c r="H74" s="366" t="inlineStr">
        <is>
          <t>Done</t>
        </is>
      </c>
      <c r="I74" s="149" t="inlineStr">
        <is>
          <t>Partition Adjust cannot be done using Automation</t>
        </is>
      </c>
      <c r="J74" s="123" t="n"/>
    </row>
    <row r="75">
      <c r="B75" s="192" t="inlineStr">
        <is>
          <t>Split_064</t>
        </is>
      </c>
      <c r="C75" s="193" t="inlineStr">
        <is>
          <t>Split Functionality in Quality Check</t>
        </is>
      </c>
      <c r="D75" s="193" t="inlineStr">
        <is>
          <t>Review the page by scrolling left and right, observe page count.</t>
        </is>
      </c>
      <c r="E75" s="193" t="inlineStr">
        <is>
          <t>Page should be split and count should be increased by 1.</t>
        </is>
      </c>
      <c r="F75" s="26" t="inlineStr">
        <is>
          <t>Pending</t>
        </is>
      </c>
      <c r="G75" s="3" t="n"/>
      <c r="H75" s="366" t="inlineStr">
        <is>
          <t>Done</t>
        </is>
      </c>
      <c r="I75" s="149" t="n"/>
      <c r="J75" s="123" t="n"/>
    </row>
    <row r="76">
      <c r="B76" s="192" t="inlineStr">
        <is>
          <t>Split_065</t>
        </is>
      </c>
      <c r="C76" s="193" t="inlineStr">
        <is>
          <t>Split Functionality in Quality Check</t>
        </is>
      </c>
      <c r="D76" s="193" t="inlineStr">
        <is>
          <t>Submit or reject item after split.</t>
        </is>
      </c>
      <c r="E76" s="193" t="inlineStr">
        <is>
          <t>The user should be able to submit or reject.</t>
        </is>
      </c>
      <c r="F76" s="26" t="inlineStr">
        <is>
          <t>Pending</t>
        </is>
      </c>
      <c r="G76" s="3" t="n"/>
      <c r="H76" s="366" t="inlineStr">
        <is>
          <t>Done</t>
        </is>
      </c>
      <c r="I76" s="149" t="n"/>
      <c r="J76" s="123" t="n"/>
    </row>
    <row r="77" ht="24" customHeight="1">
      <c r="B77" s="192" t="inlineStr">
        <is>
          <t>Split_066</t>
        </is>
      </c>
      <c r="C77" s="193" t="inlineStr">
        <is>
          <t>Split Functionality in Quality Check</t>
        </is>
      </c>
      <c r="D77" s="193" t="inlineStr">
        <is>
          <t>Go to non- QC pool and pick any item to spread &gt; observe split button.</t>
        </is>
      </c>
      <c r="E77" s="193" t="inlineStr">
        <is>
          <t>Split button should be present in item picked from Non qc pool.</t>
        </is>
      </c>
      <c r="F77" s="26" t="inlineStr">
        <is>
          <t>Pending</t>
        </is>
      </c>
      <c r="G77" s="3" t="n"/>
      <c r="H77" s="366" t="inlineStr">
        <is>
          <t>Done</t>
        </is>
      </c>
      <c r="I77" s="149" t="n"/>
      <c r="J77" s="123" t="n"/>
    </row>
    <row r="78">
      <c r="B78" s="192" t="inlineStr">
        <is>
          <t>Split_067</t>
        </is>
      </c>
      <c r="C78" s="193" t="inlineStr">
        <is>
          <t>Split Functionality in Quality Check</t>
        </is>
      </c>
      <c r="D78" s="193" t="inlineStr">
        <is>
          <t>Split page and submit spread &gt; observe.</t>
        </is>
      </c>
      <c r="E78" s="193" t="inlineStr">
        <is>
          <t>Split should work and spread should be submitted.</t>
        </is>
      </c>
      <c r="F78" s="26" t="inlineStr">
        <is>
          <t>Pending</t>
        </is>
      </c>
      <c r="G78" s="3" t="n"/>
      <c r="H78" s="366" t="inlineStr">
        <is>
          <t>Done</t>
        </is>
      </c>
      <c r="I78" s="149" t="n"/>
      <c r="J78" s="123" t="n"/>
    </row>
    <row r="79">
      <c r="B79" s="192" t="inlineStr">
        <is>
          <t>Split_068</t>
        </is>
      </c>
      <c r="C79" s="193" t="inlineStr">
        <is>
          <t>Split Functionality in Quality Check</t>
        </is>
      </c>
      <c r="D79" s="193" t="inlineStr">
        <is>
          <t>Navigate to rejected pool&gt;pick any item and spread.</t>
        </is>
      </c>
      <c r="E79" s="193" t="inlineStr">
        <is>
          <t>Item should be spread pick from rejected pool.</t>
        </is>
      </c>
      <c r="F79" s="26" t="inlineStr">
        <is>
          <t>Pending</t>
        </is>
      </c>
      <c r="G79" s="3" t="n"/>
      <c r="H79" s="366" t="inlineStr">
        <is>
          <t>Done</t>
        </is>
      </c>
      <c r="I79" s="149" t="n"/>
      <c r="J79" s="123" t="n"/>
    </row>
    <row r="80">
      <c r="B80" s="192" t="inlineStr">
        <is>
          <t>Split_069</t>
        </is>
      </c>
      <c r="C80" s="193" t="inlineStr">
        <is>
          <t>Split Functionality in Quality Check</t>
        </is>
      </c>
      <c r="D80" s="193" t="inlineStr">
        <is>
          <t>Split any page with mapped values&gt;Observe.</t>
        </is>
      </c>
      <c r="E80" s="193" t="inlineStr">
        <is>
          <t>The page should display warning message that mapped data will be lost.</t>
        </is>
      </c>
      <c r="F80" s="26" t="inlineStr">
        <is>
          <t>Pending</t>
        </is>
      </c>
      <c r="G80" s="3" t="n"/>
      <c r="H80" s="366" t="inlineStr">
        <is>
          <t>Done</t>
        </is>
      </c>
      <c r="I80" s="149" t="n"/>
      <c r="J80" s="123" t="n"/>
    </row>
    <row r="81">
      <c r="B81" s="192" t="inlineStr">
        <is>
          <t>Split_070</t>
        </is>
      </c>
      <c r="C81" s="193" t="inlineStr">
        <is>
          <t>Split Functionality in Quality Check</t>
        </is>
      </c>
      <c r="D81" s="193" t="inlineStr">
        <is>
          <t>Once user click OK&gt;Split should happen.</t>
        </is>
      </c>
      <c r="E81" s="193" t="inlineStr">
        <is>
          <t>Split should work.</t>
        </is>
      </c>
      <c r="F81" s="26" t="inlineStr">
        <is>
          <t>Pending</t>
        </is>
      </c>
      <c r="G81" s="3" t="n"/>
      <c r="H81" s="366" t="inlineStr">
        <is>
          <t>Done</t>
        </is>
      </c>
      <c r="I81" s="149" t="n"/>
      <c r="J81" s="123" t="n"/>
    </row>
    <row r="82" ht="29.25" customHeight="1">
      <c r="B82" s="194" t="inlineStr">
        <is>
          <t>Split_071</t>
        </is>
      </c>
      <c r="C82" s="195" t="inlineStr">
        <is>
          <t>Split with Ai Prediction</t>
        </is>
      </c>
      <c r="D82" s="195" t="inlineStr">
        <is>
          <t>Launch Spreading screen&gt;AI prediction should be present for keywords.</t>
        </is>
      </c>
      <c r="E82" s="195" t="inlineStr">
        <is>
          <t>AI prediction count should be displayed in Navigate Text.</t>
        </is>
      </c>
      <c r="F82" s="26" t="inlineStr">
        <is>
          <t>Pending</t>
        </is>
      </c>
      <c r="G82" s="3" t="n"/>
      <c r="H82" s="366" t="inlineStr">
        <is>
          <t>Done</t>
        </is>
      </c>
      <c r="I82" s="149" t="n"/>
      <c r="J82" s="123" t="n"/>
    </row>
    <row r="83" ht="60" customHeight="1">
      <c r="B83" s="194" t="inlineStr">
        <is>
          <t>Split_072</t>
        </is>
      </c>
      <c r="C83" s="195" t="inlineStr">
        <is>
          <t>Split with Ai Prediction</t>
        </is>
      </c>
      <c r="D83" s="195" t="inlineStr">
        <is>
          <t>Click AI prediction button&gt;and select any keyword to expand.
Review page number for prediction.
Split any page present before Predicted page &gt; observe predicted page number after split.</t>
        </is>
      </c>
      <c r="E83" s="195" t="inlineStr">
        <is>
          <t>Predicted page count should increase by 1 after split.</t>
        </is>
      </c>
      <c r="F83" s="26" t="inlineStr">
        <is>
          <t>Pending</t>
        </is>
      </c>
      <c r="G83" s="3" t="n"/>
      <c r="H83" s="366" t="inlineStr">
        <is>
          <t>Done</t>
        </is>
      </c>
      <c r="I83" s="149" t="n"/>
      <c r="J83" s="123" t="n"/>
    </row>
    <row r="84" ht="42" customHeight="1">
      <c r="B84" s="194" t="inlineStr">
        <is>
          <t>Split_073</t>
        </is>
      </c>
      <c r="C84" s="195" t="inlineStr">
        <is>
          <t>Split with Ai Prediction</t>
        </is>
      </c>
      <c r="D84" s="195" t="inlineStr">
        <is>
          <t>Verify Predicted page number after Split in AI Overlay and then navigate to page.</t>
        </is>
      </c>
      <c r="E84" s="195" t="inlineStr">
        <is>
          <t>Page should be increased in both the screens.</t>
        </is>
      </c>
      <c r="F84" s="26" t="inlineStr">
        <is>
          <t>Pending</t>
        </is>
      </c>
      <c r="G84" s="3" t="n"/>
      <c r="H84" s="366" t="inlineStr">
        <is>
          <t>Done</t>
        </is>
      </c>
      <c r="I84" s="149" t="n"/>
      <c r="J84" s="123" t="n"/>
    </row>
    <row r="85" ht="36" customHeight="1">
      <c r="B85" s="194" t="inlineStr">
        <is>
          <t>Split_074</t>
        </is>
      </c>
      <c r="C85" s="195" t="inlineStr">
        <is>
          <t>Split with Ai Prediction</t>
        </is>
      </c>
      <c r="D85" s="195" t="inlineStr">
        <is>
          <t>Map values from AI Prediction&gt;and then split earlier pages.
Review Mapped cell &gt;check page number.</t>
        </is>
      </c>
      <c r="E85" s="195" t="inlineStr">
        <is>
          <t>Page number should be updated as per the number of Splits applied.
Should reflect results in Mapped cells as well.</t>
        </is>
      </c>
      <c r="F85" s="26" t="inlineStr">
        <is>
          <t>Pending</t>
        </is>
      </c>
      <c r="G85" s="3" t="n"/>
      <c r="H85" s="366" t="inlineStr">
        <is>
          <t>Done</t>
        </is>
      </c>
      <c r="I85" s="149" t="n"/>
      <c r="J85" s="123" t="n"/>
    </row>
    <row r="86" ht="36.75" customHeight="1">
      <c r="B86" s="194" t="inlineStr">
        <is>
          <t>Split_075</t>
        </is>
      </c>
      <c r="C86" s="195" t="inlineStr">
        <is>
          <t>Split with Ai Prediction</t>
        </is>
      </c>
      <c r="D86" s="195" t="inlineStr">
        <is>
          <t>Navigate to AI predicted values from mapped cell &gt; observe Text should be highlighted in the correct page and sentence.</t>
        </is>
      </c>
      <c r="E86" s="195" t="inlineStr">
        <is>
          <t>After split, correct data should be highlighted.</t>
        </is>
      </c>
      <c r="F86" s="26" t="inlineStr">
        <is>
          <t>Pending</t>
        </is>
      </c>
      <c r="G86" s="3" t="n"/>
      <c r="H86" s="366" t="inlineStr">
        <is>
          <t>Done</t>
        </is>
      </c>
      <c r="I86" s="149" t="n"/>
      <c r="J86" s="123" t="n"/>
    </row>
    <row r="87" ht="49.5" customHeight="1">
      <c r="B87" s="194" t="inlineStr">
        <is>
          <t>Split_076</t>
        </is>
      </c>
      <c r="C87" s="195" t="inlineStr">
        <is>
          <t>Split with Ai Prediction</t>
        </is>
      </c>
      <c r="D87" s="195" t="inlineStr">
        <is>
          <t>Launch Spreading screen&gt;AI prediction should be present for keywords.
Map some values from zones&gt;and apply Split in some pages.
Submit and continue&gt;verify AI prediction pages.</t>
        </is>
      </c>
      <c r="E87" s="195" t="inlineStr">
        <is>
          <t>AI prediction count should be updated in subsequent spread as well.</t>
        </is>
      </c>
      <c r="F87" s="26" t="inlineStr">
        <is>
          <t>Pending</t>
        </is>
      </c>
      <c r="G87" s="3" t="n"/>
      <c r="H87" s="366" t="inlineStr">
        <is>
          <t>Done</t>
        </is>
      </c>
      <c r="I87" s="149" t="n"/>
      <c r="J87" s="123" t="n"/>
    </row>
    <row r="88" ht="33.75" customHeight="1">
      <c r="B88" s="194" t="inlineStr">
        <is>
          <t>Split_077</t>
        </is>
      </c>
      <c r="C88" s="195" t="inlineStr">
        <is>
          <t>Split with Ai Prediction</t>
        </is>
      </c>
      <c r="D88" s="195" t="inlineStr">
        <is>
          <t>In subsequent spread, verify Predicted page number after Split in AI Overlay and then navigate to page.</t>
        </is>
      </c>
      <c r="E88" s="195" t="inlineStr">
        <is>
          <t>Page should be increased in both the screens.</t>
        </is>
      </c>
      <c r="F88" s="26" t="inlineStr">
        <is>
          <t>Pending</t>
        </is>
      </c>
      <c r="G88" s="3" t="n"/>
      <c r="H88" s="366" t="inlineStr">
        <is>
          <t>Done</t>
        </is>
      </c>
      <c r="I88" s="149" t="n"/>
      <c r="J88" s="123" t="n"/>
    </row>
    <row r="89" ht="27.75" customHeight="1">
      <c r="B89" s="194" t="inlineStr">
        <is>
          <t>Split_078</t>
        </is>
      </c>
      <c r="C89" s="195" t="inlineStr">
        <is>
          <t>Split with Ai Prediction</t>
        </is>
      </c>
      <c r="D89" s="195" t="inlineStr">
        <is>
          <t>Map value from splited page as free text and observe in mapped cell.</t>
        </is>
      </c>
      <c r="E89" s="195" t="inlineStr">
        <is>
          <t>Correct text should be mapped and highlighted in cell.</t>
        </is>
      </c>
      <c r="F89" s="26" t="inlineStr">
        <is>
          <t>Pending</t>
        </is>
      </c>
      <c r="G89" s="3" t="n"/>
      <c r="H89" s="366" t="inlineStr">
        <is>
          <t>Done</t>
        </is>
      </c>
      <c r="I89" s="149" t="n"/>
      <c r="J89" s="123" t="n"/>
    </row>
    <row r="90" ht="33.75" customHeight="1">
      <c r="B90" s="194" t="inlineStr">
        <is>
          <t>Split_079</t>
        </is>
      </c>
      <c r="C90" s="195" t="inlineStr">
        <is>
          <t>Split all Pages</t>
        </is>
      </c>
      <c r="D90" s="195" t="inlineStr">
        <is>
          <t>Log in to to Spreadsmart application.</t>
        </is>
      </c>
      <c r="E90" s="195" t="inlineStr">
        <is>
          <t>The user should be logged in to Spreadsmart application.</t>
        </is>
      </c>
      <c r="F90" s="26" t="inlineStr">
        <is>
          <t>Pending</t>
        </is>
      </c>
      <c r="G90" s="3" t="n"/>
      <c r="H90" s="366" t="inlineStr">
        <is>
          <t>Done</t>
        </is>
      </c>
      <c r="I90" s="149" t="n"/>
      <c r="J90" s="123" t="n"/>
    </row>
    <row r="91" ht="48.75" customHeight="1">
      <c r="B91" s="194" t="inlineStr">
        <is>
          <t>Split_080</t>
        </is>
      </c>
      <c r="C91" s="195" t="inlineStr">
        <is>
          <t>Split all Pages</t>
        </is>
      </c>
      <c r="D91" s="195" t="inlineStr">
        <is>
          <t>Select any customer and navigate to Add Item screen and upload PDF document.
(Precondition: attached PDF document should have pages in booklet view).</t>
        </is>
      </c>
      <c r="E91" s="195" t="inlineStr">
        <is>
          <t>System should display validation message:: Please preview the file to check if all pages need to be split".</t>
        </is>
      </c>
      <c r="F91" s="26" t="inlineStr">
        <is>
          <t>Pending</t>
        </is>
      </c>
      <c r="G91" s="3" t="n"/>
      <c r="H91" s="366" t="inlineStr">
        <is>
          <t>Done</t>
        </is>
      </c>
      <c r="I91" s="149" t="n"/>
      <c r="J91" s="123" t="n"/>
    </row>
    <row r="92" ht="24.75" customHeight="1">
      <c r="B92" s="194" t="inlineStr">
        <is>
          <t>Split_081</t>
        </is>
      </c>
      <c r="C92" s="195" t="inlineStr">
        <is>
          <t>Split all Pages</t>
        </is>
      </c>
      <c r="D92" s="195" t="inlineStr">
        <is>
          <t>Verify by default Split page check box is disabled in Modify item screen.</t>
        </is>
      </c>
      <c r="E92" s="195" t="inlineStr">
        <is>
          <t>Split checkbox should be disabled.</t>
        </is>
      </c>
      <c r="F92" s="26" t="inlineStr">
        <is>
          <t>Pending</t>
        </is>
      </c>
      <c r="G92" s="3" t="n"/>
      <c r="H92" s="366" t="inlineStr">
        <is>
          <t>Done</t>
        </is>
      </c>
      <c r="I92" s="149" t="n"/>
      <c r="J92" s="123" t="n"/>
    </row>
    <row r="93" ht="29.25" customHeight="1">
      <c r="B93" s="194" t="inlineStr">
        <is>
          <t>Split_082</t>
        </is>
      </c>
      <c r="C93" s="195" t="inlineStr">
        <is>
          <t>Split all Pages</t>
        </is>
      </c>
      <c r="D93" s="195" t="inlineStr">
        <is>
          <t>Verify that the user can select the Split check box.</t>
        </is>
      </c>
      <c r="E93" s="195" t="inlineStr">
        <is>
          <t>System should allow user to select Split checkbox option.</t>
        </is>
      </c>
      <c r="F93" s="26" t="inlineStr">
        <is>
          <t>Pending</t>
        </is>
      </c>
      <c r="G93" s="3" t="n"/>
      <c r="H93" s="366" t="inlineStr">
        <is>
          <t>Done</t>
        </is>
      </c>
      <c r="I93" s="149" t="n"/>
      <c r="J93" s="123" t="n"/>
    </row>
    <row r="94" ht="101.25" customHeight="1">
      <c r="B94" s="194" t="inlineStr">
        <is>
          <t>Split_083</t>
        </is>
      </c>
      <c r="C94" s="195" t="inlineStr">
        <is>
          <t>Split all Pages</t>
        </is>
      </c>
      <c r="D94" s="195" t="inlineStr">
        <is>
          <t>Verify once user select the Split checkbox" This step depends on the development:Verify the user is able to click the file name to preview the file and check if all pages of.
The document to decide whether Split operation is required or not.".</t>
        </is>
      </c>
      <c r="E94" s="195" t="inlineStr">
        <is>
          <t>Split operation should start "System should automatically split based on height/width of the page with width/2.
Logic.((Please note that Selector in the preview page is not possible so the system will automatically split based on height/width of the page with width/2 logic.This logic will based on dev).</t>
        </is>
      </c>
      <c r="F94" s="26" t="inlineStr">
        <is>
          <t>Pending</t>
        </is>
      </c>
      <c r="G94" s="3" t="n"/>
      <c r="H94" s="366" t="inlineStr">
        <is>
          <t>Done</t>
        </is>
      </c>
      <c r="I94" s="149" t="n"/>
      <c r="J94" s="123" t="n"/>
    </row>
    <row r="95" ht="90" customHeight="1">
      <c r="B95" s="194" t="inlineStr">
        <is>
          <t>Split_084</t>
        </is>
      </c>
      <c r="C95" s="195" t="inlineStr">
        <is>
          <t>Split all Pages</t>
        </is>
      </c>
      <c r="D95" s="195" t="inlineStr">
        <is>
          <t>Verify when user selects Split Page operation before processing of the file, then the file preview will not have search functionality.</t>
        </is>
      </c>
      <c r="E95" s="195" t="inlineStr">
        <is>
          <t>Search functionality should not be not available on file preview when user selects split page operation.</t>
        </is>
      </c>
      <c r="F95" s="26" t="inlineStr">
        <is>
          <t>Pending</t>
        </is>
      </c>
      <c r="G95" s="112" t="inlineStr">
        <is>
          <t>Applicable for scanned files.</t>
        </is>
      </c>
      <c r="H95" s="366" t="inlineStr">
        <is>
          <t>Done</t>
        </is>
      </c>
      <c r="I95" s="164" t="n"/>
      <c r="J95" s="123" t="inlineStr">
        <is>
          <t>search functionality works for all files - Discussed with Neha</t>
        </is>
      </c>
    </row>
    <row r="96" ht="90" customHeight="1">
      <c r="B96" s="194" t="inlineStr">
        <is>
          <t>Split_085</t>
        </is>
      </c>
      <c r="C96" s="195" t="inlineStr">
        <is>
          <t>Split all Pages</t>
        </is>
      </c>
      <c r="D96" s="195" t="inlineStr">
        <is>
          <t>Verify file preview should not have search functionality when user selects the Split checkbox before processing the file(Add Item and navigate to Spreading screen then verify search function).</t>
        </is>
      </c>
      <c r="E96" s="195" t="inlineStr">
        <is>
          <t>File should not have search functionality when user selects the split check box before processing the file.</t>
        </is>
      </c>
      <c r="F96" s="26" t="inlineStr">
        <is>
          <t>Pending</t>
        </is>
      </c>
      <c r="G96" s="3" t="n"/>
      <c r="H96" s="366" t="inlineStr">
        <is>
          <t>Done</t>
        </is>
      </c>
      <c r="I96" s="149" t="n"/>
      <c r="J96" s="123" t="inlineStr">
        <is>
          <t>search functionality works for all files - Discussed with Neha</t>
        </is>
      </c>
    </row>
    <row r="97" ht="36.75" customHeight="1">
      <c r="B97" s="194" t="inlineStr">
        <is>
          <t>Split_086</t>
        </is>
      </c>
      <c r="C97" s="195" t="inlineStr">
        <is>
          <t>Split all Pages</t>
        </is>
      </c>
      <c r="D97" s="195" t="inlineStr">
        <is>
          <t>Verify user will not allowed to deselect the Split radio button once the file splits and processed.</t>
        </is>
      </c>
      <c r="E97" s="195" t="inlineStr">
        <is>
          <t>The user should not be allowed to deselect Split radio button once the file splits and processed.</t>
        </is>
      </c>
      <c r="F97" s="26" t="inlineStr">
        <is>
          <t>Pending</t>
        </is>
      </c>
      <c r="G97" s="3" t="n"/>
      <c r="H97" s="366" t="inlineStr">
        <is>
          <t>Done</t>
        </is>
      </c>
      <c r="I97" s="149" t="n"/>
      <c r="J97" s="123" t="n"/>
    </row>
    <row r="98" ht="48" customHeight="1">
      <c r="B98" s="194" t="inlineStr">
        <is>
          <t>Split_087</t>
        </is>
      </c>
      <c r="C98" s="195" t="inlineStr">
        <is>
          <t>Split all Pages</t>
        </is>
      </c>
      <c r="D98" s="195" t="inlineStr">
        <is>
          <t>Verify when user selects the split page checkbox after processing document or processing completed then system should display validation message "File will be processed again for Split operation. Do you want to.
Continue"" with Cancel and Continue buttons ".</t>
        </is>
      </c>
      <c r="E98" s="195" t="inlineStr">
        <is>
          <t>System should display validation message "" " File will be processed again for Split operation. Do you want to continue"" with Cancel and Continue buttons.</t>
        </is>
      </c>
      <c r="F98" s="26" t="inlineStr">
        <is>
          <t>Pending</t>
        </is>
      </c>
      <c r="G98" s="3" t="n">
        <v>70797</v>
      </c>
      <c r="H98" s="366" t="inlineStr">
        <is>
          <t>Done</t>
        </is>
      </c>
      <c r="I98" s="149" t="n"/>
      <c r="J98" s="123" t="n"/>
    </row>
    <row r="99" ht="24" customHeight="1">
      <c r="B99" s="194" t="inlineStr">
        <is>
          <t>Split_088</t>
        </is>
      </c>
      <c r="C99" s="195" t="inlineStr">
        <is>
          <t>Split all Pages</t>
        </is>
      </c>
      <c r="D99" s="195" t="inlineStr">
        <is>
          <t>Click Cancel button,Modify Item screen should display.</t>
        </is>
      </c>
      <c r="E99" s="195" t="inlineStr">
        <is>
          <t>Modify Item screen should display.</t>
        </is>
      </c>
      <c r="F99" s="26" t="inlineStr">
        <is>
          <t>Pending</t>
        </is>
      </c>
      <c r="G99" s="3" t="n"/>
      <c r="H99" s="366" t="inlineStr">
        <is>
          <t>Done</t>
        </is>
      </c>
      <c r="I99" s="149" t="n"/>
      <c r="J99" s="123" t="n"/>
    </row>
    <row r="100" ht="57.75" customHeight="1">
      <c r="B100" s="194" t="inlineStr">
        <is>
          <t>Split_089</t>
        </is>
      </c>
      <c r="C100" s="195" t="inlineStr">
        <is>
          <t>Split all Pages</t>
        </is>
      </c>
      <c r="D100" s="195" t="inlineStr">
        <is>
          <t>Verify On Click Continue on validation message and then Split Processing of the document should start "File will be processed again for Split operation. Do you want to continue"" with Cancel and Continue buttons ".</t>
        </is>
      </c>
      <c r="E100" s="195" t="inlineStr">
        <is>
          <t>File should split and allow user to Add Item to the customer.</t>
        </is>
      </c>
      <c r="F100" s="26" t="inlineStr">
        <is>
          <t>Pending</t>
        </is>
      </c>
      <c r="G100" s="3" t="n">
        <v>70797</v>
      </c>
      <c r="H100" s="366" t="inlineStr">
        <is>
          <t>Done</t>
        </is>
      </c>
      <c r="I100" s="149" t="n"/>
      <c r="J100" s="123" t="n"/>
    </row>
    <row r="101" ht="33.75" customHeight="1">
      <c r="B101" s="194" t="inlineStr">
        <is>
          <t>Split_090</t>
        </is>
      </c>
      <c r="C101" s="195" t="inlineStr">
        <is>
          <t>Split all Pages</t>
        </is>
      </c>
      <c r="D101" s="195" t="inlineStr">
        <is>
          <t>Add Item and Navigate to Spreading screen and verify PDF document.
"PDF document should not show any booklet view pages".</t>
        </is>
      </c>
      <c r="E101" s="195" t="inlineStr">
        <is>
          <t>PDF document should not show any booklet view pages.</t>
        </is>
      </c>
      <c r="F101" s="26" t="inlineStr">
        <is>
          <t>Pending</t>
        </is>
      </c>
      <c r="G101" s="3" t="n"/>
      <c r="H101" s="366" t="inlineStr">
        <is>
          <t>Done</t>
        </is>
      </c>
      <c r="I101" s="149" t="n"/>
      <c r="J101" s="123" t="n"/>
    </row>
    <row r="102" ht="65.25" customHeight="1">
      <c r="B102" s="194" t="inlineStr">
        <is>
          <t>Split_091</t>
        </is>
      </c>
      <c r="C102" s="195" t="inlineStr">
        <is>
          <t>Split all Pages</t>
        </is>
      </c>
      <c r="D102" s="195" t="inlineStr">
        <is>
          <t>Perform all basic spread screen operations on PDF document:Autofill/Mapping/Merge/Rotate/all operation /Table identification /Zone Navigation /Drawing table/Conversion/Contra/Mapping/Free Text/Autofill (more steps can be added at the time of testing).</t>
        </is>
      </c>
      <c r="E102" s="195" t="inlineStr">
        <is>
          <t>The system should allow user to perform all spreading operations and submit the spread.</t>
        </is>
      </c>
      <c r="F102" s="26" t="inlineStr">
        <is>
          <t>Pending</t>
        </is>
      </c>
      <c r="G102" s="3" t="n">
        <v>71243</v>
      </c>
      <c r="H102" s="366" t="inlineStr">
        <is>
          <t>Done</t>
        </is>
      </c>
      <c r="I102" s="149" t="n"/>
      <c r="J102" s="123" t="n"/>
    </row>
    <row r="103" ht="44.25" customHeight="1">
      <c r="B103" s="194" t="inlineStr">
        <is>
          <t>Split_092</t>
        </is>
      </c>
      <c r="C103" s="195" t="inlineStr">
        <is>
          <t>Split all Pages</t>
        </is>
      </c>
      <c r="D103" s="195" t="inlineStr">
        <is>
          <t>Verify after create item if user has not split the file Initially.</t>
        </is>
      </c>
      <c r="E103" s="195" t="inlineStr">
        <is>
          <t>System should allow user to modify the file and allow to use split option again.</t>
        </is>
      </c>
      <c r="F103" s="26" t="inlineStr">
        <is>
          <t>Pending</t>
        </is>
      </c>
      <c r="G103" s="3" t="n"/>
      <c r="H103" s="366" t="inlineStr">
        <is>
          <t>Done</t>
        </is>
      </c>
      <c r="I103" s="149" t="n"/>
      <c r="J103" s="123" t="n"/>
    </row>
    <row r="104" ht="30.75" customHeight="1">
      <c r="B104" s="194" t="inlineStr">
        <is>
          <t>Split_093</t>
        </is>
      </c>
      <c r="C104" s="195" t="inlineStr">
        <is>
          <t>Split all Pages</t>
        </is>
      </c>
      <c r="D104" s="195" t="inlineStr">
        <is>
          <t>Verify all existing functionalities are working after split PDF in Spread.</t>
        </is>
      </c>
      <c r="E104" s="195" t="inlineStr">
        <is>
          <t>All existing functionalities should work.</t>
        </is>
      </c>
      <c r="F104" s="26" t="inlineStr">
        <is>
          <t>Pending</t>
        </is>
      </c>
      <c r="G104" s="3" t="n"/>
      <c r="H104" s="366" t="inlineStr">
        <is>
          <t>Done</t>
        </is>
      </c>
      <c r="I104" s="149" t="n"/>
      <c r="J104" s="123" t="n"/>
    </row>
    <row r="105" ht="45" customHeight="1">
      <c r="B105" s="194" t="inlineStr">
        <is>
          <t>Split_094</t>
        </is>
      </c>
      <c r="C105" s="195" t="inlineStr">
        <is>
          <t>Split all Pages</t>
        </is>
      </c>
      <c r="D105" s="195" t="inlineStr">
        <is>
          <t>Verify If item has been submitted even once using Submit, Submit to QC and Submit to RE, then Clean File. Split All should also be disabled on the Modify item screen.</t>
        </is>
      </c>
      <c r="E105" s="195" t="inlineStr">
        <is>
          <t>Split option should be disable on Add Item screen once the item has been submitted even once using Submit, Submit to QC and Submit to RE, then Clean File. Split.</t>
        </is>
      </c>
      <c r="F105" s="26" t="inlineStr">
        <is>
          <t>Pending</t>
        </is>
      </c>
      <c r="G105" s="3" t="n"/>
      <c r="H105" s="366" t="inlineStr">
        <is>
          <t>Done</t>
        </is>
      </c>
      <c r="I105" s="149" t="n"/>
      <c r="J105" s="123" t="n"/>
    </row>
    <row r="106" ht="44.25" customHeight="1">
      <c r="B106" s="194" t="inlineStr">
        <is>
          <t>Split_095</t>
        </is>
      </c>
      <c r="C106" s="195" t="inlineStr">
        <is>
          <t>Split all Pages</t>
        </is>
      </c>
      <c r="D106" s="195" t="inlineStr">
        <is>
          <t>Upload five pages PDF file(all pages should be in booklet view) and create an item. On Spreading screen option for Split for current page option.</t>
        </is>
      </c>
      <c r="E106" s="195" t="inlineStr">
        <is>
          <t>Upon selecting the split page system should split the current page and total number of pages should become 6.</t>
        </is>
      </c>
      <c r="F106" s="26" t="inlineStr">
        <is>
          <t>Pending</t>
        </is>
      </c>
      <c r="G106" s="3" t="n"/>
      <c r="H106" s="366" t="inlineStr">
        <is>
          <t>Done</t>
        </is>
      </c>
      <c r="I106" s="149" t="n"/>
      <c r="J106" s="123" t="n"/>
    </row>
    <row r="107" ht="30.75" customHeight="1">
      <c r="B107" s="194" t="inlineStr">
        <is>
          <t>Split_096</t>
        </is>
      </c>
      <c r="C107" s="195" t="inlineStr">
        <is>
          <t>Split all Pages</t>
        </is>
      </c>
      <c r="D107" s="195" t="inlineStr">
        <is>
          <t>After split operation completed, perform the Clean File for all pages.</t>
        </is>
      </c>
      <c r="E107" s="195" t="inlineStr">
        <is>
          <t>Upon selecting the clean file operation user will be redirected to the modify item page.</t>
        </is>
      </c>
      <c r="F107" s="26" t="inlineStr">
        <is>
          <t>Pending</t>
        </is>
      </c>
      <c r="G107" s="3" t="n"/>
      <c r="H107" s="366" t="inlineStr">
        <is>
          <t>Done</t>
        </is>
      </c>
      <c r="I107" s="149" t="n"/>
      <c r="J107" s="123" t="n"/>
    </row>
    <row r="108" ht="24" customHeight="1">
      <c r="B108" s="194" t="inlineStr">
        <is>
          <t>Split_097</t>
        </is>
      </c>
      <c r="C108" s="195" t="inlineStr">
        <is>
          <t>Split all Pages</t>
        </is>
      </c>
      <c r="D108" s="195" t="inlineStr">
        <is>
          <t>Perform the clean file operation navigate to spread screen and verify file page count should have 6 pages.</t>
        </is>
      </c>
      <c r="E108" s="195" t="inlineStr">
        <is>
          <t>Spreading screen file should be having 6 pages file.</t>
        </is>
      </c>
      <c r="F108" s="26" t="inlineStr">
        <is>
          <t>Pending</t>
        </is>
      </c>
      <c r="G108" s="3" t="n"/>
      <c r="H108" s="366" t="inlineStr">
        <is>
          <t>Done</t>
        </is>
      </c>
      <c r="I108" s="149" t="n"/>
      <c r="J108" s="123" t="n"/>
    </row>
    <row r="109" ht="36" customHeight="1">
      <c r="B109" s="194" t="inlineStr">
        <is>
          <t>Split_098</t>
        </is>
      </c>
      <c r="C109" s="195" t="inlineStr">
        <is>
          <t>Split all Pages</t>
        </is>
      </c>
      <c r="D109" s="195" t="inlineStr">
        <is>
          <t>Upload 10 pages PDF file(all pages should be in booklet view) and create an item.
On Spreading screen option for Split for all page option.</t>
        </is>
      </c>
      <c r="E109" s="195" t="inlineStr">
        <is>
          <t>Upon selecting the split all page operation system should redirect user to the Modify Item screen and Split check should be selected and split operation should be performed.</t>
        </is>
      </c>
      <c r="F109" s="26" t="inlineStr">
        <is>
          <t>Pending</t>
        </is>
      </c>
      <c r="G109" s="3" t="n"/>
      <c r="H109" s="366" t="inlineStr">
        <is>
          <t>Done</t>
        </is>
      </c>
      <c r="I109" s="149" t="n"/>
      <c r="J109" s="123" t="n"/>
    </row>
    <row r="110" ht="24" customHeight="1">
      <c r="B110" s="194" t="inlineStr">
        <is>
          <t>Split_099</t>
        </is>
      </c>
      <c r="C110" s="195" t="inlineStr">
        <is>
          <t>Split all Pages</t>
        </is>
      </c>
      <c r="D110" s="195" t="inlineStr">
        <is>
          <t>After split operation Open spread screen and verify the total number of pages for the file.</t>
        </is>
      </c>
      <c r="E110" s="195" t="inlineStr">
        <is>
          <t>Total number of pages should be 10 in Spreading screen.</t>
        </is>
      </c>
      <c r="F110" s="26" t="inlineStr">
        <is>
          <t>Pending</t>
        </is>
      </c>
      <c r="G110" s="3" t="n"/>
      <c r="H110" s="366" t="inlineStr">
        <is>
          <t>Done</t>
        </is>
      </c>
      <c r="I110" s="149" t="n"/>
      <c r="J110" s="123" t="n"/>
    </row>
    <row r="111" ht="24" customHeight="1">
      <c r="B111" s="194" t="inlineStr">
        <is>
          <t>Split_100</t>
        </is>
      </c>
      <c r="C111" s="195" t="inlineStr">
        <is>
          <t>Split all Pages</t>
        </is>
      </c>
      <c r="D111" s="195" t="inlineStr">
        <is>
          <t>Now select Clean operation on Spreading screen.</t>
        </is>
      </c>
      <c r="E111" s="195" t="inlineStr">
        <is>
          <t>System should redirect to Modify Item screen and perform Clean operation.</t>
        </is>
      </c>
      <c r="F111" s="26" t="inlineStr">
        <is>
          <t>Pending</t>
        </is>
      </c>
      <c r="G111" s="3" t="n"/>
      <c r="H111" s="366" t="inlineStr">
        <is>
          <t>Done</t>
        </is>
      </c>
      <c r="I111" s="149" t="n"/>
      <c r="J111" s="123" t="n"/>
    </row>
    <row r="112" ht="24" customHeight="1">
      <c r="B112" s="194" t="inlineStr">
        <is>
          <t>Split_101</t>
        </is>
      </c>
      <c r="C112" s="195" t="inlineStr">
        <is>
          <t>Split all Pages</t>
        </is>
      </c>
      <c r="D112" s="195" t="inlineStr">
        <is>
          <t>Perform the clean file operation navigate to spread screen and file should have 10 pages.</t>
        </is>
      </c>
      <c r="E112" s="195" t="inlineStr">
        <is>
          <t>Spreading screen file should be having 10 pages file.</t>
        </is>
      </c>
      <c r="F112" s="26" t="inlineStr">
        <is>
          <t>Pending</t>
        </is>
      </c>
      <c r="G112" s="3" t="n"/>
      <c r="H112" s="366" t="inlineStr">
        <is>
          <t>Done</t>
        </is>
      </c>
      <c r="I112" s="149" t="n"/>
      <c r="J112" s="123" t="n"/>
    </row>
    <row r="113" ht="32.25" customHeight="1">
      <c r="B113" s="194" t="inlineStr">
        <is>
          <t>Split_102</t>
        </is>
      </c>
      <c r="C113" s="195" t="inlineStr">
        <is>
          <t>Split all Pages</t>
        </is>
      </c>
      <c r="D113" s="195" t="inlineStr">
        <is>
          <t>After current page split Perform Merge operation on page 3 and Rotate operation on page 6 and perform clean file all page operation.</t>
        </is>
      </c>
      <c r="E113" s="195" t="inlineStr">
        <is>
          <t>System should remember page number for which merge and rotate is perform while doing clean file operation.</t>
        </is>
      </c>
      <c r="F113" s="26" t="inlineStr">
        <is>
          <t>Pending</t>
        </is>
      </c>
      <c r="G113" s="3" t="n"/>
      <c r="H113" s="366" t="inlineStr">
        <is>
          <t>Done</t>
        </is>
      </c>
      <c r="I113" s="149" t="n"/>
      <c r="J113" s="123" t="n"/>
    </row>
    <row r="114" ht="24" customHeight="1">
      <c r="B114" s="194" t="inlineStr">
        <is>
          <t>Split_103</t>
        </is>
      </c>
      <c r="C114" s="195" t="inlineStr">
        <is>
          <t>Split all Pages</t>
        </is>
      </c>
      <c r="D114" s="195" t="inlineStr">
        <is>
          <t>Verify is User able to perform split for current page in Spreading screen and came back to Add Item screen and perform Split for all pages.</t>
        </is>
      </c>
      <c r="E114" s="195" t="inlineStr">
        <is>
          <t>System should re run the whole split processing for the file: "Repeat above test cases for the flow ".</t>
        </is>
      </c>
      <c r="F114" s="26" t="inlineStr">
        <is>
          <t>Pending</t>
        </is>
      </c>
      <c r="G114" s="3" t="n"/>
      <c r="H114" s="366" t="inlineStr">
        <is>
          <t>Done</t>
        </is>
      </c>
      <c r="I114" s="149" t="n"/>
      <c r="J114" s="123" t="n"/>
    </row>
    <row r="115" ht="36" customHeight="1">
      <c r="B115" s="194" t="inlineStr">
        <is>
          <t>Split_104</t>
        </is>
      </c>
      <c r="C115" s="195" t="inlineStr">
        <is>
          <t>Split all Pages</t>
        </is>
      </c>
      <c r="D115" s="195" t="inlineStr">
        <is>
          <t>Verify If item has been submitted even once using Submit, Submit to QC and Submit to RE, then Clean File. Split All should also be disabled on the Modify item screen.</t>
        </is>
      </c>
      <c r="E115" s="195" t="inlineStr">
        <is>
          <t>Split option should be disable on Add Item screen once the item has been submitted even once using Submit, Submit to QC and Submit to RE, then Clean File. Split.</t>
        </is>
      </c>
      <c r="F115" s="26" t="inlineStr">
        <is>
          <t>Pending</t>
        </is>
      </c>
      <c r="G115" s="3" t="n"/>
      <c r="H115" s="366" t="inlineStr">
        <is>
          <t>Done</t>
        </is>
      </c>
      <c r="I115" s="149" t="n"/>
      <c r="J115" s="123" t="n"/>
    </row>
    <row r="116" ht="24" customHeight="1">
      <c r="B116" s="194" t="inlineStr">
        <is>
          <t>Split_105</t>
        </is>
      </c>
      <c r="C116" s="195" t="inlineStr">
        <is>
          <t>Split all Pages</t>
        </is>
      </c>
      <c r="D116" s="195" t="inlineStr">
        <is>
          <t>Upload file from Bulk Upload(file should be booklet view page PDF).</t>
        </is>
      </c>
      <c r="E116" s="195" t="inlineStr">
        <is>
          <t>Split function should be default in Bulk Upload,Pages should be split by OCR function.</t>
        </is>
      </c>
      <c r="F116" s="26" t="inlineStr">
        <is>
          <t>Pending</t>
        </is>
      </c>
      <c r="G116" s="3" t="n"/>
      <c r="H116" s="366" t="inlineStr">
        <is>
          <t>Done</t>
        </is>
      </c>
      <c r="I116" s="149" t="n"/>
      <c r="J116" s="123" t="n"/>
    </row>
    <row r="117" ht="24" customHeight="1">
      <c r="B117" s="194" t="inlineStr">
        <is>
          <t>Split_106</t>
        </is>
      </c>
      <c r="C117" s="195" t="inlineStr">
        <is>
          <t>Split all Pages</t>
        </is>
      </c>
      <c r="D117" s="195" t="inlineStr">
        <is>
          <t>Attached file from (above step file) bulk upload to customer and verify PDF pages.</t>
        </is>
      </c>
      <c r="E117" s="195" t="inlineStr">
        <is>
          <t>PDF pages should not have booklet view pages and allows user to perform all spreading operation (Basic flows should work).</t>
        </is>
      </c>
      <c r="F117" s="26" t="inlineStr">
        <is>
          <t>Pending</t>
        </is>
      </c>
      <c r="G117" s="3" t="n"/>
      <c r="H117" s="366" t="inlineStr">
        <is>
          <t>Done</t>
        </is>
      </c>
      <c r="I117" s="149" t="n"/>
      <c r="J117" s="123" t="n"/>
    </row>
    <row r="118" ht="36" customHeight="1">
      <c r="B118" s="194" t="inlineStr">
        <is>
          <t>Split_107</t>
        </is>
      </c>
      <c r="C118" s="195" t="inlineStr">
        <is>
          <t>Split all Pages</t>
        </is>
      </c>
      <c r="D118" s="195" t="inlineStr">
        <is>
          <t>Verify Split check box (Add Item) and Split All/Current page from Spreading screen should be disabled when files(Booklet view page PDF document) uploaded from Bulk and Adhoc screens.</t>
        </is>
      </c>
      <c r="E118" s="195" t="inlineStr">
        <is>
          <t>Split and Split All/Current page from Spreading screen should be disabled when files uploaded from Bulk and Adhoc screens.</t>
        </is>
      </c>
      <c r="F118" s="26" t="inlineStr">
        <is>
          <t>Pending</t>
        </is>
      </c>
      <c r="G118" s="3" t="n"/>
      <c r="H118" s="366" t="inlineStr">
        <is>
          <t>Done</t>
        </is>
      </c>
      <c r="I118" s="149" t="n"/>
      <c r="J118" s="123" t="n"/>
    </row>
    <row r="119" ht="48" customHeight="1">
      <c r="B119" s="194" t="inlineStr">
        <is>
          <t>Split_108</t>
        </is>
      </c>
      <c r="C119" s="195" t="inlineStr">
        <is>
          <t>Clean and Split</t>
        </is>
      </c>
      <c r="D119" s="195" t="inlineStr">
        <is>
          <t>Upload 3 files&gt;Spreading screen.
Map values from 3rd file and split few pages.
Save as draft&gt;Apply clean all in first 2 files.
In Modify screen&gt;Observe clean should be applied in selected files only.</t>
        </is>
      </c>
      <c r="E119" s="195" t="inlineStr">
        <is>
          <t>Clean all should work in selected files only.</t>
        </is>
      </c>
      <c r="F119" s="26" t="inlineStr">
        <is>
          <t>Pending</t>
        </is>
      </c>
      <c r="G119" s="3" t="n"/>
      <c r="H119" s="366" t="inlineStr">
        <is>
          <t>Done</t>
        </is>
      </c>
      <c r="I119" s="149" t="n"/>
      <c r="J119" s="123" t="n"/>
    </row>
    <row r="120" ht="60" customHeight="1">
      <c r="B120" s="194" t="inlineStr">
        <is>
          <t>Split_109</t>
        </is>
      </c>
      <c r="C120" s="195" t="inlineStr">
        <is>
          <t>Clean and Split</t>
        </is>
      </c>
      <c r="D120" s="195" t="inlineStr">
        <is>
          <t>Upload 2 files&gt;Spreading screen.
Map values from 2nd file and split few pages.
Save as draft&gt;Apply clean all in first file.
In Modify screen&gt;Once clean is completed &gt;go to Spreading screen.
Review Split Pages.</t>
        </is>
      </c>
      <c r="E120" s="195" t="inlineStr">
        <is>
          <t>The split pages should remain unchanged when Clean is not applied to the file.</t>
        </is>
      </c>
      <c r="F120" s="26" t="inlineStr">
        <is>
          <t>Pending</t>
        </is>
      </c>
      <c r="G120" s="3" t="n"/>
      <c r="H120" s="366" t="inlineStr">
        <is>
          <t>Done</t>
        </is>
      </c>
      <c r="I120" s="149" t="n"/>
      <c r="J120" s="123" t="n"/>
    </row>
    <row r="121" ht="57" customHeight="1">
      <c r="B121" s="194" t="inlineStr">
        <is>
          <t>Split_110</t>
        </is>
      </c>
      <c r="C121" s="195" t="inlineStr">
        <is>
          <t>Split all Pages</t>
        </is>
      </c>
      <c r="D121" s="195" t="inlineStr">
        <is>
          <t>Spreading screen&gt;Go to any page with table&gt;map values.
Save as draft&gt;Exit Spreading screen&gt;Modify item.
Split: Yes.
Spreading screen &gt; observe pages text.</t>
        </is>
      </c>
      <c r="E121" s="195" t="inlineStr">
        <is>
          <t>The user should be able to modify pages and split all.
After split, all page should be split and text should be correct.</t>
        </is>
      </c>
      <c r="F121" s="26" t="inlineStr">
        <is>
          <t>Pending</t>
        </is>
      </c>
      <c r="G121" s="3" t="n"/>
      <c r="H121" s="366" t="inlineStr">
        <is>
          <t>Done</t>
        </is>
      </c>
      <c r="I121" s="149" t="n"/>
      <c r="J121" s="123" t="n"/>
    </row>
    <row r="122" ht="30" customHeight="1">
      <c r="B122" s="194" t="inlineStr">
        <is>
          <t>Split_111</t>
        </is>
      </c>
      <c r="C122" s="195" t="inlineStr">
        <is>
          <t>Split all Pages</t>
        </is>
      </c>
      <c r="D122" s="195" t="inlineStr">
        <is>
          <t>Spreading screen&gt;Go to any page with table&gt;map values.
Split page&gt;go to next page &gt;Map Mode&gt;select text &gt; observe page text.</t>
        </is>
      </c>
      <c r="E122" s="195" t="inlineStr">
        <is>
          <t>The user should be able to split.
After split, text should be correct for all the pages below.</t>
        </is>
      </c>
      <c r="F122" s="26" t="inlineStr">
        <is>
          <t>Pending</t>
        </is>
      </c>
      <c r="G122" s="3" t="n"/>
      <c r="H122" s="366" t="inlineStr">
        <is>
          <t>Done</t>
        </is>
      </c>
      <c r="I122" s="149" t="n"/>
      <c r="J122" s="123" t="n"/>
    </row>
    <row r="123" ht="59.25" customHeight="1">
      <c r="B123" s="194" t="inlineStr">
        <is>
          <t>Split_112</t>
        </is>
      </c>
      <c r="C123" s="196" t="inlineStr">
        <is>
          <t>Rotate from Bulk Upload</t>
        </is>
      </c>
      <c r="D123" s="196" t="inlineStr">
        <is>
          <t>Upload file from Bulk Upload(file should be booklet view page PDF).
File should contain rotated pages.
After success upload and navigating to spread screen.
All pages should be rotated to portrait view.</t>
        </is>
      </c>
      <c r="E123" s="196" t="inlineStr">
        <is>
          <t>Auto split and auto rotate are handled from Bulk view screen.</t>
        </is>
      </c>
      <c r="F123" s="26" t="inlineStr">
        <is>
          <t>Pending</t>
        </is>
      </c>
      <c r="G123" s="3" t="inlineStr">
        <is>
          <t>New</t>
        </is>
      </c>
      <c r="H123" s="366" t="inlineStr">
        <is>
          <t>Done</t>
        </is>
      </c>
      <c r="I123" s="149" t="n"/>
      <c r="J123" s="123" t="n"/>
    </row>
    <row r="124" ht="36" customHeight="1">
      <c r="B124" s="202" t="inlineStr">
        <is>
          <t>Split_113</t>
        </is>
      </c>
      <c r="C124" s="203" t="inlineStr">
        <is>
          <t>Split Functionality</t>
        </is>
      </c>
      <c r="D124" s="203" t="inlineStr">
        <is>
          <t>Upload 3 files having landscape format &gt;Add Item scree.
Open the file and validate the page split or not.</t>
        </is>
      </c>
      <c r="E124" s="203" t="inlineStr">
        <is>
          <t>Page should be split and display in display properly in Spreading screen.</t>
        </is>
      </c>
      <c r="F124" s="27" t="inlineStr">
        <is>
          <t>Pending</t>
        </is>
      </c>
      <c r="G124" s="21" t="inlineStr">
        <is>
          <t>New</t>
        </is>
      </c>
      <c r="H124" s="155" t="inlineStr">
        <is>
          <t>Done</t>
        </is>
      </c>
      <c r="I124" s="152" t="n"/>
      <c r="J124" s="172" t="n"/>
    </row>
  </sheetData>
  <mergeCells count="7">
    <mergeCell ref="B6:C6"/>
    <mergeCell ref="B7:C7"/>
    <mergeCell ref="B2:F2"/>
    <mergeCell ref="B3:C3"/>
    <mergeCell ref="B5:C5"/>
    <mergeCell ref="B8:C8"/>
    <mergeCell ref="B4:C4"/>
  </mergeCells>
  <conditionalFormatting sqref="D3">
    <cfRule type="expression" priority="120" dxfId="51" stopIfTrue="1">
      <formula>AND(COUNTIF($A$8:$A$8, D3)+COUNTIF(#REF!, D3)&gt;1,NOT(ISBLANK(D3)))</formula>
    </cfRule>
  </conditionalFormatting>
  <conditionalFormatting sqref="D4">
    <cfRule type="cellIs" priority="91" operator="lessThan" dxfId="10" stopIfTrue="1">
      <formula>1</formula>
    </cfRule>
  </conditionalFormatting>
  <conditionalFormatting sqref="D4:D8">
    <cfRule type="cellIs" priority="86" operator="greaterThan" dxfId="9" stopIfTrue="1">
      <formula>0</formula>
    </cfRule>
    <cfRule type="cellIs" priority="87" operator="greaterThan" dxfId="9" stopIfTrue="1">
      <formula>1</formula>
    </cfRule>
    <cfRule type="cellIs" priority="88" operator="greaterThan" dxfId="10" stopIfTrue="1">
      <formula>0</formula>
    </cfRule>
    <cfRule type="cellIs" priority="89" operator="greaterThan" dxfId="10" stopIfTrue="1">
      <formula>1</formula>
    </cfRule>
    <cfRule type="cellIs" priority="90" operator="equal" dxfId="9" stopIfTrue="1">
      <formula>$C$3</formula>
    </cfRule>
  </conditionalFormatting>
  <conditionalFormatting sqref="D5:D8">
    <cfRule type="cellIs" priority="79" operator="lessThan" dxfId="10" stopIfTrue="1">
      <formula>1</formula>
    </cfRule>
  </conditionalFormatting>
  <conditionalFormatting sqref="E4">
    <cfRule type="cellIs" priority="118" operator="equal" dxfId="9" stopIfTrue="1">
      <formula>1</formula>
    </cfRule>
    <cfRule type="cellIs" priority="119" operator="lessThan" dxfId="10" stopIfTrue="1">
      <formula>1</formula>
    </cfRule>
  </conditionalFormatting>
  <conditionalFormatting sqref="E5:E8">
    <cfRule type="cellIs" priority="92" operator="equal" dxfId="9" stopIfTrue="1">
      <formula>1</formula>
    </cfRule>
    <cfRule type="cellIs" priority="93" operator="lessThan" dxfId="10" stopIfTrue="1">
      <formula>1</formula>
    </cfRule>
    <cfRule type="cellIs" priority="94" operator="equal" dxfId="9" stopIfTrue="1">
      <formula>1</formula>
    </cfRule>
    <cfRule type="cellIs" priority="95" operator="lessThan" dxfId="10" stopIfTrue="1">
      <formula>1</formula>
    </cfRule>
  </conditionalFormatting>
  <conditionalFormatting sqref="E4:F4">
    <cfRule type="cellIs" priority="114" operator="equal" dxfId="9" stopIfTrue="1">
      <formula>1</formula>
    </cfRule>
    <cfRule type="cellIs" priority="115" operator="lessThan" dxfId="10" stopIfTrue="1">
      <formula>1</formula>
    </cfRule>
  </conditionalFormatting>
  <conditionalFormatting sqref="F4">
    <cfRule type="cellIs" priority="112" operator="equal" dxfId="9" stopIfTrue="1">
      <formula>1</formula>
    </cfRule>
    <cfRule type="cellIs" priority="113" operator="lessThan" dxfId="10" stopIfTrue="1">
      <formula>1</formula>
    </cfRule>
  </conditionalFormatting>
  <conditionalFormatting sqref="F5">
    <cfRule type="cellIs" priority="108" operator="greaterThan" dxfId="10" stopIfTrue="1">
      <formula>0</formula>
    </cfRule>
    <cfRule type="cellIs" priority="109" operator="equal" dxfId="9" stopIfTrue="1">
      <formula>0</formula>
    </cfRule>
    <cfRule type="cellIs" priority="110" operator="greaterThan" dxfId="10" stopIfTrue="1">
      <formula>0</formula>
    </cfRule>
    <cfRule type="cellIs" priority="111" operator="equal" dxfId="9" stopIfTrue="1">
      <formula>0</formula>
    </cfRule>
  </conditionalFormatting>
  <conditionalFormatting sqref="F6">
    <cfRule type="cellIs" priority="106" operator="equal" dxfId="9" stopIfTrue="1">
      <formula>0</formula>
    </cfRule>
    <cfRule type="cellIs" priority="107" operator="greaterThan" dxfId="22" stopIfTrue="1">
      <formula>0</formula>
    </cfRule>
  </conditionalFormatting>
  <conditionalFormatting sqref="F6:F7">
    <cfRule type="cellIs" priority="102" operator="equal" dxfId="9" stopIfTrue="1">
      <formula>0</formula>
    </cfRule>
    <cfRule type="cellIs" priority="103" operator="greaterThan" dxfId="22" stopIfTrue="1">
      <formula>0</formula>
    </cfRule>
  </conditionalFormatting>
  <conditionalFormatting sqref="F7:F8">
    <cfRule type="cellIs" priority="98" operator="equal" dxfId="9" stopIfTrue="1">
      <formula>0</formula>
    </cfRule>
    <cfRule type="cellIs" priority="99" operator="greaterThan" dxfId="22" stopIfTrue="1">
      <formula>0</formula>
    </cfRule>
  </conditionalFormatting>
  <conditionalFormatting sqref="F8">
    <cfRule type="cellIs" priority="96" operator="equal" dxfId="9" stopIfTrue="1">
      <formula>0</formula>
    </cfRule>
    <cfRule type="cellIs" priority="97" operator="greaterThan" dxfId="22" stopIfTrue="1">
      <formula>0</formula>
    </cfRule>
  </conditionalFormatting>
  <conditionalFormatting sqref="F10:F124">
    <cfRule type="cellIs" priority="121" operator="equal" dxfId="6" stopIfTrue="1">
      <formula>"NA"</formula>
    </cfRule>
    <cfRule type="cellIs" priority="122" operator="equal" dxfId="5" stopIfTrue="1">
      <formula>"Blocked"</formula>
    </cfRule>
    <cfRule type="cellIs" priority="123" operator="equal" dxfId="4" stopIfTrue="1">
      <formula>"Pending"</formula>
    </cfRule>
    <cfRule type="cellIs" priority="124" operator="equal" dxfId="0" stopIfTrue="1">
      <formula>"Passed"</formula>
    </cfRule>
    <cfRule type="cellIs" priority="125" operator="equal" dxfId="1" stopIfTrue="1">
      <formula>"Failed"</formula>
    </cfRule>
    <cfRule type="cellIs" priority="126" operator="equal" dxfId="1" stopIfTrue="1">
      <formula>"Fail"</formula>
    </cfRule>
    <cfRule type="cellIs" priority="127" operator="equal" dxfId="0" stopIfTrue="1">
      <formula>"Pass"</formula>
    </cfRule>
  </conditionalFormatting>
  <conditionalFormatting sqref="G5:G8">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0:H124">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124" showDropDown="0" showInputMessage="1" showErrorMessage="1" allowBlank="1" type="list">
      <formula1>"Passed,Failed,Blocked,Pending,NA"</formula1>
    </dataValidation>
    <dataValidation sqref="H10:H124"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B2:J133"/>
  <sheetViews>
    <sheetView showGridLines="0" topLeftCell="D132" workbookViewId="0">
      <selection activeCell="J128" sqref="J128:J133"/>
    </sheetView>
  </sheetViews>
  <sheetFormatPr baseColWidth="8" defaultRowHeight="15"/>
  <cols>
    <col width="5" customWidth="1" min="1" max="1"/>
    <col width="10.28515625" customWidth="1" min="2" max="2"/>
    <col width="27.5703125" customWidth="1" min="3" max="3"/>
    <col width="56.7109375" customWidth="1" min="4" max="4"/>
    <col width="44.7109375" customWidth="1" min="5" max="5"/>
    <col width="14.7109375" customWidth="1" min="7" max="7"/>
    <col width="18.7109375" customWidth="1" min="8" max="8"/>
    <col width="14.7109375" customWidth="1" min="9"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COUNTIF(F9:F1483,"Passed")</f>
        <v/>
      </c>
      <c r="E4" s="53">
        <f>IF(D4=0,,(D4/(D4+D5)))</f>
        <v/>
      </c>
      <c r="F4" s="51">
        <f>IF(D3=0,,(D4/D3))</f>
        <v/>
      </c>
      <c r="G4" s="156">
        <f>COUNTIF(H10:H493,"Done")</f>
        <v/>
      </c>
    </row>
    <row r="5" ht="15.75" customHeight="1" thickBot="1">
      <c r="B5" s="350" t="inlineStr">
        <is>
          <t>Failed</t>
        </is>
      </c>
      <c r="D5" s="52">
        <f>COUNTIF(F9:F1483,"Failed")</f>
        <v/>
      </c>
      <c r="E5" s="53">
        <f>IF(D5=0,,(D5/(D5+D6)))</f>
        <v/>
      </c>
      <c r="F5" s="51">
        <f>IF(D3=0,,(D5/D3))</f>
        <v/>
      </c>
      <c r="G5" s="52">
        <f>COUNTIF(H10:H493,"Failed")</f>
        <v/>
      </c>
    </row>
    <row r="6" ht="15.75" customHeight="1" thickBot="1">
      <c r="B6" s="350" t="inlineStr">
        <is>
          <t>Blocked</t>
        </is>
      </c>
      <c r="D6" s="52">
        <f>COUNTIF(F9:F1483,"Blocked")</f>
        <v/>
      </c>
      <c r="E6" s="53">
        <f>IF(D6=0,,(D6/(D6+D7)))</f>
        <v/>
      </c>
      <c r="F6" s="51">
        <f>IF(D3=0,,(D6/D3))</f>
        <v/>
      </c>
      <c r="G6" s="52">
        <f>COUNTIF(H10:H493,"Blocked")</f>
        <v/>
      </c>
    </row>
    <row r="7" ht="15.75" customHeight="1" thickBot="1">
      <c r="B7" s="350" t="inlineStr">
        <is>
          <t>Pending</t>
        </is>
      </c>
      <c r="D7" s="52">
        <f>COUNTIF(F9:F1483,"Pending")</f>
        <v/>
      </c>
      <c r="E7" s="53">
        <f>IF(D7=0,,(D7/(D7+D8)))</f>
        <v/>
      </c>
      <c r="F7" s="51">
        <f>IF(D3=0,,(D7/D3))</f>
        <v/>
      </c>
      <c r="G7" s="52">
        <f>COUNTIF(H10:H493,"Pending")</f>
        <v/>
      </c>
    </row>
    <row r="8" ht="15.75" customHeight="1" thickBot="1">
      <c r="B8" s="350" t="inlineStr">
        <is>
          <t>Not Applicable</t>
        </is>
      </c>
      <c r="D8" s="52">
        <f>COUNTIF(F9:F133,"Not Applicable")</f>
        <v/>
      </c>
      <c r="E8" s="53">
        <f>IF(D8=0,,(D8/(D8+#REF!)))</f>
        <v/>
      </c>
      <c r="F8" s="51">
        <f>IF(D3=0,,(D8/D3))</f>
        <v/>
      </c>
      <c r="G8" s="52">
        <f>COUNTIF(H10:H493,"Out of Scope")</f>
        <v/>
      </c>
    </row>
    <row r="9" ht="15.75" customHeight="1" thickBot="1">
      <c r="B9" s="22" t="inlineStr">
        <is>
          <t>S.No.</t>
        </is>
      </c>
      <c r="C9" s="2" t="inlineStr">
        <is>
          <t>Module/Sub-Module</t>
        </is>
      </c>
      <c r="D9" s="1" t="inlineStr">
        <is>
          <t>Expression</t>
        </is>
      </c>
      <c r="E9" s="2" t="inlineStr">
        <is>
          <t>Action</t>
        </is>
      </c>
      <c r="F9" s="2" t="inlineStr">
        <is>
          <t>Result</t>
        </is>
      </c>
      <c r="G9" s="2" t="inlineStr">
        <is>
          <t>Bug ID</t>
        </is>
      </c>
      <c r="H9" s="8" t="inlineStr">
        <is>
          <t>Automation Status</t>
        </is>
      </c>
      <c r="I9" s="8" t="inlineStr">
        <is>
          <t>Mapped Scripts</t>
        </is>
      </c>
      <c r="J9" s="2" t="inlineStr">
        <is>
          <t>Comments</t>
        </is>
      </c>
    </row>
    <row r="10">
      <c r="B10" s="14" t="inlineStr">
        <is>
          <t>Expr_001</t>
        </is>
      </c>
      <c r="C10" s="14" t="inlineStr">
        <is>
          <t>Ribbon Button - ABS</t>
        </is>
      </c>
      <c r="D10" s="14" t="inlineStr">
        <is>
          <t>ABS(MV1)</t>
        </is>
      </c>
      <c r="E10" s="14" t="inlineStr">
        <is>
          <t>Delete the value.</t>
        </is>
      </c>
      <c r="F10" s="366" t="inlineStr">
        <is>
          <t>Pending</t>
        </is>
      </c>
      <c r="G10" s="3" t="n"/>
      <c r="H10" s="154" t="inlineStr">
        <is>
          <t>Done</t>
        </is>
      </c>
      <c r="I10" s="3" t="n"/>
      <c r="J10" s="3" t="n"/>
    </row>
    <row r="11" ht="16.5" customHeight="1">
      <c r="B11" s="14" t="inlineStr">
        <is>
          <t>Expr_002</t>
        </is>
      </c>
      <c r="C11" s="14" t="inlineStr">
        <is>
          <t>Ribbon Button - ABS</t>
        </is>
      </c>
      <c r="D11" s="14" t="inlineStr">
        <is>
          <t>ABS(MV1)*conversion 10</t>
        </is>
      </c>
      <c r="E11" s="14" t="inlineStr">
        <is>
          <t>Delete the value.</t>
        </is>
      </c>
      <c r="F11" s="366" t="inlineStr">
        <is>
          <t>Pending</t>
        </is>
      </c>
      <c r="G11" s="3" t="n"/>
      <c r="H11" s="366" t="inlineStr">
        <is>
          <t>Done</t>
        </is>
      </c>
      <c r="I11" s="3" t="n"/>
      <c r="J11" s="3" t="n"/>
    </row>
    <row r="12">
      <c r="B12" s="14" t="inlineStr">
        <is>
          <t>Expr_003</t>
        </is>
      </c>
      <c r="C12" s="14" t="inlineStr">
        <is>
          <t>Ribbon Button - ABS</t>
        </is>
      </c>
      <c r="D12" s="14" t="inlineStr">
        <is>
          <t>ABS(MV1)*conversion 10</t>
        </is>
      </c>
      <c r="E12" s="14" t="inlineStr">
        <is>
          <t>Delete the value.</t>
        </is>
      </c>
      <c r="F12" s="366" t="inlineStr">
        <is>
          <t>Pending</t>
        </is>
      </c>
      <c r="G12" s="3" t="n"/>
      <c r="H12" s="366" t="inlineStr">
        <is>
          <t>Done</t>
        </is>
      </c>
      <c r="I12" s="3" t="n"/>
      <c r="J12" s="3" t="n"/>
    </row>
    <row r="13">
      <c r="B13" s="14" t="inlineStr">
        <is>
          <t>Expr_004</t>
        </is>
      </c>
      <c r="C13" s="14" t="inlineStr">
        <is>
          <t>Ribbon Button - ABS</t>
        </is>
      </c>
      <c r="D13" s="14" t="inlineStr">
        <is>
          <t>MV1+MV2+MV3(ABS)</t>
        </is>
      </c>
      <c r="E13" s="14" t="inlineStr">
        <is>
          <t>Delete the values one by one.</t>
        </is>
      </c>
      <c r="F13" s="366" t="inlineStr">
        <is>
          <t>Pending</t>
        </is>
      </c>
      <c r="G13" s="3" t="n"/>
      <c r="H13" s="366" t="inlineStr">
        <is>
          <t>Done</t>
        </is>
      </c>
      <c r="I13" s="3" t="n"/>
      <c r="J13" s="3" t="n"/>
    </row>
    <row r="14" ht="19.5" customHeight="1">
      <c r="B14" s="14" t="inlineStr">
        <is>
          <t>Expr_005</t>
        </is>
      </c>
      <c r="C14" s="14" t="inlineStr">
        <is>
          <t>Ribbon Button - ABS</t>
        </is>
      </c>
      <c r="D14" s="14" t="inlineStr">
        <is>
          <t>MV1(ABS)+MV2+MV3(ABS)</t>
        </is>
      </c>
      <c r="E14" s="14" t="inlineStr">
        <is>
          <t>Delete the values one by one.</t>
        </is>
      </c>
      <c r="F14" s="366" t="inlineStr">
        <is>
          <t>Pending</t>
        </is>
      </c>
      <c r="G14" s="3" t="n"/>
      <c r="H14" s="366" t="inlineStr">
        <is>
          <t>Done</t>
        </is>
      </c>
      <c r="I14" s="3" t="n"/>
      <c r="J14" s="3" t="n"/>
    </row>
    <row r="15">
      <c r="B15" s="14" t="inlineStr">
        <is>
          <t>Expr_006</t>
        </is>
      </c>
      <c r="C15" s="14" t="inlineStr">
        <is>
          <t>Ribbon Button - ABS</t>
        </is>
      </c>
      <c r="D15" s="14" t="inlineStr">
        <is>
          <t>ABS(MV1*Contra)</t>
        </is>
      </c>
      <c r="E15" s="14" t="inlineStr">
        <is>
          <t>Delete the value.</t>
        </is>
      </c>
      <c r="F15" s="366" t="inlineStr">
        <is>
          <t>Pending</t>
        </is>
      </c>
      <c r="G15" s="3" t="n"/>
      <c r="H15" s="366" t="inlineStr">
        <is>
          <t>Done</t>
        </is>
      </c>
      <c r="I15" s="3" t="n"/>
      <c r="J15" s="3" t="n"/>
    </row>
    <row r="16">
      <c r="B16" s="14" t="inlineStr">
        <is>
          <t>Expr_007</t>
        </is>
      </c>
      <c r="C16" s="14" t="inlineStr">
        <is>
          <t>Ribbon Button - ABS</t>
        </is>
      </c>
      <c r="D16" s="14" t="inlineStr">
        <is>
          <t>ABS(NEG(MV1))</t>
        </is>
      </c>
      <c r="E16" s="14" t="inlineStr">
        <is>
          <t>Delete the value.</t>
        </is>
      </c>
      <c r="F16" s="366" t="inlineStr">
        <is>
          <t>Pending</t>
        </is>
      </c>
      <c r="G16" s="3" t="n"/>
      <c r="H16" s="366" t="inlineStr">
        <is>
          <t>Done</t>
        </is>
      </c>
      <c r="I16" s="3" t="n"/>
      <c r="J16" s="3" t="n"/>
    </row>
    <row r="17">
      <c r="B17" s="14" t="inlineStr">
        <is>
          <t>Expr_008</t>
        </is>
      </c>
      <c r="C17" s="14" t="inlineStr">
        <is>
          <t>Ribbon Button - ABS</t>
        </is>
      </c>
      <c r="D17" s="14" t="inlineStr">
        <is>
          <t>MV1+ABS(MV2*Conv 10)</t>
        </is>
      </c>
      <c r="E17" s="14" t="inlineStr">
        <is>
          <t>Delete the second value first, then delete the next value.</t>
        </is>
      </c>
      <c r="F17" s="366" t="inlineStr">
        <is>
          <t>Pending</t>
        </is>
      </c>
      <c r="G17" s="3" t="n"/>
      <c r="H17" s="366" t="inlineStr">
        <is>
          <t>Done</t>
        </is>
      </c>
      <c r="I17" s="3" t="n"/>
      <c r="J17" s="3" t="n"/>
    </row>
    <row r="18">
      <c r="B18" s="14" t="inlineStr">
        <is>
          <t>Expr_009</t>
        </is>
      </c>
      <c r="C18" s="14" t="inlineStr">
        <is>
          <t>Ribbon Button - ABS</t>
        </is>
      </c>
      <c r="D18" s="14" t="inlineStr">
        <is>
          <t>MV1+ABS(MV2*Conv 10)</t>
        </is>
      </c>
      <c r="E18" s="14" t="inlineStr">
        <is>
          <t>Delete the first value, then delete the next value.</t>
        </is>
      </c>
      <c r="F18" s="366" t="inlineStr">
        <is>
          <t>Pending</t>
        </is>
      </c>
      <c r="G18" s="3" t="n"/>
      <c r="H18" s="366" t="inlineStr">
        <is>
          <t>Done</t>
        </is>
      </c>
      <c r="I18" s="3" t="n"/>
      <c r="J18" s="3" t="n"/>
    </row>
    <row r="19">
      <c r="B19" s="14" t="inlineStr">
        <is>
          <t>Expr_010</t>
        </is>
      </c>
      <c r="C19" s="14" t="inlineStr">
        <is>
          <t>Ribbon Button - ABS</t>
        </is>
      </c>
      <c r="D19" s="14" t="inlineStr">
        <is>
          <t>ABS(MV1+MV2*MV3/MV4)-MV5-MV6</t>
        </is>
      </c>
      <c r="E19" s="14" t="inlineStr">
        <is>
          <t>Delete the values one by one.</t>
        </is>
      </c>
      <c r="F19" s="366" t="inlineStr">
        <is>
          <t>Pending</t>
        </is>
      </c>
      <c r="G19" s="3" t="n"/>
      <c r="H19" s="366" t="inlineStr">
        <is>
          <t>Done</t>
        </is>
      </c>
      <c r="I19" s="3" t="n"/>
      <c r="J19" s="3" t="n"/>
    </row>
    <row r="20">
      <c r="B20" s="14" t="inlineStr">
        <is>
          <t>Expr_011</t>
        </is>
      </c>
      <c r="C20" s="14" t="inlineStr">
        <is>
          <t>Ribbon Button - ABS</t>
        </is>
      </c>
      <c r="D20" s="14" t="inlineStr">
        <is>
          <t>MV1+ABS(MV2)</t>
        </is>
      </c>
      <c r="E20" s="14" t="inlineStr">
        <is>
          <t>Delete 1st value &gt; observe Both value deleted.</t>
        </is>
      </c>
      <c r="F20" s="366" t="inlineStr">
        <is>
          <t>Pending</t>
        </is>
      </c>
      <c r="G20" s="3" t="n"/>
      <c r="H20" s="366" t="inlineStr">
        <is>
          <t>Done</t>
        </is>
      </c>
      <c r="I20" s="3" t="n"/>
      <c r="J20" s="3" t="n"/>
    </row>
    <row r="21">
      <c r="B21" s="14" t="inlineStr">
        <is>
          <t>Expr_012</t>
        </is>
      </c>
      <c r="C21" s="14" t="inlineStr">
        <is>
          <t>Ribbon Button - ABS</t>
        </is>
      </c>
      <c r="D21" s="14" t="inlineStr">
        <is>
          <t>ABS((MV1*conv 10)+MV2/conv 10+(MV3*contra))</t>
        </is>
      </c>
      <c r="E21" s="14" t="inlineStr">
        <is>
          <t>Delete values, delete Contra value at the end.</t>
        </is>
      </c>
      <c r="F21" s="366" t="inlineStr">
        <is>
          <t>Pending</t>
        </is>
      </c>
      <c r="G21" s="3" t="n"/>
      <c r="H21" s="366" t="inlineStr">
        <is>
          <t>Done</t>
        </is>
      </c>
      <c r="I21" s="3" t="n"/>
      <c r="J21" s="3" t="n"/>
    </row>
    <row r="22">
      <c r="B22" s="14" t="inlineStr">
        <is>
          <t>Expr_013</t>
        </is>
      </c>
      <c r="C22" s="14" t="inlineStr">
        <is>
          <t>Ribbon Button - ABS</t>
        </is>
      </c>
      <c r="D22" s="14" t="inlineStr">
        <is>
          <t>ABS(NEG(MV1))</t>
        </is>
      </c>
      <c r="E22" s="14" t="inlineStr">
        <is>
          <t>Delete the value.</t>
        </is>
      </c>
      <c r="F22" s="366" t="inlineStr">
        <is>
          <t>Pending</t>
        </is>
      </c>
      <c r="G22" s="3" t="n"/>
      <c r="H22" s="366" t="inlineStr">
        <is>
          <t>Done</t>
        </is>
      </c>
      <c r="I22" s="3" t="n"/>
      <c r="J22" s="3" t="n"/>
    </row>
    <row r="23">
      <c r="B23" s="14" t="inlineStr">
        <is>
          <t>Expr_014</t>
        </is>
      </c>
      <c r="C23" s="14" t="inlineStr">
        <is>
          <t>Ribbon Button - ABS</t>
        </is>
      </c>
      <c r="D23" s="14" t="inlineStr">
        <is>
          <t>ABS(NEG(MV1))</t>
        </is>
      </c>
      <c r="E23" s="14" t="inlineStr">
        <is>
          <t>Delete the value.</t>
        </is>
      </c>
      <c r="F23" s="366" t="inlineStr">
        <is>
          <t>Pending</t>
        </is>
      </c>
      <c r="G23" s="3" t="n"/>
      <c r="H23" s="366" t="inlineStr">
        <is>
          <t>Done</t>
        </is>
      </c>
      <c r="I23" s="3" t="n"/>
      <c r="J23" s="3" t="n"/>
    </row>
    <row r="24">
      <c r="B24" s="14" t="inlineStr">
        <is>
          <t>Expr_015</t>
        </is>
      </c>
      <c r="C24" s="14" t="inlineStr">
        <is>
          <t>Ribbon Button - ABS</t>
        </is>
      </c>
      <c r="D24" s="14" t="inlineStr">
        <is>
          <t>ABS((MV1*Contra)+NEG(MV2))</t>
        </is>
      </c>
      <c r="E24" s="14" t="inlineStr">
        <is>
          <t>Delete the first value, then delete the next value.</t>
        </is>
      </c>
      <c r="F24" s="366" t="inlineStr">
        <is>
          <t>Pending</t>
        </is>
      </c>
      <c r="G24" s="3" t="n"/>
      <c r="H24" s="366" t="inlineStr">
        <is>
          <t>Done</t>
        </is>
      </c>
      <c r="I24" s="3" t="n"/>
      <c r="J24" s="3" t="n"/>
    </row>
    <row r="25">
      <c r="B25" s="14" t="inlineStr">
        <is>
          <t>Expr_016</t>
        </is>
      </c>
      <c r="C25" s="14" t="inlineStr">
        <is>
          <t>Ribbon Button - ABS</t>
        </is>
      </c>
      <c r="D25" s="14" t="inlineStr">
        <is>
          <t>MV1+(Free text)ABS</t>
        </is>
      </c>
      <c r="E25" s="14" t="inlineStr">
        <is>
          <t>Delete the values one by one.</t>
        </is>
      </c>
      <c r="F25" s="366" t="inlineStr">
        <is>
          <t>Pending</t>
        </is>
      </c>
      <c r="G25" s="3" t="n"/>
      <c r="H25" s="366" t="inlineStr">
        <is>
          <t>Done</t>
        </is>
      </c>
      <c r="I25" s="3" t="n"/>
      <c r="J25" s="3" t="n"/>
    </row>
    <row r="26">
      <c r="B26" s="14" t="inlineStr">
        <is>
          <t>Expr_017</t>
        </is>
      </c>
      <c r="C26" s="14" t="inlineStr">
        <is>
          <t>Ribbon Button - ABS</t>
        </is>
      </c>
      <c r="D26" s="14" t="inlineStr">
        <is>
          <t>ABS(Free text*conv 10)</t>
        </is>
      </c>
      <c r="E26" s="14" t="inlineStr">
        <is>
          <t>Delete the value.</t>
        </is>
      </c>
      <c r="F26" s="366" t="inlineStr">
        <is>
          <t>Pending</t>
        </is>
      </c>
      <c r="G26" s="3" t="n"/>
      <c r="H26" s="366" t="inlineStr">
        <is>
          <t>Done</t>
        </is>
      </c>
      <c r="I26" s="3" t="n"/>
      <c r="J26" s="3" t="n"/>
    </row>
    <row r="27">
      <c r="B27" s="14" t="inlineStr">
        <is>
          <t>Expr_018</t>
        </is>
      </c>
      <c r="C27" s="14" t="inlineStr">
        <is>
          <t>Ribbon Button - ABS</t>
        </is>
      </c>
      <c r="D27" s="14" t="inlineStr">
        <is>
          <t>ABS(MV1*contra+NEG(MV2)+NEG(MV3))</t>
        </is>
      </c>
      <c r="E27" s="14" t="inlineStr">
        <is>
          <t>Delete the values one by one.</t>
        </is>
      </c>
      <c r="F27" s="366" t="inlineStr">
        <is>
          <t>Pending</t>
        </is>
      </c>
      <c r="G27" s="3" t="n"/>
      <c r="H27" s="366" t="inlineStr">
        <is>
          <t>Done</t>
        </is>
      </c>
      <c r="I27" s="3" t="n"/>
      <c r="J27" s="3" t="n"/>
    </row>
    <row r="28">
      <c r="B28" s="14" t="inlineStr">
        <is>
          <t>Expr_019</t>
        </is>
      </c>
      <c r="C28" s="14" t="inlineStr">
        <is>
          <t>Ribbon Button - ABS</t>
        </is>
      </c>
      <c r="D28" s="14" t="inlineStr">
        <is>
          <t>MV1+ABS(MV2)</t>
        </is>
      </c>
      <c r="E28" s="14" t="inlineStr">
        <is>
          <t>Delete the values one by one.</t>
        </is>
      </c>
      <c r="F28" s="366" t="inlineStr">
        <is>
          <t>Pending</t>
        </is>
      </c>
      <c r="G28" s="3" t="n"/>
      <c r="H28" s="366" t="inlineStr">
        <is>
          <t>Done</t>
        </is>
      </c>
      <c r="I28" s="3" t="n"/>
      <c r="J28" s="3" t="n"/>
    </row>
    <row r="29">
      <c r="B29" s="14" t="inlineStr">
        <is>
          <t>Expr_020</t>
        </is>
      </c>
      <c r="C29" s="14" t="inlineStr">
        <is>
          <t>Ribbon Button - ABS</t>
        </is>
      </c>
      <c r="D29" s="14" t="inlineStr">
        <is>
          <t>MV1-ABS(MV2)</t>
        </is>
      </c>
      <c r="E29" s="14" t="inlineStr">
        <is>
          <t>Delete the values one by one.</t>
        </is>
      </c>
      <c r="F29" s="366" t="inlineStr">
        <is>
          <t>Pending</t>
        </is>
      </c>
      <c r="G29" s="3" t="n"/>
      <c r="H29" s="366" t="inlineStr">
        <is>
          <t>Done</t>
        </is>
      </c>
      <c r="I29" s="3" t="n"/>
      <c r="J29" s="3" t="n"/>
    </row>
    <row r="30">
      <c r="B30" s="14" t="inlineStr">
        <is>
          <t>Expr_021</t>
        </is>
      </c>
      <c r="C30" s="14" t="inlineStr">
        <is>
          <t>Ribbon Button - Contra</t>
        </is>
      </c>
      <c r="D30" s="14" t="inlineStr">
        <is>
          <t>(MV1)*Contra</t>
        </is>
      </c>
      <c r="E30" s="14" t="inlineStr">
        <is>
          <t>Delete the value.</t>
        </is>
      </c>
      <c r="F30" s="366" t="inlineStr">
        <is>
          <t>Pending</t>
        </is>
      </c>
      <c r="G30" s="3" t="n"/>
      <c r="H30" s="366" t="inlineStr">
        <is>
          <t>Done</t>
        </is>
      </c>
      <c r="I30" s="3" t="n"/>
      <c r="J30" s="3" t="n"/>
    </row>
    <row r="31">
      <c r="B31" s="14" t="inlineStr">
        <is>
          <t>Expr_022</t>
        </is>
      </c>
      <c r="C31" s="14" t="inlineStr">
        <is>
          <t>Ribbon Button - Contra</t>
        </is>
      </c>
      <c r="D31" s="14" t="inlineStr">
        <is>
          <t>((MV1)*conversion 10)*Contra</t>
        </is>
      </c>
      <c r="E31" s="14" t="inlineStr">
        <is>
          <t>Delete the value.</t>
        </is>
      </c>
      <c r="F31" s="366" t="inlineStr">
        <is>
          <t>Pending</t>
        </is>
      </c>
      <c r="G31" s="3" t="n"/>
      <c r="H31" s="366" t="inlineStr">
        <is>
          <t>Done</t>
        </is>
      </c>
      <c r="I31" s="3" t="n"/>
      <c r="J31" s="3" t="n"/>
    </row>
    <row r="32">
      <c r="B32" s="14" t="inlineStr">
        <is>
          <t>Expr_023</t>
        </is>
      </c>
      <c r="C32" s="14" t="inlineStr">
        <is>
          <t>Ribbon Button - Contra</t>
        </is>
      </c>
      <c r="D32" s="14" t="inlineStr">
        <is>
          <t>((MV1)*conversion 10)*Contra</t>
        </is>
      </c>
      <c r="E32" s="14" t="inlineStr">
        <is>
          <t>Delete the values one by one.</t>
        </is>
      </c>
      <c r="F32" s="366" t="inlineStr">
        <is>
          <t>Pending</t>
        </is>
      </c>
      <c r="G32" s="5" t="n"/>
      <c r="H32" s="366" t="inlineStr">
        <is>
          <t>Done</t>
        </is>
      </c>
      <c r="I32" s="5" t="n"/>
      <c r="J32" s="3" t="n"/>
    </row>
    <row r="33">
      <c r="B33" s="14" t="inlineStr">
        <is>
          <t>Expr_024</t>
        </is>
      </c>
      <c r="C33" s="14" t="inlineStr">
        <is>
          <t>Ribbon Button - Contra</t>
        </is>
      </c>
      <c r="D33" s="14" t="inlineStr">
        <is>
          <t>MV1+MV2+MV3*contra</t>
        </is>
      </c>
      <c r="E33" s="14" t="inlineStr">
        <is>
          <t>Delete the values one by one.</t>
        </is>
      </c>
      <c r="F33" s="366" t="inlineStr">
        <is>
          <t>Pending</t>
        </is>
      </c>
      <c r="G33" s="3" t="n"/>
      <c r="H33" s="366" t="inlineStr">
        <is>
          <t>Done</t>
        </is>
      </c>
      <c r="I33" s="3" t="n"/>
      <c r="J33" s="3" t="n"/>
    </row>
    <row r="34">
      <c r="B34" s="14" t="inlineStr">
        <is>
          <t>Expr_025</t>
        </is>
      </c>
      <c r="C34" s="14" t="inlineStr">
        <is>
          <t>Ribbon Button - Contra</t>
        </is>
      </c>
      <c r="D34" s="14" t="inlineStr">
        <is>
          <t>MV1(ABS)+MV2+MV3*contra</t>
        </is>
      </c>
      <c r="E34" s="14" t="inlineStr">
        <is>
          <t>Delete the values one by one.</t>
        </is>
      </c>
      <c r="F34" s="366" t="inlineStr">
        <is>
          <t>Pending</t>
        </is>
      </c>
      <c r="G34" s="3" t="n"/>
      <c r="H34" s="366" t="inlineStr">
        <is>
          <t>Done</t>
        </is>
      </c>
      <c r="I34" s="3" t="n"/>
      <c r="J34" s="3" t="n"/>
    </row>
    <row r="35">
      <c r="B35" s="14" t="inlineStr">
        <is>
          <t>Expr_026</t>
        </is>
      </c>
      <c r="C35" s="14" t="inlineStr">
        <is>
          <t>Ribbon Button - Contra</t>
        </is>
      </c>
      <c r="D35" s="14" t="inlineStr">
        <is>
          <t>(ABS(MV1)*Contra)</t>
        </is>
      </c>
      <c r="E35" s="14" t="inlineStr">
        <is>
          <t>Delete the value.</t>
        </is>
      </c>
      <c r="F35" s="366" t="inlineStr">
        <is>
          <t>Pending</t>
        </is>
      </c>
      <c r="G35" s="3" t="n"/>
      <c r="H35" s="366" t="inlineStr">
        <is>
          <t>Done</t>
        </is>
      </c>
      <c r="I35" s="3" t="n"/>
      <c r="J35" s="3" t="n"/>
    </row>
    <row r="36">
      <c r="B36" s="14" t="inlineStr">
        <is>
          <t>Expr_027</t>
        </is>
      </c>
      <c r="C36" s="14" t="inlineStr">
        <is>
          <t>Ribbon Button - Contra</t>
        </is>
      </c>
      <c r="D36" s="14" t="inlineStr">
        <is>
          <t>(NEG(MV1)*Contra)</t>
        </is>
      </c>
      <c r="E36" s="14" t="inlineStr">
        <is>
          <t>Delete the value.</t>
        </is>
      </c>
      <c r="F36" s="366" t="inlineStr">
        <is>
          <t>Pending</t>
        </is>
      </c>
      <c r="G36" s="3" t="n"/>
      <c r="H36" s="366" t="inlineStr">
        <is>
          <t>Done</t>
        </is>
      </c>
      <c r="I36" s="3" t="n"/>
      <c r="J36" s="3" t="n"/>
    </row>
    <row r="37">
      <c r="B37" s="14" t="inlineStr">
        <is>
          <t>Expr_028</t>
        </is>
      </c>
      <c r="C37" s="14" t="inlineStr">
        <is>
          <t>Ribbon Button - Contra</t>
        </is>
      </c>
      <c r="D37" s="14" t="inlineStr">
        <is>
          <t>MV1+MV2*Conv 10*Contra</t>
        </is>
      </c>
      <c r="E37" s="14" t="inlineStr">
        <is>
          <t>Delete the second value first, then delete the next value.</t>
        </is>
      </c>
      <c r="F37" s="366" t="inlineStr">
        <is>
          <t>Pending</t>
        </is>
      </c>
      <c r="G37" s="3" t="n"/>
      <c r="H37" s="366" t="inlineStr">
        <is>
          <t>Done</t>
        </is>
      </c>
      <c r="I37" s="3" t="n"/>
      <c r="J37" s="3" t="n"/>
    </row>
    <row r="38">
      <c r="B38" s="14" t="inlineStr">
        <is>
          <t>Expr_029</t>
        </is>
      </c>
      <c r="C38" s="14" t="inlineStr">
        <is>
          <t>Ribbon Button - Contra</t>
        </is>
      </c>
      <c r="D38" s="14" t="inlineStr">
        <is>
          <t>MV1+MV2*Conv 10*Contra</t>
        </is>
      </c>
      <c r="E38" s="14" t="inlineStr">
        <is>
          <t>Delete the first value, then delete the next value.</t>
        </is>
      </c>
      <c r="F38" s="366" t="inlineStr">
        <is>
          <t>Pending</t>
        </is>
      </c>
      <c r="G38" s="3" t="n"/>
      <c r="H38" s="366" t="inlineStr">
        <is>
          <t>Done</t>
        </is>
      </c>
      <c r="I38" s="3" t="n"/>
      <c r="J38" s="3" t="n"/>
    </row>
    <row r="39">
      <c r="B39" s="14" t="inlineStr">
        <is>
          <t>Expr_030</t>
        </is>
      </c>
      <c r="C39" s="14" t="inlineStr">
        <is>
          <t>Ribbon Button - Contra</t>
        </is>
      </c>
      <c r="D39" s="14" t="inlineStr">
        <is>
          <t>(MV1+MV2*MV3/MV4)*Contra-MV5-MV6</t>
        </is>
      </c>
      <c r="E39" s="14" t="inlineStr">
        <is>
          <t>Delete the values one by one.</t>
        </is>
      </c>
      <c r="F39" s="366" t="inlineStr">
        <is>
          <t>Pending</t>
        </is>
      </c>
      <c r="G39" s="3" t="n"/>
      <c r="H39" s="366" t="inlineStr">
        <is>
          <t>Done</t>
        </is>
      </c>
      <c r="I39" s="3" t="n"/>
      <c r="J39" s="3" t="n"/>
    </row>
    <row r="40">
      <c r="B40" s="14" t="inlineStr">
        <is>
          <t>Expr_031</t>
        </is>
      </c>
      <c r="C40" s="14" t="inlineStr">
        <is>
          <t>Ribbon Button - Contra</t>
        </is>
      </c>
      <c r="D40" s="14" t="inlineStr">
        <is>
          <t>MV1+MV2*Contra</t>
        </is>
      </c>
      <c r="E40" s="14" t="inlineStr">
        <is>
          <t>Delete the values one by one.</t>
        </is>
      </c>
      <c r="F40" s="366" t="inlineStr">
        <is>
          <t>Pending</t>
        </is>
      </c>
      <c r="G40" s="3" t="n"/>
      <c r="H40" s="366" t="inlineStr">
        <is>
          <t>Done</t>
        </is>
      </c>
      <c r="I40" s="3" t="n"/>
      <c r="J40" s="3" t="n"/>
    </row>
    <row r="41">
      <c r="B41" s="14" t="inlineStr">
        <is>
          <t>Expr_032</t>
        </is>
      </c>
      <c r="C41" s="14" t="inlineStr">
        <is>
          <t>Ribbon Button - Contra</t>
        </is>
      </c>
      <c r="D41" s="14" t="inlineStr">
        <is>
          <t>((MV1*conv 10)+MV2/conv 10+(MV3*contra))*Contra</t>
        </is>
      </c>
      <c r="E41" s="14" t="inlineStr">
        <is>
          <t>Delete values, delete Contra value at the end.</t>
        </is>
      </c>
      <c r="F41" s="366" t="inlineStr">
        <is>
          <t>Pending</t>
        </is>
      </c>
      <c r="G41" s="3" t="n"/>
      <c r="H41" s="366" t="inlineStr">
        <is>
          <t>Done</t>
        </is>
      </c>
      <c r="I41" s="3" t="n"/>
      <c r="J41" s="3" t="n"/>
    </row>
    <row r="42">
      <c r="B42" s="14" t="inlineStr">
        <is>
          <t>Expr_033</t>
        </is>
      </c>
      <c r="C42" s="14" t="inlineStr">
        <is>
          <t>Ribbon Button - Contra</t>
        </is>
      </c>
      <c r="D42" s="14" t="inlineStr">
        <is>
          <t>ABS((MV1)*Contra)</t>
        </is>
      </c>
      <c r="E42" s="14" t="inlineStr">
        <is>
          <t>Delete the value.</t>
        </is>
      </c>
      <c r="F42" s="366" t="inlineStr">
        <is>
          <t>Pending</t>
        </is>
      </c>
      <c r="G42" s="3" t="n"/>
      <c r="H42" s="366" t="inlineStr">
        <is>
          <t>Done</t>
        </is>
      </c>
      <c r="I42" s="3" t="n"/>
      <c r="J42" s="3" t="n"/>
    </row>
    <row r="43">
      <c r="B43" s="14" t="inlineStr">
        <is>
          <t>Expr_034</t>
        </is>
      </c>
      <c r="C43" s="14" t="inlineStr">
        <is>
          <t>Ribbon Button - Contra</t>
        </is>
      </c>
      <c r="D43" s="14" t="inlineStr">
        <is>
          <t>ABS((MV1)*Contra)</t>
        </is>
      </c>
      <c r="E43" s="14" t="inlineStr">
        <is>
          <t>Delete the value.</t>
        </is>
      </c>
      <c r="F43" s="366" t="inlineStr">
        <is>
          <t>Pending</t>
        </is>
      </c>
      <c r="G43" s="3" t="n"/>
      <c r="H43" s="366" t="inlineStr">
        <is>
          <t>Done</t>
        </is>
      </c>
      <c r="I43" s="3" t="n"/>
      <c r="J43" s="3" t="n"/>
    </row>
    <row r="44">
      <c r="B44" s="14" t="inlineStr">
        <is>
          <t>Expr_035</t>
        </is>
      </c>
      <c r="C44" s="14" t="inlineStr">
        <is>
          <t>Ribbon Button - Contra</t>
        </is>
      </c>
      <c r="D44" s="14" t="inlineStr">
        <is>
          <t>((MV1*Contra)+NEG(MV2))*Contra</t>
        </is>
      </c>
      <c r="E44" s="14" t="inlineStr">
        <is>
          <t>Delete the first value, then delete the next value.</t>
        </is>
      </c>
      <c r="F44" s="366" t="inlineStr">
        <is>
          <t>Pending</t>
        </is>
      </c>
      <c r="G44" s="3" t="n"/>
      <c r="H44" s="366" t="inlineStr">
        <is>
          <t>Done</t>
        </is>
      </c>
      <c r="I44" s="3" t="n"/>
      <c r="J44" s="3" t="n"/>
    </row>
    <row r="45">
      <c r="B45" s="14" t="inlineStr">
        <is>
          <t>Expr_036</t>
        </is>
      </c>
      <c r="C45" s="14" t="inlineStr">
        <is>
          <t>Ribbon Button - Contra</t>
        </is>
      </c>
      <c r="D45" s="14" t="inlineStr">
        <is>
          <t>MV1+Free text*Contra</t>
        </is>
      </c>
      <c r="E45" s="14" t="inlineStr">
        <is>
          <t>Delete the values one by one.</t>
        </is>
      </c>
      <c r="F45" s="366" t="inlineStr">
        <is>
          <t>Pending</t>
        </is>
      </c>
      <c r="G45" s="3" t="n"/>
      <c r="H45" s="366" t="inlineStr">
        <is>
          <t>Done</t>
        </is>
      </c>
      <c r="I45" s="3" t="n"/>
      <c r="J45" s="3" t="n"/>
    </row>
    <row r="46">
      <c r="B46" s="14" t="inlineStr">
        <is>
          <t>Expr_037</t>
        </is>
      </c>
      <c r="C46" s="14" t="inlineStr">
        <is>
          <t>Ribbon Button - Contra</t>
        </is>
      </c>
      <c r="D46" s="14" t="inlineStr">
        <is>
          <t>(Free Text*conv 10)*Contra</t>
        </is>
      </c>
      <c r="E46" s="14" t="inlineStr">
        <is>
          <t>Delete the value.</t>
        </is>
      </c>
      <c r="F46" s="366" t="inlineStr">
        <is>
          <t>Pending</t>
        </is>
      </c>
      <c r="G46" s="3" t="n"/>
      <c r="H46" s="366" t="inlineStr">
        <is>
          <t>Done</t>
        </is>
      </c>
      <c r="I46" s="3" t="n"/>
      <c r="J46" s="3" t="n"/>
    </row>
    <row r="47">
      <c r="B47" s="14" t="inlineStr">
        <is>
          <t>Expr_038</t>
        </is>
      </c>
      <c r="C47" s="14" t="inlineStr">
        <is>
          <t>Ribbon Button - NEG</t>
        </is>
      </c>
      <c r="D47" s="14" t="inlineStr">
        <is>
          <t>NEG(MV1)</t>
        </is>
      </c>
      <c r="E47" s="14" t="inlineStr">
        <is>
          <t>Delete the value.</t>
        </is>
      </c>
      <c r="F47" s="366" t="inlineStr">
        <is>
          <t>Pending</t>
        </is>
      </c>
      <c r="G47" s="3" t="n"/>
      <c r="H47" s="366" t="inlineStr">
        <is>
          <t>Done</t>
        </is>
      </c>
      <c r="I47" s="3" t="n"/>
      <c r="J47" s="3" t="n"/>
    </row>
    <row r="48">
      <c r="B48" s="14" t="inlineStr">
        <is>
          <t>Expr_039</t>
        </is>
      </c>
      <c r="C48" s="14" t="inlineStr">
        <is>
          <t>Ribbon Button - NEG</t>
        </is>
      </c>
      <c r="D48" s="14" t="inlineStr">
        <is>
          <t>NEG(MV1)*conversion 10</t>
        </is>
      </c>
      <c r="E48" s="14" t="inlineStr">
        <is>
          <t>Delete the value.</t>
        </is>
      </c>
      <c r="F48" s="366" t="inlineStr">
        <is>
          <t>Pending</t>
        </is>
      </c>
      <c r="G48" s="3" t="n"/>
      <c r="H48" s="366" t="inlineStr">
        <is>
          <t>Done</t>
        </is>
      </c>
      <c r="I48" s="3" t="n"/>
      <c r="J48" s="3" t="n"/>
    </row>
    <row r="49">
      <c r="B49" s="14" t="inlineStr">
        <is>
          <t>Expr_040</t>
        </is>
      </c>
      <c r="C49" s="14" t="inlineStr">
        <is>
          <t>Ribbon Button - NEG</t>
        </is>
      </c>
      <c r="D49" s="14" t="inlineStr">
        <is>
          <t>NEG(MV1)*conversion 10</t>
        </is>
      </c>
      <c r="E49" s="14" t="inlineStr">
        <is>
          <t>Delete the value.</t>
        </is>
      </c>
      <c r="F49" s="366" t="inlineStr">
        <is>
          <t>Pending</t>
        </is>
      </c>
      <c r="G49" s="3" t="n"/>
      <c r="H49" s="366" t="inlineStr">
        <is>
          <t>Done</t>
        </is>
      </c>
      <c r="I49" s="3" t="n"/>
      <c r="J49" s="3" t="n"/>
    </row>
    <row r="50">
      <c r="B50" s="14" t="inlineStr">
        <is>
          <t>Expr_041</t>
        </is>
      </c>
      <c r="C50" s="14" t="inlineStr">
        <is>
          <t>Ribbon Button - NEG</t>
        </is>
      </c>
      <c r="D50" s="14" t="inlineStr">
        <is>
          <t>MV1+MV2+NEG(MV3)</t>
        </is>
      </c>
      <c r="E50" s="14" t="inlineStr">
        <is>
          <t>Delete the values one by one.</t>
        </is>
      </c>
      <c r="F50" s="366" t="inlineStr">
        <is>
          <t>Pending</t>
        </is>
      </c>
      <c r="G50" s="3" t="n"/>
      <c r="H50" s="366" t="inlineStr">
        <is>
          <t>Done</t>
        </is>
      </c>
      <c r="I50" s="3" t="n"/>
      <c r="J50" s="3" t="n"/>
    </row>
    <row r="51">
      <c r="B51" s="14" t="inlineStr">
        <is>
          <t>Expr_042</t>
        </is>
      </c>
      <c r="C51" s="14" t="inlineStr">
        <is>
          <t>Ribbon Button - NEG</t>
        </is>
      </c>
      <c r="D51" s="14" t="inlineStr">
        <is>
          <t>MV1(ABS)+MV2+NEG(MV3)</t>
        </is>
      </c>
      <c r="E51" s="14" t="inlineStr">
        <is>
          <t>Delete the values one by one.</t>
        </is>
      </c>
      <c r="F51" s="366" t="inlineStr">
        <is>
          <t>Pending</t>
        </is>
      </c>
      <c r="G51" s="3" t="n"/>
      <c r="H51" s="366" t="inlineStr">
        <is>
          <t>Done</t>
        </is>
      </c>
      <c r="I51" s="3" t="n"/>
      <c r="J51" s="3" t="n"/>
    </row>
    <row r="52">
      <c r="B52" s="14" t="inlineStr">
        <is>
          <t>Expr_043</t>
        </is>
      </c>
      <c r="C52" s="14" t="inlineStr">
        <is>
          <t>Ribbon Button - NEG</t>
        </is>
      </c>
      <c r="D52" s="14" t="inlineStr">
        <is>
          <t>NEG(MV1*Contra)</t>
        </is>
      </c>
      <c r="E52" s="14" t="inlineStr">
        <is>
          <t>Delete the value.</t>
        </is>
      </c>
      <c r="F52" s="366" t="inlineStr">
        <is>
          <t>Pending</t>
        </is>
      </c>
      <c r="G52" s="3" t="n"/>
      <c r="H52" s="366" t="inlineStr">
        <is>
          <t>Done</t>
        </is>
      </c>
      <c r="I52" s="3" t="n"/>
      <c r="J52" s="3" t="n"/>
    </row>
    <row r="53">
      <c r="B53" s="14" t="inlineStr">
        <is>
          <t>Expr_044</t>
        </is>
      </c>
      <c r="C53" s="14" t="inlineStr">
        <is>
          <t>Ribbon Button - NEG</t>
        </is>
      </c>
      <c r="D53" s="14" t="inlineStr">
        <is>
          <t>NEG(ABS(MV1))</t>
        </is>
      </c>
      <c r="E53" s="14" t="inlineStr">
        <is>
          <t>Delete the value.</t>
        </is>
      </c>
      <c r="F53" s="366" t="inlineStr">
        <is>
          <t>Pending</t>
        </is>
      </c>
      <c r="G53" s="3" t="n"/>
      <c r="H53" s="366" t="inlineStr">
        <is>
          <t>Done</t>
        </is>
      </c>
      <c r="I53" s="3" t="n"/>
      <c r="J53" s="3" t="n"/>
    </row>
    <row r="54">
      <c r="B54" s="14" t="inlineStr">
        <is>
          <t>Expr_045</t>
        </is>
      </c>
      <c r="C54" s="14" t="inlineStr">
        <is>
          <t>Ribbon Button - NEG</t>
        </is>
      </c>
      <c r="D54" s="14" t="inlineStr">
        <is>
          <t>MV1+NEG(MV2*Conv 10)</t>
        </is>
      </c>
      <c r="E54" s="14" t="inlineStr">
        <is>
          <t>Delete the second value first, then delete the next value.</t>
        </is>
      </c>
      <c r="F54" s="366" t="inlineStr">
        <is>
          <t>Pending</t>
        </is>
      </c>
      <c r="G54" s="3" t="n"/>
      <c r="H54" s="366" t="inlineStr">
        <is>
          <t>Done</t>
        </is>
      </c>
      <c r="I54" s="3" t="n"/>
      <c r="J54" s="3" t="n"/>
    </row>
    <row r="55">
      <c r="B55" s="14" t="inlineStr">
        <is>
          <t>Expr_046</t>
        </is>
      </c>
      <c r="C55" s="14" t="inlineStr">
        <is>
          <t>Ribbon Button - NEG</t>
        </is>
      </c>
      <c r="D55" s="14" t="inlineStr">
        <is>
          <t>MV1+NEG(MV2*Conv 10)</t>
        </is>
      </c>
      <c r="E55" s="14" t="inlineStr">
        <is>
          <t>Delete the first value, then delete the next value.</t>
        </is>
      </c>
      <c r="F55" s="366" t="inlineStr">
        <is>
          <t>Pending</t>
        </is>
      </c>
      <c r="G55" s="3" t="n"/>
      <c r="H55" s="366" t="inlineStr">
        <is>
          <t>Done</t>
        </is>
      </c>
      <c r="I55" s="3" t="n"/>
      <c r="J55" s="3" t="n"/>
    </row>
    <row r="56">
      <c r="B56" s="14" t="inlineStr">
        <is>
          <t>Expr_047</t>
        </is>
      </c>
      <c r="C56" s="14" t="inlineStr">
        <is>
          <t>Ribbon Button - NEG</t>
        </is>
      </c>
      <c r="D56" s="14" t="inlineStr">
        <is>
          <t>NEG(MV1+MV2*MV3/MV4)-MV5-MV6</t>
        </is>
      </c>
      <c r="E56" s="14" t="inlineStr">
        <is>
          <t>Delete the values one by one.</t>
        </is>
      </c>
      <c r="F56" s="366" t="inlineStr">
        <is>
          <t>Pending</t>
        </is>
      </c>
      <c r="G56" s="3" t="n"/>
      <c r="H56" s="366" t="inlineStr">
        <is>
          <t>Done</t>
        </is>
      </c>
      <c r="I56" s="3" t="n"/>
      <c r="J56" s="3" t="n"/>
    </row>
    <row r="57">
      <c r="B57" s="14" t="inlineStr">
        <is>
          <t>Expr_048</t>
        </is>
      </c>
      <c r="C57" s="14" t="inlineStr">
        <is>
          <t>Ribbon Button - NEG</t>
        </is>
      </c>
      <c r="D57" s="14" t="inlineStr">
        <is>
          <t>MV1+NEG(MV2)</t>
        </is>
      </c>
      <c r="E57" s="14" t="inlineStr">
        <is>
          <t>Delete 1st value &gt; observe Both value deleted.</t>
        </is>
      </c>
      <c r="F57" s="366" t="inlineStr">
        <is>
          <t>Pending</t>
        </is>
      </c>
      <c r="G57" s="3" t="n"/>
      <c r="H57" s="366" t="inlineStr">
        <is>
          <t>Done</t>
        </is>
      </c>
      <c r="I57" s="3" t="n"/>
      <c r="J57" s="3" t="n"/>
    </row>
    <row r="58">
      <c r="B58" s="14" t="inlineStr">
        <is>
          <t>Expr_049</t>
        </is>
      </c>
      <c r="C58" s="14" t="inlineStr">
        <is>
          <t>Ribbon Button - NEG</t>
        </is>
      </c>
      <c r="D58" s="14" t="inlineStr">
        <is>
          <t>NEG((MV1*conv 10)+MV2/conv 10+(MV3*contra))</t>
        </is>
      </c>
      <c r="E58" s="14" t="inlineStr">
        <is>
          <t>Delete values, delete Contra value at the end.</t>
        </is>
      </c>
      <c r="F58" s="366" t="inlineStr">
        <is>
          <t>Pending</t>
        </is>
      </c>
      <c r="G58" s="3" t="n"/>
      <c r="H58" s="366" t="inlineStr">
        <is>
          <t>Done</t>
        </is>
      </c>
      <c r="I58" s="3" t="n"/>
      <c r="J58" s="3" t="n"/>
    </row>
    <row r="59">
      <c r="B59" s="14" t="inlineStr">
        <is>
          <t>Expr_050</t>
        </is>
      </c>
      <c r="C59" s="14" t="inlineStr">
        <is>
          <t>Ribbon Button - NEG</t>
        </is>
      </c>
      <c r="D59" s="14" t="inlineStr">
        <is>
          <t>NEG((MV1*Conv 10)+NEG(MV2))</t>
        </is>
      </c>
      <c r="E59" s="14" t="inlineStr">
        <is>
          <t>Delete the first value, then delete the next value.</t>
        </is>
      </c>
      <c r="F59" s="366" t="inlineStr">
        <is>
          <t>Pending</t>
        </is>
      </c>
      <c r="G59" s="3" t="n"/>
      <c r="H59" s="366" t="inlineStr">
        <is>
          <t>Done</t>
        </is>
      </c>
      <c r="I59" s="3" t="n"/>
      <c r="J59" s="3" t="n"/>
    </row>
    <row r="60">
      <c r="B60" s="14" t="inlineStr">
        <is>
          <t>Expr_051</t>
        </is>
      </c>
      <c r="C60" s="14" t="inlineStr">
        <is>
          <t>Ribbon Button - NEG</t>
        </is>
      </c>
      <c r="D60" s="14" t="inlineStr">
        <is>
          <t>NEG((MV1*Conv 10)+NEG(MV2))</t>
        </is>
      </c>
      <c r="E60" s="14" t="inlineStr">
        <is>
          <t>Delete the second value first, then delete the next value.</t>
        </is>
      </c>
      <c r="F60" s="366" t="inlineStr">
        <is>
          <t>Pending</t>
        </is>
      </c>
      <c r="G60" s="3" t="n"/>
      <c r="H60" s="366" t="inlineStr">
        <is>
          <t>Done</t>
        </is>
      </c>
      <c r="I60" s="3" t="n"/>
      <c r="J60" s="3" t="n"/>
    </row>
    <row r="61">
      <c r="B61" s="14" t="inlineStr">
        <is>
          <t>Expr_052</t>
        </is>
      </c>
      <c r="C61" s="14" t="inlineStr">
        <is>
          <t>Ribbon Button - NEG</t>
        </is>
      </c>
      <c r="D61" s="14" t="inlineStr">
        <is>
          <t>NEG((MV1*Contra)+NEG(MV2))</t>
        </is>
      </c>
      <c r="E61" s="14" t="inlineStr">
        <is>
          <t>Delete the first value, then delete the next value.</t>
        </is>
      </c>
      <c r="F61" s="366" t="inlineStr">
        <is>
          <t>Pending</t>
        </is>
      </c>
      <c r="G61" s="3" t="n"/>
      <c r="H61" s="366" t="inlineStr">
        <is>
          <t>Done</t>
        </is>
      </c>
      <c r="I61" s="3" t="n"/>
      <c r="J61" s="3" t="n"/>
    </row>
    <row r="62">
      <c r="B62" s="14" t="inlineStr">
        <is>
          <t>Expr_053</t>
        </is>
      </c>
      <c r="C62" s="14" t="inlineStr">
        <is>
          <t>Ribbon Button - NEG</t>
        </is>
      </c>
      <c r="D62" s="14" t="inlineStr">
        <is>
          <t>MV1+NEG(Free text)</t>
        </is>
      </c>
      <c r="E62" s="14" t="inlineStr">
        <is>
          <t>Delete the values one by one.</t>
        </is>
      </c>
      <c r="F62" s="366" t="inlineStr">
        <is>
          <t>Pending</t>
        </is>
      </c>
      <c r="G62" s="3" t="n"/>
      <c r="H62" s="366" t="inlineStr">
        <is>
          <t>Done</t>
        </is>
      </c>
      <c r="I62" s="3" t="n"/>
      <c r="J62" s="3" t="n"/>
    </row>
    <row r="63">
      <c r="B63" s="14" t="inlineStr">
        <is>
          <t>Expr_054</t>
        </is>
      </c>
      <c r="C63" s="14" t="inlineStr">
        <is>
          <t>Ribbon Button - NEG</t>
        </is>
      </c>
      <c r="D63" s="14" t="inlineStr">
        <is>
          <t>NEG(Free text*conv 10)</t>
        </is>
      </c>
      <c r="E63" s="14" t="inlineStr">
        <is>
          <t>Delete the value.</t>
        </is>
      </c>
      <c r="F63" s="366" t="inlineStr">
        <is>
          <t>Pending</t>
        </is>
      </c>
      <c r="G63" s="3" t="n"/>
      <c r="H63" s="366" t="inlineStr">
        <is>
          <t>Done</t>
        </is>
      </c>
      <c r="I63" s="3" t="n"/>
      <c r="J63" s="3" t="n"/>
    </row>
    <row r="64">
      <c r="B64" s="14" t="inlineStr">
        <is>
          <t>Expr_055</t>
        </is>
      </c>
      <c r="C64" s="14" t="inlineStr">
        <is>
          <t>Ribbon Button - NEG</t>
        </is>
      </c>
      <c r="D64" s="14" t="inlineStr">
        <is>
          <t>MV1+NEG(MV2)</t>
        </is>
      </c>
      <c r="E64" s="14" t="inlineStr">
        <is>
          <t>Delete the values one by one.</t>
        </is>
      </c>
      <c r="F64" s="366" t="inlineStr">
        <is>
          <t>Pending</t>
        </is>
      </c>
      <c r="G64" s="3" t="n"/>
      <c r="H64" s="366" t="inlineStr">
        <is>
          <t>Done</t>
        </is>
      </c>
      <c r="I64" s="3" t="n"/>
      <c r="J64" s="3" t="n"/>
    </row>
    <row r="65">
      <c r="B65" s="14" t="inlineStr">
        <is>
          <t>Expr_056</t>
        </is>
      </c>
      <c r="C65" s="14" t="inlineStr">
        <is>
          <t>Ribbon Button - NEG</t>
        </is>
      </c>
      <c r="D65" s="14" t="inlineStr">
        <is>
          <t>MV1-NEG(MV2)</t>
        </is>
      </c>
      <c r="E65" s="14" t="inlineStr">
        <is>
          <t>Invalid expression.</t>
        </is>
      </c>
      <c r="F65" s="366" t="inlineStr">
        <is>
          <t>Pending</t>
        </is>
      </c>
      <c r="G65" s="3" t="n"/>
      <c r="H65" s="366" t="inlineStr">
        <is>
          <t>Done</t>
        </is>
      </c>
      <c r="I65" s="3" t="n"/>
      <c r="J65" s="3" t="n"/>
    </row>
    <row r="66">
      <c r="B66" s="14" t="inlineStr">
        <is>
          <t>Expr_057</t>
        </is>
      </c>
      <c r="C66" s="14" t="inlineStr">
        <is>
          <t>Ribbon Button - NEG</t>
        </is>
      </c>
      <c r="D66" s="14" t="inlineStr">
        <is>
          <t>ABS((Negative Value)*Contra*Conv10)</t>
        </is>
      </c>
      <c r="E66" s="14" t="inlineStr">
        <is>
          <t>Delete the value.</t>
        </is>
      </c>
      <c r="F66" s="366" t="inlineStr">
        <is>
          <t>Pending</t>
        </is>
      </c>
      <c r="G66" s="3" t="n"/>
      <c r="H66" s="366" t="inlineStr">
        <is>
          <t>Done</t>
        </is>
      </c>
      <c r="I66" s="3" t="n"/>
      <c r="J66" s="3" t="n"/>
    </row>
    <row r="67">
      <c r="B67" s="14" t="inlineStr">
        <is>
          <t>Expr_058</t>
        </is>
      </c>
      <c r="C67" s="14" t="inlineStr">
        <is>
          <t>Ribbon Button - Conversion</t>
        </is>
      </c>
      <c r="D67" s="14" t="inlineStr">
        <is>
          <t>MV1*conv 10</t>
        </is>
      </c>
      <c r="E67" s="14" t="inlineStr">
        <is>
          <t>Delete the value.</t>
        </is>
      </c>
      <c r="F67" s="366" t="inlineStr">
        <is>
          <t>Pending</t>
        </is>
      </c>
      <c r="G67" s="3" t="n"/>
      <c r="H67" s="366" t="inlineStr">
        <is>
          <t>Done</t>
        </is>
      </c>
      <c r="I67" s="3" t="n"/>
      <c r="J67" s="3" t="n"/>
    </row>
    <row r="68">
      <c r="B68" s="14" t="inlineStr">
        <is>
          <t>Expr_059</t>
        </is>
      </c>
      <c r="C68" s="14" t="inlineStr">
        <is>
          <t>Ribbon Button - Conversion</t>
        </is>
      </c>
      <c r="D68" s="14" t="inlineStr">
        <is>
          <t>MV1*conv 10 + MV2/conv 10</t>
        </is>
      </c>
      <c r="E68" s="14" t="inlineStr">
        <is>
          <t>Delete the value.</t>
        </is>
      </c>
      <c r="F68" s="366" t="inlineStr">
        <is>
          <t>Pending</t>
        </is>
      </c>
      <c r="G68" s="3" t="n"/>
      <c r="H68" s="366" t="inlineStr">
        <is>
          <t>Done</t>
        </is>
      </c>
      <c r="I68" s="3" t="n"/>
      <c r="J68" s="3" t="n"/>
    </row>
    <row r="69">
      <c r="B69" s="14" t="inlineStr">
        <is>
          <t>Expr_060</t>
        </is>
      </c>
      <c r="C69" s="14" t="inlineStr">
        <is>
          <t>Ribbon Button - Conversion</t>
        </is>
      </c>
      <c r="D69" s="14" t="inlineStr">
        <is>
          <t>(MV1*conv 10)/conv 10</t>
        </is>
      </c>
      <c r="E69" s="14" t="inlineStr">
        <is>
          <t>Delete the value.</t>
        </is>
      </c>
      <c r="F69" s="366" t="inlineStr">
        <is>
          <t>Pending</t>
        </is>
      </c>
      <c r="G69" s="3" t="n"/>
      <c r="H69" s="366" t="inlineStr">
        <is>
          <t>Done</t>
        </is>
      </c>
      <c r="I69" s="3" t="n"/>
      <c r="J69" s="3" t="n"/>
    </row>
    <row r="70">
      <c r="B70" s="14" t="inlineStr">
        <is>
          <t>Expr_061</t>
        </is>
      </c>
      <c r="C70" s="14" t="inlineStr">
        <is>
          <t>Ribbon Button - Conversion</t>
        </is>
      </c>
      <c r="D70" s="14" t="inlineStr">
        <is>
          <t>MV1+MV2+MV3*conv 100</t>
        </is>
      </c>
      <c r="E70" s="14" t="inlineStr">
        <is>
          <t>Delete the values one by one.</t>
        </is>
      </c>
      <c r="F70" s="366" t="inlineStr">
        <is>
          <t>Pending</t>
        </is>
      </c>
      <c r="G70" s="3" t="n"/>
      <c r="H70" s="366" t="inlineStr">
        <is>
          <t>Done</t>
        </is>
      </c>
      <c r="I70" s="3" t="n"/>
      <c r="J70" s="3" t="n"/>
    </row>
    <row r="71">
      <c r="B71" s="14" t="inlineStr">
        <is>
          <t>Expr_062</t>
        </is>
      </c>
      <c r="C71" s="14" t="inlineStr">
        <is>
          <t>Ribbon Button - Conversion</t>
        </is>
      </c>
      <c r="D71" s="14" t="inlineStr">
        <is>
          <t>(MV1*Contra)/conv 10</t>
        </is>
      </c>
      <c r="E71" s="14" t="inlineStr">
        <is>
          <t>Delete the value.</t>
        </is>
      </c>
      <c r="F71" s="366" t="inlineStr">
        <is>
          <t>Pending</t>
        </is>
      </c>
      <c r="G71" s="3" t="n"/>
      <c r="H71" s="366" t="inlineStr">
        <is>
          <t>Done</t>
        </is>
      </c>
      <c r="I71" s="3" t="n"/>
      <c r="J71" s="3" t="n"/>
    </row>
    <row r="72">
      <c r="B72" s="14" t="inlineStr">
        <is>
          <t>Expr_063</t>
        </is>
      </c>
      <c r="C72" s="14" t="inlineStr">
        <is>
          <t>Ribbon Button - Conversion</t>
        </is>
      </c>
      <c r="D72" s="14" t="inlineStr">
        <is>
          <t>(MV1*Contra)/conv 10</t>
        </is>
      </c>
      <c r="E72" s="14" t="inlineStr">
        <is>
          <t>Delete the value.</t>
        </is>
      </c>
      <c r="F72" s="366" t="inlineStr">
        <is>
          <t>Pending</t>
        </is>
      </c>
      <c r="G72" s="3" t="n"/>
      <c r="H72" s="366" t="inlineStr">
        <is>
          <t>Done</t>
        </is>
      </c>
      <c r="I72" s="3" t="n"/>
      <c r="J72" s="3" t="n"/>
    </row>
    <row r="73">
      <c r="B73" s="14" t="inlineStr">
        <is>
          <t>Expr_064</t>
        </is>
      </c>
      <c r="C73" s="14" t="inlineStr">
        <is>
          <t>Ribbon Button - Conversion</t>
        </is>
      </c>
      <c r="D73" s="14" t="inlineStr">
        <is>
          <t>(ABS(MV1))*conv 10</t>
        </is>
      </c>
      <c r="E73" s="14" t="inlineStr">
        <is>
          <t>Delete the value.</t>
        </is>
      </c>
      <c r="F73" s="366" t="inlineStr">
        <is>
          <t>Pending</t>
        </is>
      </c>
      <c r="G73" s="3" t="n"/>
      <c r="H73" s="366" t="inlineStr">
        <is>
          <t>Done</t>
        </is>
      </c>
      <c r="I73" s="3" t="n"/>
      <c r="J73" s="3" t="n"/>
    </row>
    <row r="74">
      <c r="B74" s="14" t="inlineStr">
        <is>
          <t>Expr_065</t>
        </is>
      </c>
      <c r="C74" s="14" t="inlineStr">
        <is>
          <t>Ribbon Button - Conversion</t>
        </is>
      </c>
      <c r="D74" s="14" t="inlineStr">
        <is>
          <t>(ABS(MV1))*conv 10</t>
        </is>
      </c>
      <c r="E74" s="14" t="inlineStr">
        <is>
          <t>Delete the value.</t>
        </is>
      </c>
      <c r="F74" s="366" t="inlineStr">
        <is>
          <t>Pending</t>
        </is>
      </c>
      <c r="G74" s="3" t="n"/>
      <c r="H74" s="366" t="inlineStr">
        <is>
          <t>Done</t>
        </is>
      </c>
      <c r="I74" s="3" t="n"/>
      <c r="J74" s="3" t="n"/>
    </row>
    <row r="75">
      <c r="B75" s="14" t="inlineStr">
        <is>
          <t>Expr_066</t>
        </is>
      </c>
      <c r="C75" s="14" t="inlineStr">
        <is>
          <t>Ribbon Button - Conversion</t>
        </is>
      </c>
      <c r="D75" s="14" t="inlineStr">
        <is>
          <t>MV1+NEG(MV2*Conv 10)</t>
        </is>
      </c>
      <c r="E75" s="14" t="inlineStr">
        <is>
          <t>Delete the second value first, then delete the next value.</t>
        </is>
      </c>
      <c r="F75" s="366" t="inlineStr">
        <is>
          <t>Pending</t>
        </is>
      </c>
      <c r="G75" s="3" t="n"/>
      <c r="H75" s="366" t="inlineStr">
        <is>
          <t>Done</t>
        </is>
      </c>
      <c r="I75" s="3" t="n"/>
      <c r="J75" s="3" t="n"/>
    </row>
    <row r="76">
      <c r="B76" s="14" t="inlineStr">
        <is>
          <t>Expr_067</t>
        </is>
      </c>
      <c r="C76" s="14" t="inlineStr">
        <is>
          <t>Ribbon Button - Conversion</t>
        </is>
      </c>
      <c r="D76" s="14" t="inlineStr">
        <is>
          <t>MV1+NEG(MV2*Conv 10)</t>
        </is>
      </c>
      <c r="E76" s="14" t="inlineStr">
        <is>
          <t>Delete the first value, then delete the next value.</t>
        </is>
      </c>
      <c r="F76" s="366" t="inlineStr">
        <is>
          <t>Pending</t>
        </is>
      </c>
      <c r="G76" s="3" t="n"/>
      <c r="H76" s="366" t="inlineStr">
        <is>
          <t>Done</t>
        </is>
      </c>
      <c r="I76" s="3" t="n"/>
      <c r="J76" s="3" t="n"/>
    </row>
    <row r="77">
      <c r="B77" s="14" t="inlineStr">
        <is>
          <t>Expr_068</t>
        </is>
      </c>
      <c r="C77" s="14" t="inlineStr">
        <is>
          <t>Ribbon Button - Conversion</t>
        </is>
      </c>
      <c r="D77" s="14" t="inlineStr">
        <is>
          <t>(MV1*Contra+ABS(MV2)+NEG(MV3))*conv 10</t>
        </is>
      </c>
      <c r="E77" s="14" t="inlineStr">
        <is>
          <t>Delete the values one by one.</t>
        </is>
      </c>
      <c r="F77" s="366" t="inlineStr">
        <is>
          <t>Pending</t>
        </is>
      </c>
      <c r="G77" s="3" t="n"/>
      <c r="H77" s="366" t="inlineStr">
        <is>
          <t>Done</t>
        </is>
      </c>
      <c r="I77" s="3" t="n"/>
      <c r="J77" s="3" t="n"/>
    </row>
    <row r="78">
      <c r="B78" s="14" t="inlineStr">
        <is>
          <t>Expr_069</t>
        </is>
      </c>
      <c r="C78" s="14" t="inlineStr">
        <is>
          <t>Ribbon Button - Conversion</t>
        </is>
      </c>
      <c r="D78" s="14" t="inlineStr">
        <is>
          <t>(MV1/MV2)/conv 10</t>
        </is>
      </c>
      <c r="E78" s="14" t="inlineStr">
        <is>
          <t>Delete the values one by one.</t>
        </is>
      </c>
      <c r="F78" s="366" t="inlineStr">
        <is>
          <t>Pending</t>
        </is>
      </c>
      <c r="G78" s="3" t="n"/>
      <c r="H78" s="366" t="inlineStr">
        <is>
          <t>Done</t>
        </is>
      </c>
      <c r="I78" s="3" t="n"/>
      <c r="J78" s="3" t="n"/>
    </row>
    <row r="79">
      <c r="B79" s="14" t="inlineStr">
        <is>
          <t>Expr_070</t>
        </is>
      </c>
      <c r="C79" s="14" t="inlineStr">
        <is>
          <t>Ribbon Button - Conversion</t>
        </is>
      </c>
      <c r="D79" s="14" t="inlineStr">
        <is>
          <t>(MV1*MV2)*conv 10</t>
        </is>
      </c>
      <c r="E79" s="14" t="inlineStr">
        <is>
          <t>Delete the values one by one.</t>
        </is>
      </c>
      <c r="F79" s="366" t="inlineStr">
        <is>
          <t>Pending</t>
        </is>
      </c>
      <c r="G79" s="3" t="n"/>
      <c r="H79" s="366" t="inlineStr">
        <is>
          <t>Done</t>
        </is>
      </c>
      <c r="I79" s="3" t="n"/>
      <c r="J79" s="3" t="n"/>
    </row>
    <row r="80">
      <c r="B80" s="14" t="inlineStr">
        <is>
          <t>Expr_071</t>
        </is>
      </c>
      <c r="C80" s="14" t="inlineStr">
        <is>
          <t>Ribbon Button - Conversion</t>
        </is>
      </c>
      <c r="D80" s="14" t="inlineStr">
        <is>
          <t>(MV1-MV2+MV3/MV4*MV5)/conv 10</t>
        </is>
      </c>
      <c r="E80" s="14" t="inlineStr">
        <is>
          <t>Delete the values one by one.</t>
        </is>
      </c>
      <c r="F80" s="366" t="inlineStr">
        <is>
          <t>Pending</t>
        </is>
      </c>
      <c r="G80" s="3" t="n"/>
      <c r="H80" s="366" t="inlineStr">
        <is>
          <t>Done</t>
        </is>
      </c>
      <c r="I80" s="3" t="n"/>
      <c r="J80" s="3" t="n"/>
    </row>
    <row r="81">
      <c r="B81" s="14" t="inlineStr">
        <is>
          <t>Expr_072</t>
        </is>
      </c>
      <c r="C81" s="14" t="inlineStr">
        <is>
          <t>Ribbon Button - Conversion</t>
        </is>
      </c>
      <c r="D81" s="14" t="inlineStr">
        <is>
          <t>((MV1-MV2+MV3/MV4*MV5)/conv 10)*Unit scale 10</t>
        </is>
      </c>
      <c r="E81" s="14" t="inlineStr">
        <is>
          <t>Delete the values one by one.</t>
        </is>
      </c>
      <c r="F81" s="366" t="inlineStr">
        <is>
          <t>Pending</t>
        </is>
      </c>
      <c r="G81" s="3" t="n"/>
      <c r="H81" s="366" t="inlineStr">
        <is>
          <t>Done</t>
        </is>
      </c>
      <c r="I81" s="3" t="n"/>
      <c r="J81" s="3" t="n"/>
    </row>
    <row r="82">
      <c r="B82" s="14" t="inlineStr">
        <is>
          <t>Expr_073</t>
        </is>
      </c>
      <c r="C82" s="14" t="inlineStr">
        <is>
          <t>Ribbon Button - Conversion</t>
        </is>
      </c>
      <c r="D82" s="14" t="inlineStr">
        <is>
          <t>MV1+Free text*conv 10</t>
        </is>
      </c>
      <c r="E82" s="14" t="inlineStr">
        <is>
          <t>Delete the values one by one.</t>
        </is>
      </c>
      <c r="F82" s="366" t="inlineStr">
        <is>
          <t>Pending</t>
        </is>
      </c>
      <c r="G82" s="3" t="n"/>
      <c r="H82" s="366" t="inlineStr">
        <is>
          <t>Done</t>
        </is>
      </c>
      <c r="I82" s="3" t="n"/>
      <c r="J82" s="3" t="n"/>
    </row>
    <row r="83">
      <c r="B83" s="14" t="inlineStr">
        <is>
          <t>Expr_074</t>
        </is>
      </c>
      <c r="C83" s="14" t="inlineStr">
        <is>
          <t>Ribbon Button - Conversion</t>
        </is>
      </c>
      <c r="D83" s="14" t="inlineStr">
        <is>
          <t>(Free text+Free text)/conv 10</t>
        </is>
      </c>
      <c r="E83" s="14" t="inlineStr">
        <is>
          <t>Delete the values one by one.</t>
        </is>
      </c>
      <c r="F83" s="366" t="inlineStr">
        <is>
          <t>Pending</t>
        </is>
      </c>
      <c r="G83" s="3" t="n"/>
      <c r="H83" s="366" t="inlineStr">
        <is>
          <t>Done</t>
        </is>
      </c>
      <c r="I83" s="3" t="n"/>
      <c r="J83" s="3" t="n"/>
    </row>
    <row r="84">
      <c r="B84" s="14" t="inlineStr">
        <is>
          <t>Expr_075</t>
        </is>
      </c>
      <c r="C84" s="14" t="inlineStr">
        <is>
          <t>Ribbon Button - Unit Scale</t>
        </is>
      </c>
      <c r="D84" s="14" t="inlineStr">
        <is>
          <t>MV1*Unitscale 10</t>
        </is>
      </c>
      <c r="E84" s="14" t="inlineStr">
        <is>
          <t>Delete the value.</t>
        </is>
      </c>
      <c r="F84" s="366" t="inlineStr">
        <is>
          <t>Pending</t>
        </is>
      </c>
      <c r="G84" s="3" t="n"/>
      <c r="H84" s="366" t="inlineStr">
        <is>
          <t>Done</t>
        </is>
      </c>
      <c r="I84" s="3" t="n"/>
      <c r="J84" s="3" t="n"/>
    </row>
    <row r="85">
      <c r="B85" s="14" t="inlineStr">
        <is>
          <t>Expr_076</t>
        </is>
      </c>
      <c r="C85" s="14" t="inlineStr">
        <is>
          <t>Ribbon Button - Unit Scale</t>
        </is>
      </c>
      <c r="D85" s="14" t="inlineStr">
        <is>
          <t>(MV1*Unitscale 10 + MV2)/Unitscale 10</t>
        </is>
      </c>
      <c r="E85" s="14" t="inlineStr">
        <is>
          <t>Delete the value.</t>
        </is>
      </c>
      <c r="F85" s="366" t="inlineStr">
        <is>
          <t>Pending</t>
        </is>
      </c>
      <c r="G85" s="3" t="n"/>
      <c r="H85" s="366" t="inlineStr">
        <is>
          <t>Done</t>
        </is>
      </c>
      <c r="I85" s="3" t="n"/>
      <c r="J85" s="3" t="n"/>
    </row>
    <row r="86">
      <c r="B86" s="14" t="inlineStr">
        <is>
          <t>Expr_077</t>
        </is>
      </c>
      <c r="C86" s="14" t="inlineStr">
        <is>
          <t>Ribbon Button - Unit Scale</t>
        </is>
      </c>
      <c r="D86" s="14" t="inlineStr">
        <is>
          <t>(MV1*Unitscale 10)/Unitscale 10</t>
        </is>
      </c>
      <c r="E86" s="14" t="inlineStr">
        <is>
          <t>Delete the value.</t>
        </is>
      </c>
      <c r="F86" s="366" t="inlineStr">
        <is>
          <t>Pending</t>
        </is>
      </c>
      <c r="G86" s="3" t="n"/>
      <c r="H86" s="366" t="inlineStr">
        <is>
          <t>Done</t>
        </is>
      </c>
      <c r="I86" s="3" t="n"/>
      <c r="J86" s="3" t="n"/>
    </row>
    <row r="87">
      <c r="B87" s="14" t="inlineStr">
        <is>
          <t>Expr_078</t>
        </is>
      </c>
      <c r="C87" s="14" t="inlineStr">
        <is>
          <t>Ribbon Button - Unit Scale</t>
        </is>
      </c>
      <c r="D87" s="14" t="inlineStr">
        <is>
          <t>(MV1*Conv 10)/Unitscale 10</t>
        </is>
      </c>
      <c r="E87" s="14" t="inlineStr">
        <is>
          <t>Delete the value.</t>
        </is>
      </c>
      <c r="F87" s="366" t="inlineStr">
        <is>
          <t>Pending</t>
        </is>
      </c>
      <c r="G87" s="3" t="n"/>
      <c r="H87" s="366" t="inlineStr">
        <is>
          <t>Done</t>
        </is>
      </c>
      <c r="I87" s="3" t="n"/>
      <c r="J87" s="3" t="n"/>
    </row>
    <row r="88">
      <c r="B88" s="14" t="inlineStr">
        <is>
          <t>Expr_079</t>
        </is>
      </c>
      <c r="C88" s="14" t="inlineStr">
        <is>
          <t>Ribbon Button - Unit Scale</t>
        </is>
      </c>
      <c r="D88" s="14" t="inlineStr">
        <is>
          <t>(MV1*Contra)/Unitscale 10</t>
        </is>
      </c>
      <c r="E88" s="14" t="inlineStr">
        <is>
          <t>Delete the value.</t>
        </is>
      </c>
      <c r="F88" s="366" t="inlineStr">
        <is>
          <t>Pending</t>
        </is>
      </c>
      <c r="G88" s="3" t="n"/>
      <c r="H88" s="366" t="inlineStr">
        <is>
          <t>Done</t>
        </is>
      </c>
      <c r="I88" s="3" t="n"/>
      <c r="J88" s="3" t="n"/>
    </row>
    <row r="89">
      <c r="B89" s="14" t="inlineStr">
        <is>
          <t>Expr_080</t>
        </is>
      </c>
      <c r="C89" s="14" t="inlineStr">
        <is>
          <t>Ribbon Button - Unit Scale</t>
        </is>
      </c>
      <c r="D89" s="14" t="inlineStr">
        <is>
          <t>(MV1*Contra)/Unitscale 10</t>
        </is>
      </c>
      <c r="E89" s="14" t="inlineStr">
        <is>
          <t>Delete the value.</t>
        </is>
      </c>
      <c r="F89" s="366" t="inlineStr">
        <is>
          <t>Pending</t>
        </is>
      </c>
      <c r="G89" s="3" t="n"/>
      <c r="H89" s="366" t="inlineStr">
        <is>
          <t>Done</t>
        </is>
      </c>
      <c r="I89" s="3" t="n"/>
      <c r="J89" s="3" t="n"/>
    </row>
    <row r="90">
      <c r="B90" s="14" t="inlineStr">
        <is>
          <t>Expr_081</t>
        </is>
      </c>
      <c r="C90" s="14" t="inlineStr">
        <is>
          <t>Ribbon Button - Unit Scale</t>
        </is>
      </c>
      <c r="D90" s="14" t="inlineStr">
        <is>
          <t>(ABS(MV1))*Unitscale 10</t>
        </is>
      </c>
      <c r="E90" s="14" t="inlineStr">
        <is>
          <t>Delete the value.</t>
        </is>
      </c>
      <c r="F90" s="366" t="inlineStr">
        <is>
          <t>Pending</t>
        </is>
      </c>
      <c r="G90" s="3" t="n"/>
      <c r="H90" s="366" t="inlineStr">
        <is>
          <t>Done</t>
        </is>
      </c>
      <c r="I90" s="3" t="n"/>
      <c r="J90" s="3" t="n"/>
    </row>
    <row r="91">
      <c r="B91" s="14" t="inlineStr">
        <is>
          <t>Expr_082</t>
        </is>
      </c>
      <c r="C91" s="14" t="inlineStr">
        <is>
          <t>Ribbon Button - Unit Scale</t>
        </is>
      </c>
      <c r="D91" s="14" t="inlineStr">
        <is>
          <t>(ABS(MV1))*Unitscale 10</t>
        </is>
      </c>
      <c r="E91" s="14" t="inlineStr">
        <is>
          <t>Delete the value.</t>
        </is>
      </c>
      <c r="F91" s="366" t="inlineStr">
        <is>
          <t>Pending</t>
        </is>
      </c>
      <c r="G91" s="3" t="n"/>
      <c r="H91" s="366" t="inlineStr">
        <is>
          <t>Done</t>
        </is>
      </c>
      <c r="I91" s="3" t="n"/>
      <c r="J91" s="3" t="n"/>
    </row>
    <row r="92">
      <c r="B92" s="14" t="inlineStr">
        <is>
          <t>Expr_083</t>
        </is>
      </c>
      <c r="C92" s="14" t="inlineStr">
        <is>
          <t>Ribbon Button - Unit Scale</t>
        </is>
      </c>
      <c r="D92" s="14" t="inlineStr">
        <is>
          <t>NEG(MV2*Unitscale 10)+MV1</t>
        </is>
      </c>
      <c r="E92" s="14" t="inlineStr">
        <is>
          <t>Delete the second value first, then delete the next value.</t>
        </is>
      </c>
      <c r="F92" s="366" t="inlineStr">
        <is>
          <t>Pending</t>
        </is>
      </c>
      <c r="G92" s="3" t="n"/>
      <c r="H92" s="366" t="inlineStr">
        <is>
          <t>Done</t>
        </is>
      </c>
      <c r="I92" s="3" t="n"/>
      <c r="J92" s="3" t="n"/>
    </row>
    <row r="93">
      <c r="B93" s="14" t="inlineStr">
        <is>
          <t>Expr_084</t>
        </is>
      </c>
      <c r="C93" s="14" t="inlineStr">
        <is>
          <t>Ribbon Button - Unit Scale</t>
        </is>
      </c>
      <c r="D93" s="14" t="inlineStr">
        <is>
          <t>NEG(MV2*Unitscale 10)+MV1</t>
        </is>
      </c>
      <c r="E93" s="14" t="inlineStr">
        <is>
          <t>Delete the first value, then delete the next value.</t>
        </is>
      </c>
      <c r="F93" s="366" t="inlineStr">
        <is>
          <t>Pending</t>
        </is>
      </c>
      <c r="G93" s="3" t="n"/>
      <c r="H93" s="366" t="inlineStr">
        <is>
          <t>Done</t>
        </is>
      </c>
      <c r="I93" s="3" t="n"/>
      <c r="J93" s="3" t="n"/>
    </row>
    <row r="94">
      <c r="B94" s="14" t="inlineStr">
        <is>
          <t>Expr_085</t>
        </is>
      </c>
      <c r="C94" s="14" t="inlineStr">
        <is>
          <t>Ribbon Button - Unit Scale</t>
        </is>
      </c>
      <c r="D94" s="14" t="inlineStr">
        <is>
          <t>(MV1*Contra+ABS(MV2)+NEG(MV3))*Unitscale 10</t>
        </is>
      </c>
      <c r="E94" s="14" t="inlineStr">
        <is>
          <t>Delete the values one by one.</t>
        </is>
      </c>
      <c r="F94" s="366" t="inlineStr">
        <is>
          <t>Pending</t>
        </is>
      </c>
      <c r="G94" s="3" t="n"/>
      <c r="H94" s="366" t="inlineStr">
        <is>
          <t>Done</t>
        </is>
      </c>
      <c r="I94" s="3" t="n"/>
      <c r="J94" s="3" t="n"/>
    </row>
    <row r="95">
      <c r="B95" s="14" t="inlineStr">
        <is>
          <t>Expr_086</t>
        </is>
      </c>
      <c r="C95" s="14" t="inlineStr">
        <is>
          <t>Ribbon Button - Unit Scale</t>
        </is>
      </c>
      <c r="D95" s="14" t="inlineStr">
        <is>
          <t>(MV1/MV2)/Unitscale 10</t>
        </is>
      </c>
      <c r="E95" s="14" t="inlineStr">
        <is>
          <t>Delete the values one by one.</t>
        </is>
      </c>
      <c r="F95" s="366" t="inlineStr">
        <is>
          <t>Pending</t>
        </is>
      </c>
      <c r="G95" s="3" t="n"/>
      <c r="H95" s="366" t="inlineStr">
        <is>
          <t>Done</t>
        </is>
      </c>
      <c r="I95" s="3" t="n"/>
      <c r="J95" s="3" t="n"/>
    </row>
    <row r="96">
      <c r="B96" s="14" t="inlineStr">
        <is>
          <t>Expr_087</t>
        </is>
      </c>
      <c r="C96" s="14" t="inlineStr">
        <is>
          <t>Ribbon Button - Unit Scale</t>
        </is>
      </c>
      <c r="D96" s="14" t="inlineStr">
        <is>
          <t>(MV1*MV2)*Unitscale 10</t>
        </is>
      </c>
      <c r="E96" s="14" t="inlineStr">
        <is>
          <t>Delete the values one by one.</t>
        </is>
      </c>
      <c r="F96" s="366" t="inlineStr">
        <is>
          <t>Pending</t>
        </is>
      </c>
      <c r="G96" s="3" t="n"/>
      <c r="H96" s="366" t="inlineStr">
        <is>
          <t>Done</t>
        </is>
      </c>
      <c r="I96" s="3" t="n"/>
      <c r="J96" s="3" t="n"/>
    </row>
    <row r="97">
      <c r="B97" s="14" t="inlineStr">
        <is>
          <t>Expr_088</t>
        </is>
      </c>
      <c r="C97" s="14" t="inlineStr">
        <is>
          <t>Ribbon Button - Unit Scale</t>
        </is>
      </c>
      <c r="D97" s="14" t="inlineStr">
        <is>
          <t>(MV1-MV2+MV3/MV4*MV5)/Unitscale 10</t>
        </is>
      </c>
      <c r="E97" s="14" t="inlineStr">
        <is>
          <t>Delete the values one by one.</t>
        </is>
      </c>
      <c r="F97" s="366" t="inlineStr">
        <is>
          <t>Pending</t>
        </is>
      </c>
      <c r="G97" s="3" t="n"/>
      <c r="H97" s="366" t="inlineStr">
        <is>
          <t>Done</t>
        </is>
      </c>
      <c r="I97" s="3" t="n"/>
      <c r="J97" s="3" t="n"/>
    </row>
    <row r="98">
      <c r="B98" s="14" t="inlineStr">
        <is>
          <t>Expr_089</t>
        </is>
      </c>
      <c r="C98" s="14" t="inlineStr">
        <is>
          <t>Ribbon Button - Unit Scale</t>
        </is>
      </c>
      <c r="D98" s="14" t="inlineStr">
        <is>
          <t>((MV1-MV2+MV3/MV4*MV5)/Unitscale 10)*Unit scale 10</t>
        </is>
      </c>
      <c r="E98" s="14" t="inlineStr">
        <is>
          <t>Delete the values one by one.</t>
        </is>
      </c>
      <c r="F98" s="366" t="inlineStr">
        <is>
          <t>Pending</t>
        </is>
      </c>
      <c r="G98" s="3" t="n"/>
      <c r="H98" s="366" t="inlineStr">
        <is>
          <t>Done</t>
        </is>
      </c>
      <c r="I98" s="3" t="n"/>
      <c r="J98" s="3" t="n"/>
    </row>
    <row r="99">
      <c r="B99" s="14" t="inlineStr">
        <is>
          <t>Expr_090</t>
        </is>
      </c>
      <c r="C99" s="14" t="inlineStr">
        <is>
          <t>Ribbon Button - Unit Scale</t>
        </is>
      </c>
      <c r="D99" s="14" t="inlineStr">
        <is>
          <t>(MV1+Free text)*Unitscale 10</t>
        </is>
      </c>
      <c r="E99" s="14" t="inlineStr">
        <is>
          <t>Delete the values one by one.</t>
        </is>
      </c>
      <c r="F99" s="366" t="inlineStr">
        <is>
          <t>Pending</t>
        </is>
      </c>
      <c r="G99" s="3" t="n"/>
      <c r="H99" s="366" t="inlineStr">
        <is>
          <t>Done</t>
        </is>
      </c>
      <c r="I99" s="3" t="n"/>
      <c r="J99" s="3" t="n"/>
    </row>
    <row r="100">
      <c r="B100" s="14" t="inlineStr">
        <is>
          <t>Expr_091</t>
        </is>
      </c>
      <c r="C100" s="14" t="inlineStr">
        <is>
          <t>Ribbon Button - Unit Scale</t>
        </is>
      </c>
      <c r="D100" s="14" t="inlineStr">
        <is>
          <t>(Free text+Free text)/Unitscale 10</t>
        </is>
      </c>
      <c r="E100" s="14" t="inlineStr">
        <is>
          <t>Delete the values one by one.</t>
        </is>
      </c>
      <c r="F100" s="366" t="inlineStr">
        <is>
          <t>Pending</t>
        </is>
      </c>
      <c r="G100" s="3" t="n"/>
      <c r="H100" s="366" t="inlineStr">
        <is>
          <t>Done</t>
        </is>
      </c>
      <c r="I100" s="3" t="n"/>
      <c r="J100" s="3" t="n"/>
    </row>
    <row r="101">
      <c r="B101" s="14" t="inlineStr">
        <is>
          <t>Expr_092</t>
        </is>
      </c>
      <c r="C101" s="14" t="inlineStr">
        <is>
          <t>Ribbon Button - Operators</t>
        </is>
      </c>
      <c r="D101" s="14" t="inlineStr">
        <is>
          <t>MV1+MV2</t>
        </is>
      </c>
      <c r="E101" s="14" t="inlineStr">
        <is>
          <t>Delete the values one by one.</t>
        </is>
      </c>
      <c r="F101" s="366" t="inlineStr">
        <is>
          <t>Pending</t>
        </is>
      </c>
      <c r="G101" s="3" t="n"/>
      <c r="H101" s="366" t="inlineStr">
        <is>
          <t>Done</t>
        </is>
      </c>
      <c r="I101" s="3" t="n"/>
      <c r="J101" s="3" t="n"/>
    </row>
    <row r="102">
      <c r="B102" s="14" t="inlineStr">
        <is>
          <t>Expr_093</t>
        </is>
      </c>
      <c r="C102" s="14" t="inlineStr">
        <is>
          <t>Ribbon Button - Operators</t>
        </is>
      </c>
      <c r="D102" s="14" t="inlineStr">
        <is>
          <t>MV1-MV2</t>
        </is>
      </c>
      <c r="E102" s="14" t="inlineStr">
        <is>
          <t>Delete the values one by one.</t>
        </is>
      </c>
      <c r="F102" s="366" t="inlineStr">
        <is>
          <t>Pending</t>
        </is>
      </c>
      <c r="G102" s="3" t="n"/>
      <c r="H102" s="366" t="inlineStr">
        <is>
          <t>Done</t>
        </is>
      </c>
      <c r="I102" s="3" t="n"/>
      <c r="J102" s="3" t="n"/>
    </row>
    <row r="103">
      <c r="B103" s="14" t="inlineStr">
        <is>
          <t>Expr_094</t>
        </is>
      </c>
      <c r="C103" s="14" t="inlineStr">
        <is>
          <t>Ribbon Button - Operators</t>
        </is>
      </c>
      <c r="D103" s="14" t="inlineStr">
        <is>
          <t>MV1*MV2</t>
        </is>
      </c>
      <c r="E103" s="14" t="inlineStr">
        <is>
          <t>Delete the values one by one.</t>
        </is>
      </c>
      <c r="F103" s="366" t="inlineStr">
        <is>
          <t>Pending</t>
        </is>
      </c>
      <c r="G103" s="3" t="n"/>
      <c r="H103" s="366" t="inlineStr">
        <is>
          <t>Done</t>
        </is>
      </c>
      <c r="I103" s="3" t="n"/>
      <c r="J103" s="3" t="n"/>
    </row>
    <row r="104">
      <c r="B104" s="14" t="inlineStr">
        <is>
          <t>Expr_095</t>
        </is>
      </c>
      <c r="C104" s="14" t="inlineStr">
        <is>
          <t>Ribbon Button - Operators</t>
        </is>
      </c>
      <c r="D104" s="14" t="inlineStr">
        <is>
          <t>MV1/MV2</t>
        </is>
      </c>
      <c r="E104" s="14" t="inlineStr">
        <is>
          <t>Delete the values one by one.</t>
        </is>
      </c>
      <c r="F104" s="366" t="inlineStr">
        <is>
          <t>Pending</t>
        </is>
      </c>
      <c r="G104" s="3" t="n"/>
      <c r="H104" s="366" t="inlineStr">
        <is>
          <t>Done</t>
        </is>
      </c>
      <c r="I104" s="3" t="n"/>
      <c r="J104" s="3" t="n"/>
    </row>
    <row r="105">
      <c r="B105" s="14" t="inlineStr">
        <is>
          <t>Expr_096</t>
        </is>
      </c>
      <c r="C105" s="14" t="inlineStr">
        <is>
          <t>Ribbon Button - Operators</t>
        </is>
      </c>
      <c r="D105" s="14" t="inlineStr">
        <is>
          <t>MV1+MV2-MV3</t>
        </is>
      </c>
      <c r="E105" s="14" t="inlineStr">
        <is>
          <t>Delete the values one by one.</t>
        </is>
      </c>
      <c r="F105" s="366" t="inlineStr">
        <is>
          <t>Pending</t>
        </is>
      </c>
      <c r="G105" s="3" t="n"/>
      <c r="H105" s="366" t="inlineStr">
        <is>
          <t>Done</t>
        </is>
      </c>
      <c r="I105" s="3" t="n"/>
      <c r="J105" s="3" t="n"/>
    </row>
    <row r="106">
      <c r="B106" s="14" t="inlineStr">
        <is>
          <t>Expr_097</t>
        </is>
      </c>
      <c r="C106" s="14" t="inlineStr">
        <is>
          <t>Ribbon Button - Operators</t>
        </is>
      </c>
      <c r="D106" s="14" t="inlineStr">
        <is>
          <t>MV1*MV2/MV3</t>
        </is>
      </c>
      <c r="E106" s="14" t="inlineStr">
        <is>
          <t>Delete the values one by one.</t>
        </is>
      </c>
      <c r="F106" s="366" t="inlineStr">
        <is>
          <t>Pending</t>
        </is>
      </c>
      <c r="G106" s="3" t="n"/>
      <c r="H106" s="366" t="inlineStr">
        <is>
          <t>Done</t>
        </is>
      </c>
      <c r="I106" s="3" t="n"/>
      <c r="J106" s="3" t="n"/>
    </row>
    <row r="107">
      <c r="B107" s="14" t="inlineStr">
        <is>
          <t>Expr_098</t>
        </is>
      </c>
      <c r="C107" s="14" t="inlineStr">
        <is>
          <t>Ribbon Button - Operators</t>
        </is>
      </c>
      <c r="D107" s="14" t="inlineStr">
        <is>
          <t>MV1-MV2/MV3</t>
        </is>
      </c>
      <c r="E107" s="14" t="inlineStr">
        <is>
          <t>Delete the values one by one.</t>
        </is>
      </c>
      <c r="F107" s="366" t="inlineStr">
        <is>
          <t>Pending</t>
        </is>
      </c>
      <c r="G107" s="3" t="n"/>
      <c r="H107" s="366" t="inlineStr">
        <is>
          <t>Done</t>
        </is>
      </c>
      <c r="I107" s="3" t="n"/>
      <c r="J107" s="3" t="n"/>
    </row>
    <row r="108">
      <c r="B108" s="14" t="inlineStr">
        <is>
          <t>Expr_099</t>
        </is>
      </c>
      <c r="C108" s="14" t="inlineStr">
        <is>
          <t>Ribbon Button - Operators</t>
        </is>
      </c>
      <c r="D108" s="14" t="inlineStr">
        <is>
          <t>ABS(MV1+MV2+MV3+MV4)</t>
        </is>
      </c>
      <c r="E108" s="14" t="inlineStr">
        <is>
          <t>Delete the values one by one.</t>
        </is>
      </c>
      <c r="F108" s="366" t="inlineStr">
        <is>
          <t>Pending</t>
        </is>
      </c>
      <c r="G108" s="3" t="n"/>
      <c r="H108" s="366" t="inlineStr">
        <is>
          <t>Done</t>
        </is>
      </c>
      <c r="I108" s="3" t="n"/>
      <c r="J108" s="3" t="n"/>
    </row>
    <row r="109">
      <c r="B109" s="14" t="inlineStr">
        <is>
          <t>Expr_100</t>
        </is>
      </c>
      <c r="C109" s="14" t="inlineStr">
        <is>
          <t>Ribbon Button - Operators</t>
        </is>
      </c>
      <c r="D109" s="14" t="inlineStr">
        <is>
          <t>NEG(MV1+MV2+MV3+MV4)</t>
        </is>
      </c>
      <c r="E109" s="14" t="inlineStr">
        <is>
          <t>Delete the values one by one.</t>
        </is>
      </c>
      <c r="F109" s="366" t="inlineStr">
        <is>
          <t>Pending</t>
        </is>
      </c>
      <c r="G109" s="3" t="n"/>
      <c r="H109" s="366" t="inlineStr">
        <is>
          <t>Done</t>
        </is>
      </c>
      <c r="I109" s="3" t="n"/>
      <c r="J109" s="3" t="n"/>
    </row>
    <row r="110">
      <c r="B110" s="14" t="inlineStr">
        <is>
          <t>Expr_101</t>
        </is>
      </c>
      <c r="C110" s="14" t="inlineStr">
        <is>
          <t>Ribbon Button - Operators</t>
        </is>
      </c>
      <c r="D110" s="14" t="inlineStr">
        <is>
          <t>(MV1+MV2+MV3+MV4)*Contra</t>
        </is>
      </c>
      <c r="E110" s="14" t="inlineStr">
        <is>
          <t>Delete the values one by one.</t>
        </is>
      </c>
      <c r="F110" s="366" t="inlineStr">
        <is>
          <t>Pending</t>
        </is>
      </c>
      <c r="G110" s="3" t="n"/>
      <c r="H110" s="366" t="inlineStr">
        <is>
          <t>Done</t>
        </is>
      </c>
      <c r="I110" s="3" t="n"/>
      <c r="J110" s="3" t="n"/>
    </row>
    <row r="111">
      <c r="B111" s="14" t="inlineStr">
        <is>
          <t>Expr_102</t>
        </is>
      </c>
      <c r="C111" s="14" t="inlineStr">
        <is>
          <t>Complex Expressions</t>
        </is>
      </c>
      <c r="D111" s="14" t="inlineStr">
        <is>
          <t>ABS((ABS(MV1)*MV2*contra)NEG)</t>
        </is>
      </c>
      <c r="E111" s="14" t="inlineStr">
        <is>
          <t>Delete the values one by one.</t>
        </is>
      </c>
      <c r="F111" s="366" t="inlineStr">
        <is>
          <t>Pending</t>
        </is>
      </c>
      <c r="G111" s="3" t="n"/>
      <c r="H111" s="366" t="inlineStr">
        <is>
          <t>Done</t>
        </is>
      </c>
      <c r="I111" s="3" t="n"/>
      <c r="J111" s="3" t="n"/>
    </row>
    <row r="112">
      <c r="B112" s="14" t="inlineStr">
        <is>
          <t>Expr_103</t>
        </is>
      </c>
      <c r="C112" s="14" t="inlineStr">
        <is>
          <t>Complex Expressions</t>
        </is>
      </c>
      <c r="D112" s="14" t="inlineStr">
        <is>
          <t>ABS((ABS(MV1)*MV2*contra+ NEG(MV3))NEG)</t>
        </is>
      </c>
      <c r="E112" s="14" t="inlineStr">
        <is>
          <t>Delete values in 1st to last sequence.</t>
        </is>
      </c>
      <c r="F112" s="366" t="inlineStr">
        <is>
          <t>Pending</t>
        </is>
      </c>
      <c r="G112" s="3" t="n"/>
      <c r="H112" s="366" t="inlineStr">
        <is>
          <t>Done</t>
        </is>
      </c>
      <c r="I112" s="3" t="n"/>
      <c r="J112" s="3" t="n"/>
    </row>
    <row r="113" ht="24" customHeight="1">
      <c r="B113" s="14" t="inlineStr">
        <is>
          <t>Expr_104</t>
        </is>
      </c>
      <c r="C113" s="14" t="inlineStr">
        <is>
          <t>Complex Expressions</t>
        </is>
      </c>
      <c r="D113" s="14" t="inlineStr">
        <is>
          <t>ABS((ABS(MV1)*MV2*contra+ NEG(MV3))NEG)</t>
        </is>
      </c>
      <c r="E113" s="14" t="inlineStr">
        <is>
          <t>Delete 2nd value first, then delete 1st value&gt;all values deleted.</t>
        </is>
      </c>
      <c r="F113" s="366" t="inlineStr">
        <is>
          <t>Pending</t>
        </is>
      </c>
      <c r="G113" s="3" t="n"/>
      <c r="H113" s="366" t="inlineStr">
        <is>
          <t>Done</t>
        </is>
      </c>
      <c r="I113" s="3" t="n"/>
      <c r="J113" s="3" t="n"/>
    </row>
    <row r="114">
      <c r="B114" s="14" t="inlineStr">
        <is>
          <t>Expr_105</t>
        </is>
      </c>
      <c r="C114" s="14" t="inlineStr">
        <is>
          <t>Complex Expressions</t>
        </is>
      </c>
      <c r="D114" s="14" t="inlineStr">
        <is>
          <t>ABS((ABS(MV1)*MV2*contra+ NEG(MV3))NEG)</t>
        </is>
      </c>
      <c r="E114" s="14" t="inlineStr">
        <is>
          <t>Delete values in last to 1st sequence.</t>
        </is>
      </c>
      <c r="F114" s="366" t="inlineStr">
        <is>
          <t>Pending</t>
        </is>
      </c>
      <c r="G114" s="3" t="n"/>
      <c r="H114" s="366" t="inlineStr">
        <is>
          <t>Done</t>
        </is>
      </c>
      <c r="I114" s="3" t="n"/>
      <c r="J114" s="3" t="n"/>
    </row>
    <row r="115">
      <c r="B115" s="14" t="inlineStr">
        <is>
          <t>Expr_106</t>
        </is>
      </c>
      <c r="C115" s="14" t="inlineStr">
        <is>
          <t>Complex Expressions</t>
        </is>
      </c>
      <c r="D115" s="14" t="inlineStr">
        <is>
          <t>(MV1+MV2*Conv*10)/Unitscale 100</t>
        </is>
      </c>
      <c r="E115" s="14" t="inlineStr">
        <is>
          <t>Delete the values one by one.</t>
        </is>
      </c>
      <c r="F115" s="366" t="inlineStr">
        <is>
          <t>Pending</t>
        </is>
      </c>
      <c r="G115" s="3" t="n"/>
      <c r="H115" s="366" t="inlineStr">
        <is>
          <t>Done</t>
        </is>
      </c>
      <c r="I115" s="3" t="n"/>
      <c r="J115" s="3" t="n"/>
    </row>
    <row r="116" ht="24" customHeight="1">
      <c r="B116" s="14" t="inlineStr">
        <is>
          <t>Expr_107</t>
        </is>
      </c>
      <c r="C116" s="14" t="inlineStr">
        <is>
          <t>Complex Expressions</t>
        </is>
      </c>
      <c r="D116" s="14" t="inlineStr">
        <is>
          <t>MV1*Contra+MV2+(ABS(MV3))*Conv 100</t>
        </is>
      </c>
      <c r="E116" s="14" t="inlineStr">
        <is>
          <t>Delete middle value first, observe last value deleted itself.</t>
        </is>
      </c>
      <c r="F116" s="366" t="inlineStr">
        <is>
          <t>Pending</t>
        </is>
      </c>
      <c r="G116" s="3" t="n"/>
      <c r="H116" s="366" t="inlineStr">
        <is>
          <t>Done</t>
        </is>
      </c>
      <c r="I116" s="3" t="n"/>
      <c r="J116" s="3" t="n"/>
    </row>
    <row r="117" ht="24" customHeight="1">
      <c r="B117" s="14" t="inlineStr">
        <is>
          <t>Expr_108</t>
        </is>
      </c>
      <c r="C117" s="14" t="inlineStr">
        <is>
          <t>Complex Expressions</t>
        </is>
      </c>
      <c r="D117" s="14" t="inlineStr">
        <is>
          <t>MV1*Contra+MV2+(NEG(MV3))*Conv 100</t>
        </is>
      </c>
      <c r="E117" s="14" t="inlineStr">
        <is>
          <t>Delete middle value first, observe last value deleted itself.</t>
        </is>
      </c>
      <c r="F117" s="366" t="inlineStr">
        <is>
          <t>Pending</t>
        </is>
      </c>
      <c r="G117" s="3" t="n"/>
      <c r="H117" s="366" t="inlineStr">
        <is>
          <t>Done</t>
        </is>
      </c>
      <c r="I117" s="3" t="n"/>
      <c r="J117" s="3" t="n"/>
    </row>
    <row r="118">
      <c r="B118" s="14" t="inlineStr">
        <is>
          <t>Expr_109</t>
        </is>
      </c>
      <c r="C118" s="14" t="inlineStr">
        <is>
          <t>Complex Expressions</t>
        </is>
      </c>
      <c r="D118" s="14" t="inlineStr">
        <is>
          <t>NEG(MV1)+NEG(MV2)</t>
        </is>
      </c>
      <c r="E118" s="14" t="inlineStr">
        <is>
          <t>Delete the values one by one.</t>
        </is>
      </c>
      <c r="F118" s="366" t="inlineStr">
        <is>
          <t>Pending</t>
        </is>
      </c>
      <c r="G118" s="3" t="n"/>
      <c r="H118" s="366" t="inlineStr">
        <is>
          <t>Done</t>
        </is>
      </c>
      <c r="I118" s="3" t="n"/>
      <c r="J118" s="3" t="n"/>
    </row>
    <row r="119">
      <c r="B119" s="14" t="inlineStr">
        <is>
          <t>Expr_110</t>
        </is>
      </c>
      <c r="C119" s="14" t="inlineStr">
        <is>
          <t>Complex Expressions</t>
        </is>
      </c>
      <c r="D119" s="14" t="inlineStr">
        <is>
          <t>ABS(MV1)+ABS(MV2)</t>
        </is>
      </c>
      <c r="E119" s="14" t="inlineStr">
        <is>
          <t>Delete the values one by one.</t>
        </is>
      </c>
      <c r="F119" s="366" t="inlineStr">
        <is>
          <t>Pending</t>
        </is>
      </c>
      <c r="G119" s="3" t="n"/>
      <c r="H119" s="366" t="inlineStr">
        <is>
          <t>Done</t>
        </is>
      </c>
      <c r="I119" s="3" t="n"/>
      <c r="J119" s="3" t="n"/>
    </row>
    <row r="120">
      <c r="B120" s="14" t="inlineStr">
        <is>
          <t>Expr_111</t>
        </is>
      </c>
      <c r="C120" s="14" t="inlineStr">
        <is>
          <t>Complex Expressions</t>
        </is>
      </c>
      <c r="D120" s="14" t="inlineStr">
        <is>
          <t>M1*Contra+MV1*Contra</t>
        </is>
      </c>
      <c r="E120" s="14" t="inlineStr">
        <is>
          <t>Delete the values one by one.</t>
        </is>
      </c>
      <c r="F120" s="366" t="inlineStr">
        <is>
          <t>Pending</t>
        </is>
      </c>
      <c r="G120" s="3" t="n"/>
      <c r="H120" s="366" t="inlineStr">
        <is>
          <t>Done</t>
        </is>
      </c>
      <c r="I120" s="3" t="n"/>
      <c r="J120" s="3" t="n"/>
    </row>
    <row r="121">
      <c r="B121" s="14" t="inlineStr">
        <is>
          <t>Expr_112</t>
        </is>
      </c>
      <c r="C121" s="14" t="inlineStr">
        <is>
          <t>Complex Expressions</t>
        </is>
      </c>
      <c r="D121" s="14" t="inlineStr">
        <is>
          <t>(ABS(MV1*Contra+MV2)+NEG(MV3)+ABS(MV4))/Conv10</t>
        </is>
      </c>
      <c r="E121" s="14" t="inlineStr">
        <is>
          <t>Start deleting values from the last to first.</t>
        </is>
      </c>
      <c r="F121" s="366" t="inlineStr">
        <is>
          <t>Pending</t>
        </is>
      </c>
      <c r="G121" s="3" t="n"/>
      <c r="H121" s="366" t="inlineStr">
        <is>
          <t>Done</t>
        </is>
      </c>
      <c r="I121" s="3" t="n"/>
      <c r="J121" s="3" t="n"/>
    </row>
    <row r="122">
      <c r="B122" s="14" t="inlineStr">
        <is>
          <t>Expr_113</t>
        </is>
      </c>
      <c r="C122" s="14" t="inlineStr">
        <is>
          <t>Complex Expressions</t>
        </is>
      </c>
      <c r="D122" s="14" t="inlineStr">
        <is>
          <t>(ABS(MV1*Contra+MV2)+NEG(MV3)+ABS(MV4))/Conv10</t>
        </is>
      </c>
      <c r="E122" s="14" t="inlineStr">
        <is>
          <t>Start deleting values from the first to last.</t>
        </is>
      </c>
      <c r="F122" s="366" t="inlineStr">
        <is>
          <t>Pending</t>
        </is>
      </c>
      <c r="G122" s="3" t="n"/>
      <c r="H122" s="366" t="inlineStr">
        <is>
          <t>Done</t>
        </is>
      </c>
      <c r="I122" s="3" t="n"/>
      <c r="J122" s="3" t="n"/>
    </row>
    <row r="123">
      <c r="B123" s="14" t="inlineStr">
        <is>
          <t>Expr_114</t>
        </is>
      </c>
      <c r="C123" s="14" t="inlineStr">
        <is>
          <t>Complex Expressions</t>
        </is>
      </c>
      <c r="D123" s="14" t="inlineStr">
        <is>
          <t>MV1/MV2/Conv10</t>
        </is>
      </c>
      <c r="E123" s="14" t="inlineStr">
        <is>
          <t>Delete the values one by one.</t>
        </is>
      </c>
      <c r="F123" s="366" t="inlineStr">
        <is>
          <t>Pending</t>
        </is>
      </c>
      <c r="G123" s="3" t="n"/>
      <c r="H123" s="366" t="inlineStr">
        <is>
          <t>Done</t>
        </is>
      </c>
      <c r="I123" s="3" t="n"/>
      <c r="J123" s="3" t="n"/>
    </row>
    <row r="124">
      <c r="B124" s="14" t="inlineStr">
        <is>
          <t>Expr_115</t>
        </is>
      </c>
      <c r="C124" s="14" t="inlineStr">
        <is>
          <t>Complex Expressions</t>
        </is>
      </c>
      <c r="D124" s="14" t="inlineStr">
        <is>
          <t>(MV1*MV2*MV3)*Conv 10</t>
        </is>
      </c>
      <c r="E124" s="14" t="inlineStr">
        <is>
          <t>Delete the values one by one.</t>
        </is>
      </c>
      <c r="F124" s="366" t="inlineStr">
        <is>
          <t>Pending</t>
        </is>
      </c>
      <c r="G124" s="3" t="n"/>
      <c r="H124" s="366" t="inlineStr">
        <is>
          <t>Done</t>
        </is>
      </c>
      <c r="I124" s="3" t="n"/>
      <c r="J124" s="3" t="n"/>
    </row>
    <row r="125">
      <c r="B125" s="14" t="inlineStr">
        <is>
          <t>Expr_116</t>
        </is>
      </c>
      <c r="C125" s="14" t="inlineStr">
        <is>
          <t>Complex Expressions</t>
        </is>
      </c>
      <c r="D125" s="14" t="inlineStr">
        <is>
          <t>MV1*Contra+MV2</t>
        </is>
      </c>
      <c r="E125" s="14" t="inlineStr">
        <is>
          <t>Delete contra from formula bar, then delete values.</t>
        </is>
      </c>
      <c r="F125" s="366" t="inlineStr">
        <is>
          <t>Pending</t>
        </is>
      </c>
      <c r="G125" s="3" t="n"/>
      <c r="H125" s="366" t="inlineStr">
        <is>
          <t>Done</t>
        </is>
      </c>
      <c r="I125" s="3" t="n"/>
      <c r="J125" s="3" t="n"/>
    </row>
    <row r="126">
      <c r="B126" s="14" t="inlineStr">
        <is>
          <t>Expr_117</t>
        </is>
      </c>
      <c r="C126" s="14" t="inlineStr">
        <is>
          <t>Complex Expressions</t>
        </is>
      </c>
      <c r="D126" s="14" t="inlineStr">
        <is>
          <t>MV1+MV2/(MV3)*Contra</t>
        </is>
      </c>
      <c r="E126" s="14" t="inlineStr">
        <is>
          <t>Delete the values one by one.</t>
        </is>
      </c>
      <c r="F126" s="366" t="inlineStr">
        <is>
          <t>Pending</t>
        </is>
      </c>
      <c r="G126" s="3" t="n"/>
      <c r="H126" s="366" t="inlineStr">
        <is>
          <t>Done</t>
        </is>
      </c>
      <c r="I126" s="3" t="n"/>
      <c r="J126" s="3" t="n"/>
    </row>
    <row r="127">
      <c r="B127" s="14" t="inlineStr">
        <is>
          <t>Expr_118</t>
        </is>
      </c>
      <c r="C127" s="14" t="inlineStr">
        <is>
          <t>Complex Expressions</t>
        </is>
      </c>
      <c r="D127" s="14" t="inlineStr">
        <is>
          <t>(ABS(MV1+MV2*Contra+MV3*Contra))/Conv 100</t>
        </is>
      </c>
      <c r="E127" s="14" t="inlineStr">
        <is>
          <t>Delete the values one by one.</t>
        </is>
      </c>
      <c r="F127" s="366" t="inlineStr">
        <is>
          <t>Pending</t>
        </is>
      </c>
      <c r="G127" s="3" t="n"/>
      <c r="H127" s="366" t="inlineStr">
        <is>
          <t>Done</t>
        </is>
      </c>
      <c r="I127" s="3" t="n"/>
      <c r="J127" s="3" t="n"/>
    </row>
    <row r="128" ht="150" customHeight="1">
      <c r="B128" s="316" t="inlineStr">
        <is>
          <t>Expr_119</t>
        </is>
      </c>
      <c r="C128" s="317" t="inlineStr">
        <is>
          <t>Complex Expressions</t>
        </is>
      </c>
      <c r="D128" s="318" t="inlineStr">
        <is>
          <t>Spread any item&gt;Map values to model side from Zone 1.
Appy Unit scale conversion.
Now map values from Zone 2 in the same cells where Unit scale applied.
Expression becomes like (V1+V2)*100+V3.
Submit and continue spread.
Autofill from Zone 1.
Apply unit scale.
Now autofill from Zone 2.
Observe expression is becoming like (V1+V2+V3)*100.</t>
        </is>
      </c>
      <c r="E128" s="317" t="inlineStr">
        <is>
          <t>Expression should maintain it's sequence same as base.</t>
        </is>
      </c>
      <c r="F128" s="366" t="inlineStr">
        <is>
          <t>Pending</t>
        </is>
      </c>
      <c r="G128" s="3" t="n"/>
      <c r="H128" s="366" t="inlineStr">
        <is>
          <t>Done</t>
        </is>
      </c>
      <c r="I128" s="3" t="n"/>
      <c r="J128" s="3" t="inlineStr">
        <is>
          <t>Newly added 3/23/2026</t>
        </is>
      </c>
    </row>
    <row r="129" ht="135" customHeight="1">
      <c r="B129" s="319" t="inlineStr">
        <is>
          <t>Expr_120</t>
        </is>
      </c>
      <c r="C129" s="320" t="inlineStr">
        <is>
          <t>Complex Expressions</t>
        </is>
      </c>
      <c r="D129" s="321" t="inlineStr">
        <is>
          <t>Map value in base V1 and apply Unit scale.
Now, map values from other zone in the same cell.
Apply ABS&gt;Expression becomes ABS((V1)*100+V2+V3)
Submit and continue&gt;Autofill Zone 1 only.
Observe Expression is ABS((V1)). Expected: This expression should have single bracket only.
Now apply Unit scale.
Autofill from Zone 2&gt; Observe Unit scale is applied to whole value now. currently showing (ABS((V1)+V2+V3))*100</t>
        </is>
      </c>
      <c r="E129" s="320" t="inlineStr">
        <is>
          <t>Expression should maintain the sequence.</t>
        </is>
      </c>
      <c r="F129" s="366" t="inlineStr">
        <is>
          <t>Pending</t>
        </is>
      </c>
      <c r="G129" s="3" t="n"/>
      <c r="H129" s="366" t="inlineStr">
        <is>
          <t>Done</t>
        </is>
      </c>
      <c r="I129" s="3" t="n"/>
      <c r="J129" s="3" t="inlineStr">
        <is>
          <t>Newly added 3/23/2026</t>
        </is>
      </c>
    </row>
    <row r="130" ht="90" customHeight="1">
      <c r="B130" s="319" t="inlineStr">
        <is>
          <t>Expr_121</t>
        </is>
      </c>
      <c r="C130" s="320" t="inlineStr">
        <is>
          <t>Complex Expressions</t>
        </is>
      </c>
      <c r="D130" s="321" t="inlineStr">
        <is>
          <t>Map values from Zone1 and apply Unit scale.
Now, map values from Zone1 in the same cell and map some values from Zone2. Expression is (V1 (Z1))*100+V2(Z2)+V3(Z1)
Submit and continue&gt;Autofill Zone 1 only.
Observe Expression is (V1)+V2
Now apply Unit scale, expression becomes ((V1)+V2)*100.</t>
        </is>
      </c>
      <c r="E130" s="320" t="inlineStr">
        <is>
          <t>Expression should maintain the sequence.</t>
        </is>
      </c>
      <c r="F130" s="366" t="inlineStr">
        <is>
          <t>Pending</t>
        </is>
      </c>
      <c r="G130" s="3" t="n"/>
      <c r="H130" s="366" t="inlineStr">
        <is>
          <t>Done</t>
        </is>
      </c>
      <c r="I130" s="3" t="n"/>
      <c r="J130" s="3" t="inlineStr">
        <is>
          <t>Newly added 3/23/2026</t>
        </is>
      </c>
    </row>
    <row r="131" ht="150" customHeight="1">
      <c r="B131" s="319" t="inlineStr">
        <is>
          <t>Expr_122</t>
        </is>
      </c>
      <c r="C131" s="320" t="inlineStr">
        <is>
          <t>Complex Expressions</t>
        </is>
      </c>
      <c r="D131" s="321" t="inlineStr">
        <is>
          <t>Map values from Zone1 and apply Unit scale.
Now, Apply contra
Now, map value from Zone2 in the same cell. Expression is ((V1 (Z1))*10)*(-1)+V2(Z2)
Submit and continue&gt;Autofill Zone 1 only.
Observe Expression is (((V1))*(-1)
Now apply Unit scale
Autofill from Zone 2&gt; Observe Unit scale is applied to whole value now.
expression becomes (((V1))*(-1)+V2)*10</t>
        </is>
      </c>
      <c r="E131" s="320" t="inlineStr">
        <is>
          <t>Expression should maintain the sequence.</t>
        </is>
      </c>
      <c r="F131" s="366" t="inlineStr">
        <is>
          <t>Pending</t>
        </is>
      </c>
      <c r="G131" s="3" t="n"/>
      <c r="H131" s="366" t="inlineStr">
        <is>
          <t>Done</t>
        </is>
      </c>
      <c r="I131" s="3" t="n"/>
      <c r="J131" s="3" t="inlineStr">
        <is>
          <t>Newly added 3/23/2026</t>
        </is>
      </c>
    </row>
    <row r="132" ht="150" customHeight="1">
      <c r="B132" s="319" t="inlineStr">
        <is>
          <t>Expr_123</t>
        </is>
      </c>
      <c r="C132" s="320" t="inlineStr">
        <is>
          <t>Complex Expressions</t>
        </is>
      </c>
      <c r="D132" s="321" t="inlineStr">
        <is>
          <t>Map values from Zone1 and apply Unit scale.
Now, Apply negative
Now, map value from Zone2 in the same cell. Expression is NEG((V1 (Z1))*10)+V2(Z2)
Submit and continue&gt;Autofill Zone 1 only.
Observe Expression is (NEG((V1 (Z1))
Now apply Unit scale
Autofill from Zone 2&gt; Observe Unit scale is applied to whole value now.
expression becomes (NEG((V1 (Z1))+V2(Z2)*10</t>
        </is>
      </c>
      <c r="E132" s="320" t="inlineStr">
        <is>
          <t>Expression should maintain the sequence.</t>
        </is>
      </c>
      <c r="F132" s="366" t="inlineStr">
        <is>
          <t>Pending</t>
        </is>
      </c>
      <c r="G132" s="3" t="n"/>
      <c r="H132" s="366" t="inlineStr">
        <is>
          <t>Done</t>
        </is>
      </c>
      <c r="I132" s="3" t="n"/>
      <c r="J132" s="3" t="inlineStr">
        <is>
          <t>Newly added 3/23/2026</t>
        </is>
      </c>
    </row>
    <row r="133" ht="150" customHeight="1">
      <c r="B133" s="319" t="inlineStr">
        <is>
          <t>Expr_124</t>
        </is>
      </c>
      <c r="C133" s="320" t="inlineStr">
        <is>
          <t>Complex Expressions</t>
        </is>
      </c>
      <c r="D133" s="321" t="inlineStr">
        <is>
          <t>Map values from Zone1 and apply Unit scale.
Now, Apply Conversion
Now, map value from Zone2 in the same cell. Expression is ((V1 (Z1))*10)*100+V2(Z2)
Submit and continue&gt;Autofill Zone 1 only.
Observe Expression is ((V1(Z1)))*100
Now apply Unit scale
Autofill from Zone 2&gt; Observe Unit scale is applied to whole value now.
expression becomes (((V1(Z1)))*100+V2(Z2)*10</t>
        </is>
      </c>
      <c r="E133" s="320" t="inlineStr">
        <is>
          <t>Expression should maintain the sequence.</t>
        </is>
      </c>
      <c r="F133" s="366" t="inlineStr">
        <is>
          <t>Pending</t>
        </is>
      </c>
      <c r="G133" s="3" t="n"/>
      <c r="H133" s="366" t="inlineStr">
        <is>
          <t>Done</t>
        </is>
      </c>
      <c r="I133" s="3" t="n"/>
      <c r="J133" s="3" t="inlineStr">
        <is>
          <t>Newly added 3/23/2026</t>
        </is>
      </c>
    </row>
  </sheetData>
  <mergeCells count="7">
    <mergeCell ref="B6:C6"/>
    <mergeCell ref="B7:C7"/>
    <mergeCell ref="B2:F2"/>
    <mergeCell ref="B3:C3"/>
    <mergeCell ref="B5:C5"/>
    <mergeCell ref="B8:C8"/>
    <mergeCell ref="B4:C4"/>
  </mergeCells>
  <conditionalFormatting sqref="D3">
    <cfRule type="expression" priority="57" dxfId="51" stopIfTrue="1">
      <formula>AND(COUNTIF($A$8:$A$8, D3)+COUNTIF(#REF!, D3)&gt;1,NOT(ISBLANK(D3)))</formula>
    </cfRule>
  </conditionalFormatting>
  <conditionalFormatting sqref="D4">
    <cfRule type="cellIs" priority="28" operator="lessThan" dxfId="10" stopIfTrue="1">
      <formula>1</formula>
    </cfRule>
  </conditionalFormatting>
  <conditionalFormatting sqref="D4:D8">
    <cfRule type="cellIs" priority="23" operator="greaterThan" dxfId="9" stopIfTrue="1">
      <formula>0</formula>
    </cfRule>
    <cfRule type="cellIs" priority="24" operator="greaterThan" dxfId="9" stopIfTrue="1">
      <formula>1</formula>
    </cfRule>
    <cfRule type="cellIs" priority="25" operator="greaterThan" dxfId="10" stopIfTrue="1">
      <formula>0</formula>
    </cfRule>
    <cfRule type="cellIs" priority="26" operator="greaterThan" dxfId="10" stopIfTrue="1">
      <formula>1</formula>
    </cfRule>
    <cfRule type="cellIs" priority="27" operator="equal" dxfId="9" stopIfTrue="1">
      <formula>$C$3</formula>
    </cfRule>
  </conditionalFormatting>
  <conditionalFormatting sqref="D5:D8">
    <cfRule type="cellIs" priority="16" operator="lessThan" dxfId="10" stopIfTrue="1">
      <formula>1</formula>
    </cfRule>
  </conditionalFormatting>
  <conditionalFormatting sqref="E4">
    <cfRule type="cellIs" priority="55" operator="equal" dxfId="9" stopIfTrue="1">
      <formula>1</formula>
    </cfRule>
    <cfRule type="cellIs" priority="56" operator="lessThan" dxfId="10" stopIfTrue="1">
      <formula>1</formula>
    </cfRule>
  </conditionalFormatting>
  <conditionalFormatting sqref="E5:E8">
    <cfRule type="cellIs" priority="29" operator="equal" dxfId="9" stopIfTrue="1">
      <formula>1</formula>
    </cfRule>
    <cfRule type="cellIs" priority="30" operator="lessThan" dxfId="10" stopIfTrue="1">
      <formula>1</formula>
    </cfRule>
    <cfRule type="cellIs" priority="31" operator="equal" dxfId="9" stopIfTrue="1">
      <formula>1</formula>
    </cfRule>
    <cfRule type="cellIs" priority="32" operator="lessThan" dxfId="10" stopIfTrue="1">
      <formula>1</formula>
    </cfRule>
  </conditionalFormatting>
  <conditionalFormatting sqref="E4:F4">
    <cfRule type="cellIs" priority="51" operator="equal" dxfId="9" stopIfTrue="1">
      <formula>1</formula>
    </cfRule>
    <cfRule type="cellIs" priority="52" operator="lessThan" dxfId="10" stopIfTrue="1">
      <formula>1</formula>
    </cfRule>
  </conditionalFormatting>
  <conditionalFormatting sqref="F4">
    <cfRule type="cellIs" priority="49" operator="equal" dxfId="9" stopIfTrue="1">
      <formula>1</formula>
    </cfRule>
    <cfRule type="cellIs" priority="50" operator="lessThan" dxfId="10" stopIfTrue="1">
      <formula>1</formula>
    </cfRule>
  </conditionalFormatting>
  <conditionalFormatting sqref="F5">
    <cfRule type="cellIs" priority="45" operator="greaterThan" dxfId="10" stopIfTrue="1">
      <formula>0</formula>
    </cfRule>
    <cfRule type="cellIs" priority="46" operator="equal" dxfId="9" stopIfTrue="1">
      <formula>0</formula>
    </cfRule>
    <cfRule type="cellIs" priority="47" operator="greaterThan" dxfId="10" stopIfTrue="1">
      <formula>0</formula>
    </cfRule>
    <cfRule type="cellIs" priority="48" operator="equal" dxfId="9" stopIfTrue="1">
      <formula>0</formula>
    </cfRule>
  </conditionalFormatting>
  <conditionalFormatting sqref="F6">
    <cfRule type="cellIs" priority="43" operator="equal" dxfId="9" stopIfTrue="1">
      <formula>0</formula>
    </cfRule>
    <cfRule type="cellIs" priority="44" operator="greaterThan" dxfId="22" stopIfTrue="1">
      <formula>0</formula>
    </cfRule>
  </conditionalFormatting>
  <conditionalFormatting sqref="F6:F7">
    <cfRule type="cellIs" priority="39" operator="equal" dxfId="9" stopIfTrue="1">
      <formula>0</formula>
    </cfRule>
    <cfRule type="cellIs" priority="40" operator="greaterThan" dxfId="22" stopIfTrue="1">
      <formula>0</formula>
    </cfRule>
  </conditionalFormatting>
  <conditionalFormatting sqref="F7:F8">
    <cfRule type="cellIs" priority="35" operator="equal" dxfId="9" stopIfTrue="1">
      <formula>0</formula>
    </cfRule>
    <cfRule type="cellIs" priority="36" operator="greaterThan" dxfId="22" stopIfTrue="1">
      <formula>0</formula>
    </cfRule>
  </conditionalFormatting>
  <conditionalFormatting sqref="F8">
    <cfRule type="cellIs" priority="33" operator="equal" dxfId="9" stopIfTrue="1">
      <formula>0</formula>
    </cfRule>
    <cfRule type="cellIs" priority="34" operator="greaterThan" dxfId="22" stopIfTrue="1">
      <formula>0</formula>
    </cfRule>
  </conditionalFormatting>
  <conditionalFormatting sqref="F10:F133">
    <cfRule type="cellIs" priority="58" operator="equal" dxfId="6" stopIfTrue="1">
      <formula>"NA"</formula>
    </cfRule>
    <cfRule type="cellIs" priority="59" operator="equal" dxfId="5" stopIfTrue="1">
      <formula>"Blocked"</formula>
    </cfRule>
    <cfRule type="cellIs" priority="60" operator="equal" dxfId="4" stopIfTrue="1">
      <formula>"Pending"</formula>
    </cfRule>
    <cfRule type="cellIs" priority="61" operator="equal" dxfId="0" stopIfTrue="1">
      <formula>"Passed"</formula>
    </cfRule>
    <cfRule type="cellIs" priority="62" operator="equal" dxfId="1" stopIfTrue="1">
      <formula>"Failed"</formula>
    </cfRule>
    <cfRule type="cellIs" priority="63" operator="equal" dxfId="1" stopIfTrue="1">
      <formula>"Fail"</formula>
    </cfRule>
    <cfRule type="cellIs" priority="64" operator="equal" dxfId="0" stopIfTrue="1">
      <formula>"Pass"</formula>
    </cfRule>
  </conditionalFormatting>
  <conditionalFormatting sqref="G5:G8">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0:H133">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133" showDropDown="0" showInputMessage="1" showErrorMessage="1" allowBlank="1" type="list">
      <formula1>"Passed,Failed,Blocked,Pending,NA"</formula1>
    </dataValidation>
    <dataValidation sqref="H10:H133"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B2:J44"/>
  <sheetViews>
    <sheetView showGridLines="0" workbookViewId="0">
      <selection activeCell="G11" sqref="G11"/>
    </sheetView>
  </sheetViews>
  <sheetFormatPr baseColWidth="8" defaultRowHeight="15"/>
  <cols>
    <col width="5" customWidth="1" min="1" max="1"/>
    <col width="11" customWidth="1" min="2" max="2"/>
    <col width="27.5703125" customWidth="1" min="3" max="3"/>
    <col width="44.7109375" customWidth="1" min="4" max="5"/>
    <col width="14.28515625" customWidth="1" min="7" max="7"/>
    <col width="18.140625" customWidth="1" min="8" max="8"/>
    <col width="14.28515625" customWidth="1" min="9"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COUNTIF(F9:F35,"Passed")</f>
        <v/>
      </c>
      <c r="E4" s="53">
        <f>IF(D4=0,,(D4/(D4+D5)))</f>
        <v/>
      </c>
      <c r="F4" s="51">
        <f>IF(D3=0,,(D4/D3))</f>
        <v/>
      </c>
      <c r="G4" s="156">
        <f>COUNTIF(H10:H496,"Done")</f>
        <v/>
      </c>
    </row>
    <row r="5" ht="15.75" customHeight="1" thickBot="1">
      <c r="B5" s="350" t="inlineStr">
        <is>
          <t>Failed</t>
        </is>
      </c>
      <c r="D5" s="52">
        <f>COUNTIF(F9:F89,"Failed")</f>
        <v/>
      </c>
      <c r="E5" s="53">
        <f>IF(D5=0,,(D5/(D5+D6)))</f>
        <v/>
      </c>
      <c r="F5" s="51">
        <f>IF(D3=0,,(D5/D3))</f>
        <v/>
      </c>
      <c r="G5" s="52">
        <f>COUNTIF(H10:H496,"Failed")</f>
        <v/>
      </c>
    </row>
    <row r="6" ht="15.75" customHeight="1" thickBot="1">
      <c r="B6" s="350" t="inlineStr">
        <is>
          <t>Blocked</t>
        </is>
      </c>
      <c r="D6" s="52">
        <f>COUNTIF(F9:F89,"Blocked")</f>
        <v/>
      </c>
      <c r="E6" s="53">
        <f>IF(D6=0,,(D6/(D6+D7)))</f>
        <v/>
      </c>
      <c r="F6" s="51">
        <f>IF(D3=0,,(D6/D3))</f>
        <v/>
      </c>
      <c r="G6" s="52">
        <f>COUNTIF(H10:H496,"Blocked")</f>
        <v/>
      </c>
    </row>
    <row r="7" ht="15.75" customHeight="1" thickBot="1">
      <c r="B7" s="350" t="inlineStr">
        <is>
          <t>Pending</t>
        </is>
      </c>
      <c r="D7" s="52">
        <f>COUNTIF(F10:F503,"Pending")</f>
        <v/>
      </c>
      <c r="E7" s="53">
        <f>IF(D7=0,,(D7/(D7+D8)))</f>
        <v/>
      </c>
      <c r="F7" s="51">
        <f>IF(D3=0,,(D7/D3))</f>
        <v/>
      </c>
      <c r="G7" s="52">
        <f>COUNTIF(H10:H496,"Pending")</f>
        <v/>
      </c>
    </row>
    <row r="8" ht="15.75" customHeight="1" thickBot="1">
      <c r="B8" s="350" t="inlineStr">
        <is>
          <t>Not Applicable</t>
        </is>
      </c>
      <c r="D8" s="52">
        <f>COUNTIF(F9:F89,"Not Applicable")</f>
        <v/>
      </c>
      <c r="E8" s="53">
        <f>IF(D8=0,,(D8/(D8+#REF!)))</f>
        <v/>
      </c>
      <c r="F8" s="51">
        <f>IF(D3=0,,(D8/D3))</f>
        <v/>
      </c>
      <c r="G8" s="52">
        <f>COUNTIF(H10:H496,"Out of Scope")</f>
        <v/>
      </c>
    </row>
    <row r="9" ht="15.75" customHeight="1" thickBot="1">
      <c r="B9" s="22" t="inlineStr">
        <is>
          <t>S.No.</t>
        </is>
      </c>
      <c r="C9" s="8" t="inlineStr">
        <is>
          <t>Module/Sub-Module</t>
        </is>
      </c>
      <c r="D9" s="1" t="inlineStr">
        <is>
          <t>Test Steps</t>
        </is>
      </c>
      <c r="E9" s="2" t="inlineStr">
        <is>
          <t>Expected Results</t>
        </is>
      </c>
      <c r="F9" s="8" t="inlineStr">
        <is>
          <t>Result</t>
        </is>
      </c>
      <c r="G9" s="8" t="inlineStr">
        <is>
          <t>Bug ID</t>
        </is>
      </c>
      <c r="H9" s="8" t="inlineStr">
        <is>
          <t>Automation Status</t>
        </is>
      </c>
      <c r="I9" s="8" t="inlineStr">
        <is>
          <t>Mapped Scripts</t>
        </is>
      </c>
      <c r="J9" s="2" t="inlineStr">
        <is>
          <t>Comments</t>
        </is>
      </c>
    </row>
    <row r="10" ht="25.5" customHeight="1">
      <c r="B10" s="11" t="inlineStr">
        <is>
          <t>Export_001</t>
        </is>
      </c>
      <c r="C10" s="11" t="inlineStr">
        <is>
          <t>Statement Export</t>
        </is>
      </c>
      <c r="D10" s="366" t="inlineStr">
        <is>
          <t>Go to Spreading &gt; Statement Export.
Review the UI of export statements page.</t>
        </is>
      </c>
      <c r="E10" s="13" t="inlineStr">
        <is>
          <t>The correct UI should be displayed.</t>
        </is>
      </c>
      <c r="F10" s="26" t="inlineStr">
        <is>
          <t>Pending</t>
        </is>
      </c>
      <c r="G10" s="7" t="n"/>
      <c r="H10" s="154" t="inlineStr">
        <is>
          <t>Done</t>
        </is>
      </c>
      <c r="I10" s="148" t="n"/>
      <c r="J10" s="55" t="n"/>
    </row>
    <row r="11" ht="96" customHeight="1">
      <c r="B11" s="11" t="inlineStr">
        <is>
          <t>Export_002</t>
        </is>
      </c>
      <c r="C11" s="11" t="inlineStr">
        <is>
          <t>Filters</t>
        </is>
      </c>
      <c r="D11" s="13" t="inlineStr">
        <is>
          <t>Check filters present to export.</t>
        </is>
      </c>
      <c r="E11" s="13" t="inlineStr">
        <is>
          <t>The page should display following filters:
• Model Type.
• Status.
• Spread Type.
• Frequency.
• Audit Method.
• Date Range (Statement Date).</t>
        </is>
      </c>
      <c r="F11" s="26" t="inlineStr">
        <is>
          <t>Pending</t>
        </is>
      </c>
      <c r="G11" s="3" t="n"/>
      <c r="H11" s="366" t="inlineStr">
        <is>
          <t>Done</t>
        </is>
      </c>
      <c r="I11" s="149" t="n"/>
      <c r="J11" s="55" t="n"/>
    </row>
    <row r="12" ht="24" customHeight="1">
      <c r="B12" s="11" t="inlineStr">
        <is>
          <t>Export_003</t>
        </is>
      </c>
      <c r="C12" s="11" t="inlineStr">
        <is>
          <t>Model</t>
        </is>
      </c>
      <c r="D12" s="13" t="inlineStr">
        <is>
          <t>Check all mentioned filters.</t>
        </is>
      </c>
      <c r="E12" s="13" t="inlineStr">
        <is>
          <t>The control should remain disabled and should only be enabled when model is selected.</t>
        </is>
      </c>
      <c r="F12" s="26" t="inlineStr">
        <is>
          <t>Pending</t>
        </is>
      </c>
      <c r="G12" s="3" t="n"/>
      <c r="H12" s="366" t="inlineStr">
        <is>
          <t>Done</t>
        </is>
      </c>
      <c r="I12" s="149" t="n"/>
      <c r="J12" s="55" t="n"/>
    </row>
    <row r="13">
      <c r="B13" s="11" t="inlineStr">
        <is>
          <t>Export_004</t>
        </is>
      </c>
      <c r="C13" s="11" t="inlineStr">
        <is>
          <t>Model</t>
        </is>
      </c>
      <c r="D13" s="13" t="inlineStr">
        <is>
          <t>Model type filter should remain enabled.</t>
        </is>
      </c>
      <c r="E13" s="13" t="inlineStr">
        <is>
          <t>The user should be able to select model from dropdown.</t>
        </is>
      </c>
      <c r="F13" s="26" t="inlineStr">
        <is>
          <t>Pending</t>
        </is>
      </c>
      <c r="G13" s="3" t="n"/>
      <c r="H13" s="366" t="inlineStr">
        <is>
          <t>Done</t>
        </is>
      </c>
      <c r="I13" s="149" t="n"/>
      <c r="J13" s="55" t="n"/>
    </row>
    <row r="14" ht="36" customHeight="1">
      <c r="B14" s="11" t="inlineStr">
        <is>
          <t>Export_005</t>
        </is>
      </c>
      <c r="C14" s="11" t="inlineStr">
        <is>
          <t>Search</t>
        </is>
      </c>
      <c r="D14" s="13" t="inlineStr">
        <is>
          <t>Select model and search.</t>
        </is>
      </c>
      <c r="E14" s="13" t="inlineStr">
        <is>
          <t>The page should display all customers which have line items in Draft, For QC or spread state and are mapped to selected model.</t>
        </is>
      </c>
      <c r="F14" s="26" t="inlineStr">
        <is>
          <t>Pending</t>
        </is>
      </c>
      <c r="G14" s="3" t="n"/>
      <c r="H14" s="366" t="inlineStr">
        <is>
          <t>Done</t>
        </is>
      </c>
      <c r="I14" s="149" t="n"/>
      <c r="J14" s="55" t="n"/>
    </row>
    <row r="15" ht="24" customHeight="1">
      <c r="B15" s="11" t="inlineStr">
        <is>
          <t>Export_006</t>
        </is>
      </c>
      <c r="C15" s="11" t="inlineStr">
        <is>
          <t>Refresh</t>
        </is>
      </c>
      <c r="D15" s="13" t="inlineStr">
        <is>
          <t>Search the model and refresh.</t>
        </is>
      </c>
      <c r="E15" s="13" t="inlineStr">
        <is>
          <t>Default text should not disappear when user selects any model/filters and clicks on refresh icon.</t>
        </is>
      </c>
      <c r="F15" s="26" t="inlineStr">
        <is>
          <t>Pending</t>
        </is>
      </c>
      <c r="G15" s="3" t="n"/>
      <c r="H15" s="366" t="inlineStr">
        <is>
          <t>Pending</t>
        </is>
      </c>
      <c r="I15" s="149" t="n"/>
      <c r="J15" s="55" t="n"/>
    </row>
    <row r="16" ht="36" customHeight="1">
      <c r="B16" s="11" t="inlineStr">
        <is>
          <t>Export_007</t>
        </is>
      </c>
      <c r="C16" s="11" t="inlineStr">
        <is>
          <t>Export</t>
        </is>
      </c>
      <c r="D16" s="13" t="inlineStr">
        <is>
          <t>Select single customer and export.</t>
        </is>
      </c>
      <c r="E16" s="13" t="inlineStr">
        <is>
          <t>Should export single workbook with the name of the customer and there should be 3 worksheets based on status (Spread, draft or for QC).</t>
        </is>
      </c>
      <c r="F16" s="26" t="inlineStr">
        <is>
          <t>Pending</t>
        </is>
      </c>
      <c r="G16" s="3" t="n"/>
      <c r="H16" s="366" t="inlineStr">
        <is>
          <t>Done</t>
        </is>
      </c>
      <c r="I16" s="149" t="n"/>
      <c r="J16" s="55" t="n"/>
    </row>
    <row r="17" ht="96" customHeight="1">
      <c r="B17" s="11" t="inlineStr">
        <is>
          <t>Export_008</t>
        </is>
      </c>
      <c r="C17" s="11" t="inlineStr">
        <is>
          <t>Filters</t>
        </is>
      </c>
      <c r="D17" s="13" t="inlineStr">
        <is>
          <t>Select.
• Model Type.
• Status.
• Spread Type.
• Frequency.
• Audit Method.
• Date Range (Statement Date).
Select single customer and export.</t>
        </is>
      </c>
      <c r="E17" s="13" t="inlineStr">
        <is>
          <t>Should export single workbook with the name of the customer and there should be 3 worksheets based on filters selected.</t>
        </is>
      </c>
      <c r="F17" s="26" t="inlineStr">
        <is>
          <t>Pending</t>
        </is>
      </c>
      <c r="G17" s="3" t="n"/>
      <c r="H17" s="366" t="inlineStr">
        <is>
          <t>Done</t>
        </is>
      </c>
      <c r="I17" s="149" t="n"/>
      <c r="J17" s="55" t="n"/>
    </row>
    <row r="18">
      <c r="B18" s="11" t="inlineStr">
        <is>
          <t>Export_009</t>
        </is>
      </c>
      <c r="C18" s="13" t="inlineStr">
        <is>
          <t>Status</t>
        </is>
      </c>
      <c r="D18" s="13" t="inlineStr">
        <is>
          <t>Check data of exported file FOR Draft and spread.</t>
        </is>
      </c>
      <c r="E18" s="13" t="inlineStr">
        <is>
          <t>The page should display values as saved while spreading.</t>
        </is>
      </c>
      <c r="F18" s="26" t="inlineStr">
        <is>
          <t>Pending</t>
        </is>
      </c>
      <c r="G18" s="3" t="n"/>
      <c r="H18" s="366" t="inlineStr">
        <is>
          <t>Done</t>
        </is>
      </c>
      <c r="I18" s="149" t="n"/>
      <c r="J18" s="55" t="n"/>
    </row>
    <row r="19" ht="48" customHeight="1">
      <c r="B19" s="11" t="inlineStr">
        <is>
          <t>Export_010</t>
        </is>
      </c>
      <c r="C19" s="13" t="inlineStr">
        <is>
          <t>Multiple Customers</t>
        </is>
      </c>
      <c r="D19" s="13" t="inlineStr">
        <is>
          <t>Select multiple customers and export.</t>
        </is>
      </c>
      <c r="E19" s="13" t="inlineStr">
        <is>
          <t>Should export single consolidated workbook with different 3 worksheets for each customer based on status (final, draft or for QC) having name of the customer.</t>
        </is>
      </c>
      <c r="F19" s="26" t="inlineStr">
        <is>
          <t>Pending</t>
        </is>
      </c>
      <c r="G19" s="3" t="n"/>
      <c r="H19" s="366" t="inlineStr">
        <is>
          <t>Done</t>
        </is>
      </c>
      <c r="I19" s="149" t="n"/>
      <c r="J19" s="55" t="n"/>
    </row>
    <row r="20" ht="36" customHeight="1">
      <c r="B20" s="11" t="inlineStr">
        <is>
          <t>Export_011</t>
        </is>
      </c>
      <c r="C20" s="13" t="inlineStr">
        <is>
          <t>Order</t>
        </is>
      </c>
      <c r="D20" s="13" t="inlineStr">
        <is>
          <t>1. For same customer submit spreads using same model for multiple years.
2. Export statement for customer.</t>
        </is>
      </c>
      <c r="E20" s="13" t="inlineStr">
        <is>
          <t>Should export statement in descending order of year - 2019,2020,2021.</t>
        </is>
      </c>
      <c r="F20" s="26" t="inlineStr">
        <is>
          <t>Pending</t>
        </is>
      </c>
      <c r="G20" s="3" t="n"/>
      <c r="H20" s="366" t="inlineStr">
        <is>
          <t>Done</t>
        </is>
      </c>
      <c r="I20" s="149" t="n"/>
      <c r="J20" s="55" t="n"/>
    </row>
    <row r="21" ht="36" customHeight="1">
      <c r="B21" s="11" t="inlineStr">
        <is>
          <t>Export_012</t>
        </is>
      </c>
      <c r="C21" s="13" t="inlineStr">
        <is>
          <t>Order</t>
        </is>
      </c>
      <c r="D21" s="13" t="inlineStr">
        <is>
          <t>1. For same customer submit spreads using same model for same year and same Statement Dates.
2. Export statement for customer.</t>
        </is>
      </c>
      <c r="E21" s="13" t="inlineStr">
        <is>
          <t>Should export statement in descending order wrt spread type.
Original(last spread), Original,Restated.</t>
        </is>
      </c>
      <c r="F21" s="26" t="inlineStr">
        <is>
          <t>Pending</t>
        </is>
      </c>
      <c r="G21" s="3" t="n"/>
      <c r="H21" s="366" t="inlineStr">
        <is>
          <t>Done</t>
        </is>
      </c>
      <c r="I21" s="149" t="n"/>
      <c r="J21" s="55" t="n"/>
    </row>
    <row r="22" ht="36" customHeight="1">
      <c r="B22" s="11" t="inlineStr">
        <is>
          <t>Export_013</t>
        </is>
      </c>
      <c r="C22" s="13" t="inlineStr">
        <is>
          <t>Generate Comments</t>
        </is>
      </c>
      <c r="D22" s="13" t="inlineStr">
        <is>
          <t>1. Generate comments while submitting Spread.
2. Spread using same model.
3. Export same customer.</t>
        </is>
      </c>
      <c r="E22" s="13" t="inlineStr">
        <is>
          <t>The page should display comments in exported statement.</t>
        </is>
      </c>
      <c r="F22" s="26" t="inlineStr">
        <is>
          <t>Pending</t>
        </is>
      </c>
      <c r="G22" s="3" t="n"/>
      <c r="H22" s="366" t="inlineStr">
        <is>
          <t>Out of Scope</t>
        </is>
      </c>
      <c r="I22" s="149" t="n"/>
      <c r="J22" s="55" t="n"/>
    </row>
    <row r="23" ht="48" customHeight="1">
      <c r="B23" s="11" t="inlineStr">
        <is>
          <t>Export_014</t>
        </is>
      </c>
      <c r="C23" s="13" t="inlineStr">
        <is>
          <t>Formatting</t>
        </is>
      </c>
      <c r="D23" s="13" t="inlineStr">
        <is>
          <t>1. Create model and change font size, text format, text color, fill color and group rows.
2. Spread using same model and export.</t>
        </is>
      </c>
      <c r="E23" s="13" t="inlineStr">
        <is>
          <t>The page should display applied formatting in exported file.</t>
        </is>
      </c>
      <c r="F23" s="26" t="inlineStr">
        <is>
          <t>Pending</t>
        </is>
      </c>
      <c r="G23" s="3" t="n"/>
      <c r="H23" s="366" t="inlineStr">
        <is>
          <t>Out of Scope</t>
        </is>
      </c>
      <c r="I23" s="149" t="n"/>
      <c r="J23" s="55" t="n"/>
    </row>
    <row r="24" ht="48" customHeight="1">
      <c r="B24" s="11" t="inlineStr">
        <is>
          <t>Export_015</t>
        </is>
      </c>
      <c r="C24" s="13" t="inlineStr">
        <is>
          <t>Export</t>
        </is>
      </c>
      <c r="D24" s="13" t="inlineStr">
        <is>
          <t>1. Draft a spread for year.
2. Save a spread For QC for next year.
3. Submit a spread for next year.
4. Export spread for same customer.</t>
        </is>
      </c>
      <c r="E24" s="13" t="inlineStr">
        <is>
          <t>Should export worksheet for spread.</t>
        </is>
      </c>
      <c r="F24" s="26" t="inlineStr">
        <is>
          <t>Pending</t>
        </is>
      </c>
      <c r="G24" s="3" t="n"/>
      <c r="H24" s="366" t="inlineStr">
        <is>
          <t>Done</t>
        </is>
      </c>
      <c r="I24" s="149" t="n"/>
      <c r="J24" s="55" t="n"/>
    </row>
    <row r="25" ht="36" customHeight="1">
      <c r="B25" s="11" t="inlineStr">
        <is>
          <t>Export_016</t>
        </is>
      </c>
      <c r="C25" s="13" t="inlineStr">
        <is>
          <t>Hidden Rows</t>
        </is>
      </c>
      <c r="D25" s="13" t="inlineStr">
        <is>
          <t>1. Create a model and hide some rows.
2. Create line item using same model.
3. Spread line item and export.</t>
        </is>
      </c>
      <c r="E25" s="13" t="inlineStr">
        <is>
          <t>Should export statement with hidden rows and user should be able to unhide also.</t>
        </is>
      </c>
      <c r="F25" s="26" t="inlineStr">
        <is>
          <t>Pending</t>
        </is>
      </c>
      <c r="G25" s="3" t="n"/>
      <c r="H25" s="366" t="inlineStr">
        <is>
          <t>Out of Scope</t>
        </is>
      </c>
      <c r="I25" s="149" t="n"/>
      <c r="J25" s="55" t="n"/>
    </row>
    <row r="26" ht="48" customHeight="1">
      <c r="B26" s="11" t="inlineStr">
        <is>
          <t>Export_017</t>
        </is>
      </c>
      <c r="C26" s="13" t="inlineStr">
        <is>
          <t>Group Restriction</t>
        </is>
      </c>
      <c r="D26" s="13" t="inlineStr">
        <is>
          <t>Verify that user is accessing Statement Exports page.
Then user should be able access/export customer finnacial statements for only user groups linked to his/her SS profile.</t>
        </is>
      </c>
      <c r="E26" s="13" t="inlineStr">
        <is>
          <t>Group level restriction should be present in export statement.</t>
        </is>
      </c>
      <c r="F26" s="26" t="inlineStr">
        <is>
          <t>Pending</t>
        </is>
      </c>
      <c r="G26" s="3" t="n"/>
      <c r="H26" s="366" t="inlineStr">
        <is>
          <t>Done</t>
        </is>
      </c>
      <c r="I26" s="149" t="n"/>
      <c r="J26" s="55" t="n"/>
    </row>
    <row r="27" ht="36" customHeight="1">
      <c r="B27" s="11" t="inlineStr">
        <is>
          <t>Export_018</t>
        </is>
      </c>
      <c r="C27" s="13" t="inlineStr">
        <is>
          <t>Offline Audit</t>
        </is>
      </c>
      <c r="D27" s="13" t="inlineStr">
        <is>
          <t>Generate comments in any PDF in Spreading screen.
Verify generated comments should have a URL for the PDF.</t>
        </is>
      </c>
      <c r="E27" s="13" t="inlineStr">
        <is>
          <t>URL should be present in generated comments.</t>
        </is>
      </c>
      <c r="F27" s="26" t="inlineStr">
        <is>
          <t>Pending</t>
        </is>
      </c>
      <c r="G27" s="3" t="n"/>
      <c r="H27" s="366" t="inlineStr">
        <is>
          <t>Done</t>
        </is>
      </c>
      <c r="I27" s="149" t="n"/>
      <c r="J27" s="55" t="n"/>
    </row>
    <row r="28" ht="60" customHeight="1">
      <c r="B28" s="11" t="inlineStr">
        <is>
          <t>Export_019</t>
        </is>
      </c>
      <c r="C28" s="13" t="inlineStr">
        <is>
          <t>Offline Audit</t>
        </is>
      </c>
      <c r="D28" s="13" t="inlineStr">
        <is>
          <t>Verify Links generated through generate comments button should not change even if user deletes the comment and clicks on generate comment. Then it should bring back same comment with same URL if no change has happened to mapped value.</t>
        </is>
      </c>
      <c r="E28" s="13" t="inlineStr">
        <is>
          <t>Link generated through generate comments should not be changed even after user deletes comments and it should bring back same comment with same URL if no change has happened to mapped value.</t>
        </is>
      </c>
      <c r="F28" s="26" t="inlineStr">
        <is>
          <t>Pending</t>
        </is>
      </c>
      <c r="G28" s="3" t="n"/>
      <c r="H28" s="366" t="inlineStr">
        <is>
          <t>Done</t>
        </is>
      </c>
      <c r="I28" s="149" t="n"/>
      <c r="J28" s="55" t="n"/>
    </row>
    <row r="29" ht="48" customHeight="1">
      <c r="B29" s="11" t="inlineStr">
        <is>
          <t>Export_020</t>
        </is>
      </c>
      <c r="C29" s="13" t="inlineStr">
        <is>
          <t>Offline Audit</t>
        </is>
      </c>
      <c r="D29" s="13" t="inlineStr">
        <is>
          <t>Submit spread with generated comments.
Export statement and view in excel.
Verify User is allowed to copy the URL from the Spreading screen comment box.</t>
        </is>
      </c>
      <c r="E29" s="13" t="inlineStr">
        <is>
          <t>The user should be allowed to copy URL from the Spreading screen comments box.</t>
        </is>
      </c>
      <c r="F29" s="26" t="inlineStr">
        <is>
          <t>Pending</t>
        </is>
      </c>
      <c r="G29" s="3" t="n"/>
      <c r="H29" s="366" t="inlineStr">
        <is>
          <t>Done</t>
        </is>
      </c>
      <c r="I29" s="149" t="n"/>
      <c r="J29" s="55" t="n"/>
    </row>
    <row r="30" ht="36" customHeight="1">
      <c r="B30" s="11" t="inlineStr">
        <is>
          <t>Export_021</t>
        </is>
      </c>
      <c r="C30" s="13" t="inlineStr">
        <is>
          <t>Offline Audit</t>
        </is>
      </c>
      <c r="D30" s="13" t="inlineStr">
        <is>
          <t>Verify when user copies the link and pastes in browser,.
The source PDF document open and navigate to the relevant page and highlight the number.</t>
        </is>
      </c>
      <c r="E30" s="13" t="inlineStr">
        <is>
          <t>When user copies the link and pastes in browser, it should open the source PDF document and navigate to the relevant page and highlight the number.</t>
        </is>
      </c>
      <c r="F30" s="26" t="inlineStr">
        <is>
          <t>Pending</t>
        </is>
      </c>
      <c r="G30" s="3" t="n"/>
      <c r="H30" s="366" t="inlineStr">
        <is>
          <t>Out of Scope</t>
        </is>
      </c>
      <c r="I30" s="149" t="n"/>
      <c r="J30" s="55" t="n"/>
    </row>
    <row r="31" ht="72" customHeight="1">
      <c r="B31" s="11" t="inlineStr">
        <is>
          <t>Export_022</t>
        </is>
      </c>
      <c r="C31" s="13" t="inlineStr">
        <is>
          <t>Offline Audit</t>
        </is>
      </c>
      <c r="D31" s="13" t="inlineStr">
        <is>
          <t>Verify if there are multiple numbers selected from the same page,.
Generate comments should have a single URL but when copied to browser,.
The tool should highlight all the numbers selected from a page.</t>
        </is>
      </c>
      <c r="E31" s="13" t="inlineStr">
        <is>
          <t>Multiple numbers selected from the same page,.
Generate comments should have a single URL but when copied to browser,.
The tool should highlight all the numbers selected from a page.</t>
        </is>
      </c>
      <c r="F31" s="26" t="inlineStr">
        <is>
          <t>Pending</t>
        </is>
      </c>
      <c r="G31" s="3" t="n"/>
      <c r="H31" s="366" t="inlineStr">
        <is>
          <t>Out of Scope</t>
        </is>
      </c>
      <c r="I31" s="149" t="n"/>
      <c r="J31" s="55" t="n"/>
    </row>
    <row r="32" ht="72" customHeight="1">
      <c r="B32" s="11" t="inlineStr">
        <is>
          <t>Export_023</t>
        </is>
      </c>
      <c r="C32" s="13" t="inlineStr">
        <is>
          <t>Offline Audit</t>
        </is>
      </c>
      <c r="D32" s="13" t="inlineStr">
        <is>
          <t>Verify if there are multiple numbers selected from the same page,.
Generate comments should have a unique URL and when copied to browser,.
The tool should highlight the selected number from a page.</t>
        </is>
      </c>
      <c r="E32" s="13" t="inlineStr">
        <is>
          <t>Appropriate number should be selected from the same page,.
Generate comments should have a unique URL but when copied to browser,.
The tool should highlight number selected from a page.</t>
        </is>
      </c>
      <c r="F32" s="26" t="inlineStr">
        <is>
          <t>Pending</t>
        </is>
      </c>
      <c r="G32" s="3" t="n"/>
      <c r="H32" s="366" t="inlineStr">
        <is>
          <t>Out of Scope</t>
        </is>
      </c>
      <c r="I32" s="149" t="n"/>
      <c r="J32" s="55" t="n"/>
    </row>
    <row r="33" ht="60" customHeight="1">
      <c r="B33" s="11" t="inlineStr">
        <is>
          <t>Export_024</t>
        </is>
      </c>
      <c r="C33" s="13" t="inlineStr">
        <is>
          <t>Offline Audit</t>
        </is>
      </c>
      <c r="D33" s="13" t="inlineStr">
        <is>
          <t>Verify if there are multiple numbers selected from multiple pages,.
There should be multiple URLs based on pages and each URL should lead to the.
Relevant page along with highlighting the numbers.</t>
        </is>
      </c>
      <c r="E33" s="13" t="inlineStr">
        <is>
          <t>There are multiple numbers selected from multiple pages, there should be multiple URLs based on pages and each URL should lead to the.
Relevant page along with highlighting the numbers.</t>
        </is>
      </c>
      <c r="F33" s="26" t="inlineStr">
        <is>
          <t>Pending</t>
        </is>
      </c>
      <c r="G33" s="3" t="n"/>
      <c r="H33" s="366" t="inlineStr">
        <is>
          <t>Out of Scope</t>
        </is>
      </c>
      <c r="I33" s="149" t="n"/>
      <c r="J33" s="55" t="n"/>
    </row>
    <row r="34" ht="36" customHeight="1">
      <c r="B34" s="11" t="inlineStr">
        <is>
          <t>Export_025</t>
        </is>
      </c>
      <c r="C34" s="13" t="inlineStr">
        <is>
          <t>Offline Audit</t>
        </is>
      </c>
      <c r="D34" s="13" t="inlineStr">
        <is>
          <t>Verify Offline comments should work on values taken from paragraphs.
In the same way as to the values captured from tables.</t>
        </is>
      </c>
      <c r="E34" s="13" t="inlineStr">
        <is>
          <t>Offline comments should work on values taken from paragraphs.
In the same way as to the values captured from tables.</t>
        </is>
      </c>
      <c r="F34" s="26" t="inlineStr">
        <is>
          <t>Pending</t>
        </is>
      </c>
      <c r="G34" s="3" t="n"/>
      <c r="H34" s="366" t="inlineStr">
        <is>
          <t>Out of Scope</t>
        </is>
      </c>
      <c r="I34" s="149" t="n"/>
      <c r="J34" s="55" t="n"/>
    </row>
    <row r="35" ht="48" customHeight="1">
      <c r="B35" s="11" t="inlineStr">
        <is>
          <t>Export_026</t>
        </is>
      </c>
      <c r="C35" s="13" t="inlineStr">
        <is>
          <t>Offline Audit</t>
        </is>
      </c>
      <c r="D35" s="13" t="inlineStr">
        <is>
          <t>Verify no restriction to the user and user view the document and the values highlighted in the document when link is pasted in browser without having an access to spread smart application.</t>
        </is>
      </c>
      <c r="E35" s="13" t="inlineStr">
        <is>
          <t>The user should be able to view the document and the values highlighted in the document when link is pasted in browser.</t>
        </is>
      </c>
      <c r="F35" s="26" t="inlineStr">
        <is>
          <t>Pending</t>
        </is>
      </c>
      <c r="G35" s="3" t="n"/>
      <c r="H35" s="366" t="inlineStr">
        <is>
          <t>Out of Scope</t>
        </is>
      </c>
      <c r="I35" s="149" t="n"/>
      <c r="J35" s="55" t="n"/>
    </row>
    <row r="36" ht="72" customHeight="1">
      <c r="B36" s="11" t="inlineStr">
        <is>
          <t>Export_027</t>
        </is>
      </c>
      <c r="C36" s="13" t="inlineStr">
        <is>
          <t>Offline Audit</t>
        </is>
      </c>
      <c r="D36" s="13" t="inlineStr">
        <is>
          <t>Verify if there are multiple numbers selected from the same page in a single cell,.
Generate comments should have a same URL and when copied to browser,.
The tool should highlight all the numbers selected from a page.</t>
        </is>
      </c>
      <c r="E36" s="13" t="inlineStr">
        <is>
          <t>There are multiple numbers selected from the same page in a single cell,.
Generate comments should have a same URL but when copied to browser,.
The tool should highlight all the numbers selected from a page.</t>
        </is>
      </c>
      <c r="F36" s="26" t="inlineStr">
        <is>
          <t>Pending</t>
        </is>
      </c>
      <c r="G36" s="3" t="n"/>
      <c r="H36" s="366" t="inlineStr">
        <is>
          <t>Out of Scope</t>
        </is>
      </c>
      <c r="I36" s="149" t="n"/>
      <c r="J36" s="55" t="n"/>
    </row>
    <row r="37" ht="61.5" customHeight="1">
      <c r="B37" s="11" t="inlineStr">
        <is>
          <t>Export_028</t>
        </is>
      </c>
      <c r="C37" s="232" t="inlineStr">
        <is>
          <t>Statement Export</t>
        </is>
      </c>
      <c r="D37" s="232" t="inlineStr">
        <is>
          <t>Create Customer with Spanish special characters and click Add Item.
Submit spread with data.
Navigate to statement export screen&gt;search customer.</t>
        </is>
      </c>
      <c r="E37" s="232" t="inlineStr">
        <is>
          <t>User Observe Customer Name should show with special and ascent character.</t>
        </is>
      </c>
      <c r="F37" s="173" t="inlineStr">
        <is>
          <t>Pending</t>
        </is>
      </c>
      <c r="G37" s="174" t="inlineStr">
        <is>
          <t xml:space="preserve"> </t>
        </is>
      </c>
      <c r="H37" s="366" t="inlineStr">
        <is>
          <t>Done</t>
        </is>
      </c>
      <c r="I37" s="149" t="n"/>
      <c r="J37" s="55" t="n"/>
    </row>
    <row r="38" ht="84.75" customHeight="1">
      <c r="B38" s="11" t="inlineStr">
        <is>
          <t>Export_029</t>
        </is>
      </c>
      <c r="C38" s="233" t="inlineStr">
        <is>
          <t>Statement Export</t>
        </is>
      </c>
      <c r="D38" s="233" t="inlineStr">
        <is>
          <t>Go to Statement export screen.
Export any report.
Review the below fields in the excel report.
Target Currency.
Exchange Rate.
Source Currency.
Unit.</t>
        </is>
      </c>
      <c r="E38" s="233" t="inlineStr">
        <is>
          <t>Values in the eported statement show correctly for the user.</t>
        </is>
      </c>
      <c r="F38" s="173" t="inlineStr">
        <is>
          <t>Pending</t>
        </is>
      </c>
      <c r="G38" s="175" t="inlineStr">
        <is>
          <t xml:space="preserve"> </t>
        </is>
      </c>
      <c r="H38" s="366" t="inlineStr">
        <is>
          <t>Done</t>
        </is>
      </c>
      <c r="I38" s="149" t="n"/>
      <c r="J38" s="55" t="n"/>
    </row>
    <row r="39" ht="72.75" customHeight="1">
      <c r="B39" s="11" t="inlineStr">
        <is>
          <t>Export_030</t>
        </is>
      </c>
      <c r="C39" s="233" t="inlineStr">
        <is>
          <t>Statement Export</t>
        </is>
      </c>
      <c r="D39" s="233" t="inlineStr">
        <is>
          <t>Spreading screen and enter data in DateTime cell.
MM/DD/YYYY.
Save or submit spread.
User navigate to Statement export screen&gt;Select model&gt;search customers and Select customer&gt;export Report.</t>
        </is>
      </c>
      <c r="E39" s="233" t="inlineStr">
        <is>
          <t>User Launch exported excel and Data provided in the date time cell should show in exported excel.</t>
        </is>
      </c>
      <c r="F39" s="173" t="inlineStr">
        <is>
          <t>Pending</t>
        </is>
      </c>
      <c r="G39" s="175" t="inlineStr">
        <is>
          <t xml:space="preserve"> </t>
        </is>
      </c>
      <c r="H39" s="366" t="inlineStr">
        <is>
          <t>Done</t>
        </is>
      </c>
      <c r="I39" s="149" t="n"/>
      <c r="J39" s="55" t="n"/>
    </row>
    <row r="40" ht="120.75" customHeight="1">
      <c r="B40" s="11" t="inlineStr">
        <is>
          <t>Export_031</t>
        </is>
      </c>
      <c r="C40" s="233" t="inlineStr">
        <is>
          <t>Statement Export</t>
        </is>
      </c>
      <c r="D40" s="233" t="inlineStr">
        <is>
          <t>Create duplicate name customers and Add Items.
Submit spread for both the customer items with mapping values.
Navigate to Statement Export Screen.
1. Export both the customer together.
2. Export customers separately.
3. Check/Uncheck Consolidated workbook checkbox and export both customers.
4. Check/Uncheck Unit, Source Currency checkboxes and export both customers.</t>
        </is>
      </c>
      <c r="E40" s="234" t="inlineStr">
        <is>
          <t>The user should be able to create duplicate customers with unique Customer IDs.
Export customer should work properly when exported together.
Export customer should work properly when exported separately.</t>
        </is>
      </c>
      <c r="F40" s="173" t="inlineStr">
        <is>
          <t>Pending</t>
        </is>
      </c>
      <c r="G40" s="175" t="inlineStr">
        <is>
          <t xml:space="preserve"> </t>
        </is>
      </c>
      <c r="H40" s="366" t="inlineStr">
        <is>
          <t>Done</t>
        </is>
      </c>
      <c r="I40" s="149" t="n"/>
      <c r="J40" s="55" t="n"/>
    </row>
    <row r="41" ht="120.75" customHeight="1">
      <c r="B41" s="11" t="inlineStr">
        <is>
          <t>Export_032</t>
        </is>
      </c>
      <c r="C41" s="233" t="inlineStr">
        <is>
          <t>Statement Export</t>
        </is>
      </c>
      <c r="D41" s="234" t="inlineStr">
        <is>
          <t>Create 2 Long name customers and Add Items.
Submit spread for both the customer items with mapping values.
Navigate to Statement Export Screen.
1. Export both the customer together.
2. Export customers separately.
3. Check/Uncheck Consolidated workbook checkbox and export both customers.
4. Check/Uncheck Unit, Source Currency checkboxes and export both customers.</t>
        </is>
      </c>
      <c r="E41" s="234" t="inlineStr">
        <is>
          <t>The user should be able to create duplicate customers with unique Customer IDs.
Export customer should work properly when exported together.
Export customer should work properly when exported separately.</t>
        </is>
      </c>
      <c r="F41" s="173" t="inlineStr">
        <is>
          <t>Pending</t>
        </is>
      </c>
      <c r="G41" s="175" t="inlineStr">
        <is>
          <t xml:space="preserve"> </t>
        </is>
      </c>
      <c r="H41" s="366" t="inlineStr">
        <is>
          <t>Done</t>
        </is>
      </c>
      <c r="I41" s="149" t="n"/>
      <c r="J41" s="55" t="n"/>
    </row>
    <row r="42">
      <c r="B42" s="11" t="inlineStr">
        <is>
          <t>Export_033</t>
        </is>
      </c>
      <c r="C42" s="233" t="inlineStr">
        <is>
          <t>Export</t>
        </is>
      </c>
      <c r="D42" s="233" t="inlineStr">
        <is>
          <t>Click single customer.</t>
        </is>
      </c>
      <c r="E42" s="233" t="inlineStr">
        <is>
          <t>User Observe report check box is Auto selected.</t>
        </is>
      </c>
      <c r="F42" s="173" t="inlineStr">
        <is>
          <t>Pending</t>
        </is>
      </c>
      <c r="G42" s="175" t="inlineStr">
        <is>
          <t xml:space="preserve"> </t>
        </is>
      </c>
      <c r="H42" s="366" t="inlineStr">
        <is>
          <t>Done</t>
        </is>
      </c>
      <c r="I42" s="149" t="n"/>
      <c r="J42" s="55" t="n"/>
    </row>
    <row r="43" ht="24.75" customHeight="1">
      <c r="B43" s="11" t="inlineStr">
        <is>
          <t>Export_034</t>
        </is>
      </c>
      <c r="C43" s="233" t="inlineStr">
        <is>
          <t>Export</t>
        </is>
      </c>
      <c r="D43" s="233" t="inlineStr">
        <is>
          <t>Click Multiple Customer.</t>
        </is>
      </c>
      <c r="E43" s="233" t="inlineStr">
        <is>
          <t>Observe Report CheckBox de select and disabled Automatically.</t>
        </is>
      </c>
      <c r="F43" s="173" t="inlineStr">
        <is>
          <t>Pending</t>
        </is>
      </c>
      <c r="G43" s="175" t="inlineStr">
        <is>
          <t xml:space="preserve"> </t>
        </is>
      </c>
      <c r="H43" s="366" t="inlineStr">
        <is>
          <t>Done</t>
        </is>
      </c>
      <c r="I43" s="149" t="n"/>
      <c r="J43" s="55" t="n"/>
    </row>
    <row r="44">
      <c r="B44" s="11" t="inlineStr">
        <is>
          <t>Export_035</t>
        </is>
      </c>
      <c r="C44" s="233" t="inlineStr">
        <is>
          <t>Export</t>
        </is>
      </c>
      <c r="D44" s="233" t="inlineStr">
        <is>
          <t>User Deselect All customer.</t>
        </is>
      </c>
      <c r="E44" s="233" t="inlineStr">
        <is>
          <t>User Observe report check box is eabled but deselected.</t>
        </is>
      </c>
      <c r="F44" s="173" t="inlineStr">
        <is>
          <t>Pending</t>
        </is>
      </c>
      <c r="G44" s="175" t="inlineStr">
        <is>
          <t xml:space="preserve"> </t>
        </is>
      </c>
      <c r="H44" s="366" t="inlineStr">
        <is>
          <t>Done</t>
        </is>
      </c>
      <c r="I44" s="149" t="n"/>
      <c r="J44" s="180" t="inlineStr">
        <is>
          <t>Product Backlog Item 88304</t>
        </is>
      </c>
    </row>
  </sheetData>
  <mergeCells count="7">
    <mergeCell ref="B6:C6"/>
    <mergeCell ref="B7:C7"/>
    <mergeCell ref="B2:F2"/>
    <mergeCell ref="B3:C3"/>
    <mergeCell ref="B5:C5"/>
    <mergeCell ref="B8:C8"/>
    <mergeCell ref="B4:C4"/>
  </mergeCells>
  <conditionalFormatting sqref="D3">
    <cfRule type="expression" priority="57" dxfId="51" stopIfTrue="1">
      <formula>AND(COUNTIF($A$8:$A$8, D3)+COUNTIF(#REF!, D3)&gt;1,NOT(ISBLANK(D3)))</formula>
    </cfRule>
  </conditionalFormatting>
  <conditionalFormatting sqref="D4">
    <cfRule type="cellIs" priority="56" operator="lessThan" dxfId="10" stopIfTrue="1">
      <formula>1</formula>
    </cfRule>
  </conditionalFormatting>
  <conditionalFormatting sqref="D4:D8">
    <cfRule type="cellIs" priority="51" operator="greaterThan" dxfId="9" stopIfTrue="1">
      <formula>0</formula>
    </cfRule>
    <cfRule type="cellIs" priority="52" operator="greaterThan" dxfId="9" stopIfTrue="1">
      <formula>1</formula>
    </cfRule>
    <cfRule type="cellIs" priority="53" operator="greaterThan" dxfId="10" stopIfTrue="1">
      <formula>0</formula>
    </cfRule>
    <cfRule type="cellIs" priority="54" operator="greaterThan" dxfId="10" stopIfTrue="1">
      <formula>1</formula>
    </cfRule>
    <cfRule type="cellIs" priority="55" operator="equal" dxfId="9" stopIfTrue="1">
      <formula>$C$3</formula>
    </cfRule>
  </conditionalFormatting>
  <conditionalFormatting sqref="D5">
    <cfRule type="cellIs" priority="16" operator="lessThan" dxfId="10" stopIfTrue="1">
      <formula>1</formula>
    </cfRule>
  </conditionalFormatting>
  <conditionalFormatting sqref="D5:E8">
    <cfRule type="cellIs" priority="20" operator="lessThan" dxfId="10" stopIfTrue="1">
      <formula>1</formula>
    </cfRule>
  </conditionalFormatting>
  <conditionalFormatting sqref="E4">
    <cfRule type="cellIs" priority="46" operator="equal" dxfId="9" stopIfTrue="1">
      <formula>1</formula>
    </cfRule>
    <cfRule type="cellIs" priority="47" operator="lessThan" dxfId="10" stopIfTrue="1">
      <formula>1</formula>
    </cfRule>
  </conditionalFormatting>
  <conditionalFormatting sqref="E5:E8">
    <cfRule type="cellIs" priority="17" operator="equal" dxfId="9" stopIfTrue="1">
      <formula>1</formula>
    </cfRule>
    <cfRule type="cellIs" priority="18" operator="lessThan" dxfId="10" stopIfTrue="1">
      <formula>1</formula>
    </cfRule>
    <cfRule type="cellIs" priority="19" operator="equal" dxfId="9" stopIfTrue="1">
      <formula>1</formula>
    </cfRule>
  </conditionalFormatting>
  <conditionalFormatting sqref="E4:F4">
    <cfRule type="cellIs" priority="42" operator="equal" dxfId="9" stopIfTrue="1">
      <formula>1</formula>
    </cfRule>
    <cfRule type="cellIs" priority="43" operator="lessThan" dxfId="10" stopIfTrue="1">
      <formula>1</formula>
    </cfRule>
  </conditionalFormatting>
  <conditionalFormatting sqref="F4">
    <cfRule type="cellIs" priority="40" operator="equal" dxfId="9" stopIfTrue="1">
      <formula>1</formula>
    </cfRule>
    <cfRule type="cellIs" priority="41" operator="lessThan" dxfId="10" stopIfTrue="1">
      <formula>1</formula>
    </cfRule>
  </conditionalFormatting>
  <conditionalFormatting sqref="F5">
    <cfRule type="cellIs" priority="36" operator="greaterThan" dxfId="10" stopIfTrue="1">
      <formula>0</formula>
    </cfRule>
    <cfRule type="cellIs" priority="37" operator="equal" dxfId="9" stopIfTrue="1">
      <formula>0</formula>
    </cfRule>
    <cfRule type="cellIs" priority="38" operator="greaterThan" dxfId="10" stopIfTrue="1">
      <formula>0</formula>
    </cfRule>
    <cfRule type="cellIs" priority="39" operator="equal" dxfId="9" stopIfTrue="1">
      <formula>0</formula>
    </cfRule>
  </conditionalFormatting>
  <conditionalFormatting sqref="F6">
    <cfRule type="cellIs" priority="34" operator="equal" dxfId="9" stopIfTrue="1">
      <formula>0</formula>
    </cfRule>
    <cfRule type="cellIs" priority="35" operator="greaterThan" dxfId="22" stopIfTrue="1">
      <formula>0</formula>
    </cfRule>
  </conditionalFormatting>
  <conditionalFormatting sqref="F6:F7">
    <cfRule type="cellIs" priority="30" operator="equal" dxfId="9" stopIfTrue="1">
      <formula>0</formula>
    </cfRule>
    <cfRule type="cellIs" priority="31" operator="greaterThan" dxfId="22" stopIfTrue="1">
      <formula>0</formula>
    </cfRule>
  </conditionalFormatting>
  <conditionalFormatting sqref="F7:F8">
    <cfRule type="cellIs" priority="26" operator="equal" dxfId="9" stopIfTrue="1">
      <formula>0</formula>
    </cfRule>
    <cfRule type="cellIs" priority="27" operator="greaterThan" dxfId="22" stopIfTrue="1">
      <formula>0</formula>
    </cfRule>
  </conditionalFormatting>
  <conditionalFormatting sqref="F8">
    <cfRule type="cellIs" priority="24" operator="equal" dxfId="9" stopIfTrue="1">
      <formula>0</formula>
    </cfRule>
    <cfRule type="cellIs" priority="25" operator="greaterThan" dxfId="22" stopIfTrue="1">
      <formula>0</formula>
    </cfRule>
  </conditionalFormatting>
  <conditionalFormatting sqref="F10:F36">
    <cfRule type="cellIs" priority="58" operator="equal" dxfId="6" stopIfTrue="1">
      <formula>"NA"</formula>
    </cfRule>
    <cfRule type="cellIs" priority="59" operator="equal" dxfId="5" stopIfTrue="1">
      <formula>"Blocked"</formula>
    </cfRule>
    <cfRule type="cellIs" priority="60" operator="equal" dxfId="4" stopIfTrue="1">
      <formula>"Pending"</formula>
    </cfRule>
    <cfRule type="cellIs" priority="61" operator="equal" dxfId="0" stopIfTrue="1">
      <formula>"Passed"</formula>
    </cfRule>
    <cfRule type="cellIs" priority="62" operator="equal" dxfId="1" stopIfTrue="1">
      <formula>"Failed"</formula>
    </cfRule>
    <cfRule type="cellIs" priority="63" operator="equal" dxfId="1" stopIfTrue="1">
      <formula>"Fail"</formula>
    </cfRule>
    <cfRule type="cellIs" priority="64" operator="equal" dxfId="0" stopIfTrue="1">
      <formula>"Pass"</formula>
    </cfRule>
  </conditionalFormatting>
  <conditionalFormatting sqref="G5:G8">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0:H44">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36" showDropDown="0" showInputMessage="1" showErrorMessage="1" allowBlank="1" type="list">
      <formula1>"Passed,Failed,Blocked,Pending,NA"</formula1>
    </dataValidation>
    <dataValidation sqref="H10:H44" showDropDown="0" showInputMessage="1" showErrorMessage="1" allowBlank="1" type="list">
      <formula1>"Done,Blocked,Pending,Out of Scope"</formula1>
    </dataValidation>
  </dataValidations>
  <hyperlinks>
    <hyperlink xmlns:r="http://schemas.openxmlformats.org/officeDocument/2006/relationships" ref="J44" r:id="rId1"/>
  </hyperlink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B2:J61"/>
  <sheetViews>
    <sheetView showGridLines="0" zoomScaleNormal="100" workbookViewId="0">
      <selection activeCell="D8" sqref="D8"/>
    </sheetView>
  </sheetViews>
  <sheetFormatPr baseColWidth="8" defaultRowHeight="15"/>
  <cols>
    <col width="5" customWidth="1" min="1" max="1"/>
    <col width="13.85546875" customWidth="1" min="2" max="2"/>
    <col width="24.85546875" customWidth="1" min="3" max="3"/>
    <col width="55.140625" customWidth="1" min="4" max="4"/>
    <col width="48.85546875" customWidth="1" min="5" max="5"/>
    <col width="14.85546875" customWidth="1" style="6" min="7" max="7"/>
    <col width="24.7109375" customWidth="1" style="6" min="8" max="8"/>
    <col width="14.85546875" customWidth="1" style="6" min="9" max="9"/>
    <col width="11.42578125" customWidth="1" min="10"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COUNTIF(F9:F103,"Passed")</f>
        <v/>
      </c>
      <c r="E4" s="53">
        <f>IF(D4=0,,(D4/(D4+D5)))</f>
        <v/>
      </c>
      <c r="F4" s="51">
        <f>IF(D3=0,,(D4/D3))</f>
        <v/>
      </c>
      <c r="G4" s="156">
        <f>COUNTIF(H10:H488,"Done")</f>
        <v/>
      </c>
    </row>
    <row r="5" ht="15.75" customHeight="1" thickBot="1">
      <c r="B5" s="350" t="inlineStr">
        <is>
          <t>Failed</t>
        </is>
      </c>
      <c r="D5" s="52">
        <f>COUNTIF(F9:F103,"Failed")</f>
        <v/>
      </c>
      <c r="E5" s="53">
        <f>IF(D5=0,,(D5/(D5+D6)))</f>
        <v/>
      </c>
      <c r="F5" s="51">
        <f>IF(D3=0,,(D5/D3))</f>
        <v/>
      </c>
      <c r="G5" s="52">
        <f>COUNTIF(H10:H488,"Failed")</f>
        <v/>
      </c>
    </row>
    <row r="6" ht="15.75" customHeight="1" thickBot="1">
      <c r="B6" s="350" t="inlineStr">
        <is>
          <t>Blocked</t>
        </is>
      </c>
      <c r="D6" s="52">
        <f>COUNTIF(F9:F103,"Blocked")</f>
        <v/>
      </c>
      <c r="E6" s="53">
        <f>IF(D6=0,,(D6/(D6+D7)))</f>
        <v/>
      </c>
      <c r="F6" s="51">
        <f>IF(D3=0,,(D6/D3))</f>
        <v/>
      </c>
      <c r="G6" s="52">
        <f>COUNTIF(H10:H488,"Blocked")</f>
        <v/>
      </c>
    </row>
    <row r="7" ht="15.75" customHeight="1" thickBot="1">
      <c r="B7" s="350" t="inlineStr">
        <is>
          <t>Pending</t>
        </is>
      </c>
      <c r="D7" s="52">
        <f>COUNTIF(F9:F500,"Pending")</f>
        <v/>
      </c>
      <c r="E7" s="53">
        <f>IF(D7=0,,(D7/(D7+D8)))</f>
        <v/>
      </c>
      <c r="F7" s="51">
        <f>IF(D3=0,,(D7/D3))</f>
        <v/>
      </c>
      <c r="G7" s="52">
        <f>COUNTIF(H10:H488,"Pending")</f>
        <v/>
      </c>
    </row>
    <row r="8" ht="15.75" customHeight="1" thickBot="1">
      <c r="B8" s="350" t="inlineStr">
        <is>
          <t>Not Applicable</t>
        </is>
      </c>
      <c r="D8" s="52">
        <f>COUNTIF(F9:F103,"Not Applicable")</f>
        <v/>
      </c>
      <c r="E8" s="53">
        <f>IF(D8=0,,(D8/(D8+#REF!)))</f>
        <v/>
      </c>
      <c r="F8" s="51">
        <f>IF(D3=0,,(D8/D3))</f>
        <v/>
      </c>
      <c r="G8" s="52">
        <f>COUNTIF(H10:H488,"Out of Scope")</f>
        <v/>
      </c>
    </row>
    <row r="9" ht="15.75" customHeight="1" thickBot="1">
      <c r="B9" s="9" t="inlineStr">
        <is>
          <t>S.No.</t>
        </is>
      </c>
      <c r="C9" s="8" t="inlineStr">
        <is>
          <t>Module/Sub-Module</t>
        </is>
      </c>
      <c r="D9" s="10" t="inlineStr">
        <is>
          <t>Test Steps</t>
        </is>
      </c>
      <c r="E9" s="8" t="inlineStr">
        <is>
          <t>Expected Results</t>
        </is>
      </c>
      <c r="F9" s="8" t="inlineStr">
        <is>
          <t>Result</t>
        </is>
      </c>
      <c r="G9" s="8" t="inlineStr">
        <is>
          <t>Bug ID</t>
        </is>
      </c>
      <c r="H9" s="8" t="inlineStr">
        <is>
          <t>Automation Status</t>
        </is>
      </c>
      <c r="I9" s="8" t="inlineStr">
        <is>
          <t>Mapped Scripts</t>
        </is>
      </c>
      <c r="J9" s="2" t="inlineStr">
        <is>
          <t>Comments</t>
        </is>
      </c>
    </row>
    <row r="10" ht="24" customHeight="1">
      <c r="B10" s="133" t="inlineStr">
        <is>
          <t>Model_001</t>
        </is>
      </c>
      <c r="C10" s="11" t="inlineStr">
        <is>
          <t>Create Model</t>
        </is>
      </c>
      <c r="D10" s="11" t="inlineStr">
        <is>
          <t>Log in to SS as Manager&gt;Spreading.
Models&gt;click create Model.</t>
        </is>
      </c>
      <c r="E10" s="24" t="inlineStr">
        <is>
          <t>Create Model screen should be launched.</t>
        </is>
      </c>
      <c r="F10" s="26" t="inlineStr">
        <is>
          <t>Pending</t>
        </is>
      </c>
      <c r="G10" s="119" t="n"/>
      <c r="H10" s="154" t="inlineStr">
        <is>
          <t>Done</t>
        </is>
      </c>
      <c r="I10" s="161" t="n"/>
      <c r="J10" s="55" t="n"/>
    </row>
    <row r="11" ht="36" customHeight="1">
      <c r="B11" s="133" t="inlineStr">
        <is>
          <t>Model_002</t>
        </is>
      </c>
      <c r="C11" s="11" t="inlineStr">
        <is>
          <t>Create Model</t>
        </is>
      </c>
      <c r="D11" s="11" t="inlineStr">
        <is>
          <t>Log in to SS as Analyst&gt;Spreading.
Models&gt;Observe Create model button should not be present.
Only Existing models menu should be there.</t>
        </is>
      </c>
      <c r="E11" s="24" t="inlineStr">
        <is>
          <t>Analyst should not have access to create model.</t>
        </is>
      </c>
      <c r="F11" s="26" t="inlineStr">
        <is>
          <t>Pending</t>
        </is>
      </c>
      <c r="G11" s="119" t="n"/>
      <c r="H11" s="366" t="inlineStr">
        <is>
          <t>Done</t>
        </is>
      </c>
      <c r="I11" s="161" t="n"/>
      <c r="J11" s="55" t="n"/>
    </row>
    <row r="12" ht="192" customHeight="1">
      <c r="B12" s="133" t="inlineStr">
        <is>
          <t>Model_003</t>
        </is>
      </c>
      <c r="C12" s="11" t="inlineStr">
        <is>
          <t>Create Model</t>
        </is>
      </c>
      <c r="D12" s="11" t="inlineStr">
        <is>
          <t>Verify that the user can add the new Model.
User will redirect to create model and see option:
Format painter.
Border style.
Validation.
Formula.
Clear format.
Clear all.
Font size.
Text format.
Text colour.
Fill colour.
Group Row.
Ungroup Row.
Conditional formatting and.
Save Model.</t>
        </is>
      </c>
      <c r="E12" s="24" t="inlineStr">
        <is>
          <t>Mentioned options should be present in Model screen.</t>
        </is>
      </c>
      <c r="F12" s="26" t="inlineStr">
        <is>
          <t>Pending</t>
        </is>
      </c>
      <c r="G12" s="119" t="n"/>
      <c r="H12" s="366" t="inlineStr">
        <is>
          <t>Done</t>
        </is>
      </c>
      <c r="I12" s="161" t="n"/>
      <c r="J12" s="55" t="n"/>
    </row>
    <row r="13" ht="108" customHeight="1">
      <c r="B13" s="133" t="inlineStr">
        <is>
          <t>Model_004</t>
        </is>
      </c>
      <c r="C13" s="11" t="inlineStr">
        <is>
          <t>Create Model</t>
        </is>
      </c>
      <c r="D13" s="11" t="inlineStr">
        <is>
          <t>Verify that the user can see the excel model page with below column name:
Account.
Type.
Formula.
Data Type.
Data Length.
Shortcut.
Unit scale conversion.</t>
        </is>
      </c>
      <c r="E13" s="24" t="inlineStr">
        <is>
          <t>Mentioned options should be present in Model screen.</t>
        </is>
      </c>
      <c r="F13" s="26" t="inlineStr">
        <is>
          <t>Pending</t>
        </is>
      </c>
      <c r="G13" s="119" t="n"/>
      <c r="H13" s="366" t="inlineStr">
        <is>
          <t>Done</t>
        </is>
      </c>
      <c r="I13" s="161" t="n"/>
      <c r="J13" s="55" t="n"/>
    </row>
    <row r="14" ht="180" customHeight="1">
      <c r="B14" s="133" t="inlineStr">
        <is>
          <t>Model_005</t>
        </is>
      </c>
      <c r="C14" s="11" t="inlineStr">
        <is>
          <t>Create Model</t>
        </is>
      </c>
      <c r="D14" s="11" t="inlineStr">
        <is>
          <t>Verify filling details while creating new model:
Account.
Type.
Formulas.
Data Type - Will be default as numeric, in case string is required customer to inform.
Data length - Zero to be default but editable option.
Shortcut - Only Category rows to be allowed as yes others to be as No.
Unit Scale Conversion - Validations, formulas, Category rows and empty rows to be default as No.
Value rows to be default as Yes - with option to be editable.
Formatting option on top to be restricted for the users except wrap text, group, ungroup and save.
Save option to be available for addition or changes done for Unit Scale and Decimal places.</t>
        </is>
      </c>
      <c r="E14" s="24" t="inlineStr">
        <is>
          <t>The user should be able to fill details and create model.</t>
        </is>
      </c>
      <c r="F14" s="26" t="inlineStr">
        <is>
          <t>Pending</t>
        </is>
      </c>
      <c r="G14" s="119" t="n"/>
      <c r="H14" s="366" t="inlineStr">
        <is>
          <t>Done</t>
        </is>
      </c>
      <c r="I14" s="161" t="n"/>
      <c r="J14" s="55" t="n"/>
    </row>
    <row r="15" ht="24" customHeight="1">
      <c r="B15" s="133" t="inlineStr">
        <is>
          <t>Model_006</t>
        </is>
      </c>
      <c r="C15" s="11" t="inlineStr">
        <is>
          <t>Create Model</t>
        </is>
      </c>
      <c r="D15" s="11" t="inlineStr">
        <is>
          <t>Verify that while saving a model, user should be asked for Model name, Taxonomy Group and Group.</t>
        </is>
      </c>
      <c r="E15" s="24" t="inlineStr">
        <is>
          <t>The user should be able to select all the asked details and save model after filling the details only.</t>
        </is>
      </c>
      <c r="F15" s="26" t="inlineStr">
        <is>
          <t>Pending</t>
        </is>
      </c>
      <c r="G15" s="119" t="n"/>
      <c r="H15" s="366" t="inlineStr">
        <is>
          <t>Done</t>
        </is>
      </c>
      <c r="I15" s="161" t="n"/>
      <c r="J15" s="55" t="n"/>
    </row>
    <row r="16" ht="36" customHeight="1">
      <c r="B16" s="133" t="inlineStr">
        <is>
          <t>Model_007</t>
        </is>
      </c>
      <c r="C16" s="11" t="inlineStr">
        <is>
          <t>Existing Model</t>
        </is>
      </c>
      <c r="D16" s="11" t="inlineStr">
        <is>
          <t>Log in to Spreadsmart as Analyst&gt;.
Navigate to Existing Models page by clicking Existing Models sub menu under Spreading menu.</t>
        </is>
      </c>
      <c r="E16" s="24" t="inlineStr">
        <is>
          <t>Existing models page will be displayed.</t>
        </is>
      </c>
      <c r="F16" s="26" t="inlineStr">
        <is>
          <t>Pending</t>
        </is>
      </c>
      <c r="G16" s="119" t="n"/>
      <c r="H16" s="366" t="inlineStr">
        <is>
          <t>Done</t>
        </is>
      </c>
      <c r="I16" s="161" t="n"/>
      <c r="J16" s="55" t="n"/>
    </row>
    <row r="17" ht="120" customHeight="1">
      <c r="B17" s="133" t="inlineStr">
        <is>
          <t>Model_008</t>
        </is>
      </c>
      <c r="C17" s="13" t="inlineStr">
        <is>
          <t>Existing Models</t>
        </is>
      </c>
      <c r="D17" s="13" t="inlineStr">
        <is>
          <t>Verify that model list screen show below options:
Model Name.
Creation Date.
Last modified date.
Created By.
Modified By.
Groups mapped.
Taxonomy groups mapped.
Status.
Action.</t>
        </is>
      </c>
      <c r="E17" s="23" t="inlineStr">
        <is>
          <t>Mentioned columns should be present in Model list screen.</t>
        </is>
      </c>
      <c r="F17" s="26" t="inlineStr">
        <is>
          <t>Pending</t>
        </is>
      </c>
      <c r="G17" s="109" t="n"/>
      <c r="H17" s="366" t="inlineStr">
        <is>
          <t>Done</t>
        </is>
      </c>
      <c r="I17" s="151" t="n"/>
      <c r="J17" s="55" t="n"/>
    </row>
    <row r="18" ht="240" customHeight="1">
      <c r="B18" s="133" t="inlineStr">
        <is>
          <t>Model_009</t>
        </is>
      </c>
      <c r="C18" s="13" t="inlineStr">
        <is>
          <t>Modify Model</t>
        </is>
      </c>
      <c r="D18" s="13" t="inlineStr">
        <is>
          <t>Verify that the user can modify existing model by click model or Modify button in action and should update data.
Account.
Type.
Formulas.
Data Type - Will be default as numeric, in case string is required customer to inform.
Data length - Zero to be default but editable option.
Shortcut - Only Category rows to be allowed as yes others to be as No.
Unit Scale Conversion - Validations, formulas, Category rows and empty rows to be default as No.
Value rows to be default as Yes - with option to be editable.
Formatting option on top to be restricted for the users except wrap text, group, ungroup and save.
Save option to be available for addition or changes done for Unit Scale and Decimal places.
Validations to be shown on top of the model, but that part to be default open as 'Grouped' always. Only user can ungroup in Spreading screen if required.</t>
        </is>
      </c>
      <c r="E18" s="23" t="inlineStr">
        <is>
          <t>The user should be able to modify data which is editable.</t>
        </is>
      </c>
      <c r="F18" s="26" t="inlineStr">
        <is>
          <t>Pending</t>
        </is>
      </c>
      <c r="G18" s="109" t="n"/>
      <c r="H18" s="366" t="inlineStr">
        <is>
          <t>Done</t>
        </is>
      </c>
      <c r="I18" s="151" t="n"/>
      <c r="J18" s="55" t="n"/>
    </row>
    <row r="19" ht="52.5" customHeight="1">
      <c r="B19" s="133" t="inlineStr">
        <is>
          <t>Model_010</t>
        </is>
      </c>
      <c r="C19" s="13" t="inlineStr">
        <is>
          <t>Add Template</t>
        </is>
      </c>
      <c r="D19" s="13" t="inlineStr">
        <is>
          <t>Verify that the user can Add template by click Add template option under Actions button.
1. Add template using Pdf.
2. Upload by Taxonomy.</t>
        </is>
      </c>
      <c r="E19" s="23" t="inlineStr">
        <is>
          <t>The user should be able to add template.</t>
        </is>
      </c>
      <c r="F19" s="26" t="inlineStr">
        <is>
          <t>Pending</t>
        </is>
      </c>
      <c r="G19" s="109" t="n"/>
      <c r="H19" s="366" t="inlineStr">
        <is>
          <t>Done</t>
        </is>
      </c>
      <c r="I19" s="151" t="n"/>
      <c r="J19" s="55" t="n"/>
    </row>
    <row r="20" ht="45" customHeight="1">
      <c r="B20" s="133" t="inlineStr">
        <is>
          <t>Model_011</t>
        </is>
      </c>
      <c r="C20" s="13" t="inlineStr">
        <is>
          <t>Add Template</t>
        </is>
      </c>
      <c r="D20" s="13" t="inlineStr">
        <is>
          <t>1. User should be able to upload PDF and submit.
2. Verify that Upload by Taxonomy option should navigate to Taxonomy screen and user able to select zones and keywords.</t>
        </is>
      </c>
      <c r="E20" s="23" t="inlineStr">
        <is>
          <t>The user should be able to add template using mentioned options.</t>
        </is>
      </c>
      <c r="F20" s="26" t="inlineStr">
        <is>
          <t>Pending</t>
        </is>
      </c>
      <c r="G20" s="109" t="n"/>
      <c r="H20" s="366" t="inlineStr">
        <is>
          <t>Done</t>
        </is>
      </c>
      <c r="I20" s="151" t="n"/>
      <c r="J20" s="55" t="n"/>
    </row>
    <row r="21" ht="48" customHeight="1">
      <c r="B21" s="133" t="inlineStr">
        <is>
          <t>Model_012</t>
        </is>
      </c>
      <c r="C21" s="13" t="inlineStr">
        <is>
          <t>Modify Template</t>
        </is>
      </c>
      <c r="D21" s="13" t="inlineStr">
        <is>
          <t>Verify that after adding template Modify template option is present instead of Add template.
Modify template should show the same screen as Add template screen.</t>
        </is>
      </c>
      <c r="E21" s="23" t="inlineStr">
        <is>
          <t>Modify template should replace the existingtemplate with new.</t>
        </is>
      </c>
      <c r="F21" s="26" t="inlineStr">
        <is>
          <t>Pending</t>
        </is>
      </c>
      <c r="G21" s="109" t="n"/>
      <c r="H21" s="366" t="inlineStr">
        <is>
          <t>Done</t>
        </is>
      </c>
      <c r="I21" s="151" t="n"/>
      <c r="J21" s="55" t="n"/>
    </row>
    <row r="22" ht="36" customHeight="1">
      <c r="B22" s="133" t="inlineStr">
        <is>
          <t>Model_013</t>
        </is>
      </c>
      <c r="C22" s="13" t="inlineStr">
        <is>
          <t>Configure Template</t>
        </is>
      </c>
      <c r="D22" s="13" t="inlineStr">
        <is>
          <t>Verify that user configure template option navigates user to similar screen like Spreading screen and user should be able to map data and submit.</t>
        </is>
      </c>
      <c r="E22" s="23" t="inlineStr">
        <is>
          <t>The user should be able to configure template using configure option in Action button.</t>
        </is>
      </c>
      <c r="F22" s="26" t="inlineStr">
        <is>
          <t>Pending</t>
        </is>
      </c>
      <c r="G22" s="109" t="n"/>
      <c r="H22" s="366" t="inlineStr">
        <is>
          <t>Done</t>
        </is>
      </c>
      <c r="I22" s="151" t="n"/>
      <c r="J22" s="55" t="n"/>
    </row>
    <row r="23" ht="60" customHeight="1">
      <c r="B23" s="133" t="inlineStr">
        <is>
          <t>Model_014</t>
        </is>
      </c>
      <c r="C23" s="13" t="inlineStr">
        <is>
          <t>Configure Template</t>
        </is>
      </c>
      <c r="D23" s="13" t="inlineStr">
        <is>
          <t>Configure template when Free text checkbox is selected.
Last page should show the data for the Freetext from the Notes Processing Management screen.
Set table&gt;select zone as Free Text&gt;map to model.
Submit spread.</t>
        </is>
      </c>
      <c r="E23" s="23" t="inlineStr">
        <is>
          <t>The user should be able to view free text data in the last page.
Free text zone should be available and should be set.
The user should be able to map values and submit.</t>
        </is>
      </c>
      <c r="F23" s="26" t="inlineStr">
        <is>
          <t>Pending</t>
        </is>
      </c>
      <c r="G23" s="109" t="n"/>
      <c r="H23" s="366" t="inlineStr">
        <is>
          <t>Done</t>
        </is>
      </c>
      <c r="I23" s="151" t="n"/>
      <c r="J23" s="55" t="n"/>
    </row>
    <row r="24" ht="72" customHeight="1">
      <c r="B24" s="133" t="inlineStr">
        <is>
          <t>Model_015</t>
        </is>
      </c>
      <c r="C24" s="13" t="inlineStr">
        <is>
          <t>Configure Template</t>
        </is>
      </c>
      <c r="D24" s="13" t="inlineStr">
        <is>
          <t>Verify Configured template in Spreading screen.
Select model with configured template in item.
When click spread button&gt;template yes or no button should appear.
Click Yes&gt; Spreading screen will show the template as base.
Click No&gt;There will be no base selected.</t>
        </is>
      </c>
      <c r="E24" s="23" t="inlineStr">
        <is>
          <t>The user should be able to select Template when try to spread.
Template should become base when select Yes.
No base should be present when select No.</t>
        </is>
      </c>
      <c r="F24" s="26" t="inlineStr">
        <is>
          <t>Pending</t>
        </is>
      </c>
      <c r="G24" s="109" t="n"/>
      <c r="H24" s="366" t="inlineStr">
        <is>
          <t>Done</t>
        </is>
      </c>
      <c r="I24" s="151" t="n"/>
      <c r="J24" s="55" t="n"/>
    </row>
    <row r="25" ht="72" customHeight="1">
      <c r="B25" s="133" t="inlineStr">
        <is>
          <t>Model_016</t>
        </is>
      </c>
      <c r="C25" s="13" t="inlineStr">
        <is>
          <t>Template Icons</t>
        </is>
      </c>
      <c r="D25" s="13" t="inlineStr">
        <is>
          <t>Verify Model when there is no Template added.
Verify Model icons when Template is added and not configured.
Verify Model icons when Template is added and saved as Draft.
Verify Model icons when Template is added and configured/Submitted.</t>
        </is>
      </c>
      <c r="E25" s="23" t="inlineStr">
        <is>
          <t>No icon should appear when no template is added.
Blue icon should appear for template added.
Yellow tick mark icon should appear next to blue icon for saved as draft template.
Green tick mark icon should appear when template is submitted.</t>
        </is>
      </c>
      <c r="F25" s="26" t="inlineStr">
        <is>
          <t>Pending</t>
        </is>
      </c>
      <c r="G25" s="109" t="n"/>
      <c r="H25" s="366" t="inlineStr">
        <is>
          <t>Done</t>
        </is>
      </c>
      <c r="I25" s="151" t="n"/>
      <c r="J25" s="55" t="n"/>
    </row>
    <row r="26" ht="24" customHeight="1">
      <c r="B26" s="133" t="inlineStr">
        <is>
          <t>Model_017</t>
        </is>
      </c>
      <c r="C26" s="13" t="inlineStr">
        <is>
          <t>Free Text</t>
        </is>
      </c>
      <c r="D26" s="13" t="inlineStr">
        <is>
          <t>Verify checking/unchecking Free text popup during Template creation.</t>
        </is>
      </c>
      <c r="E26" s="23" t="inlineStr">
        <is>
          <t>Check uncheck should work in check box.</t>
        </is>
      </c>
      <c r="F26" s="26" t="inlineStr">
        <is>
          <t>Pending</t>
        </is>
      </c>
      <c r="G26" s="109" t="n"/>
      <c r="H26" s="366" t="inlineStr">
        <is>
          <t>Done</t>
        </is>
      </c>
      <c r="I26" s="151" t="n"/>
      <c r="J26" s="55" t="n"/>
    </row>
    <row r="27" ht="36" customHeight="1">
      <c r="B27" s="133" t="inlineStr">
        <is>
          <t>Model_018</t>
        </is>
      </c>
      <c r="C27" s="13" t="inlineStr">
        <is>
          <t>Free Text</t>
        </is>
      </c>
      <c r="D27" s="13" t="inlineStr">
        <is>
          <t>Verify Template configure screen when free text words are checked.
Verify when keywords are not selected.</t>
        </is>
      </c>
      <c r="E27" s="23" t="inlineStr">
        <is>
          <t>Last page should display list of keywords when checkbox selected.
Otherwise free text page should not be present.</t>
        </is>
      </c>
      <c r="F27" s="26" t="inlineStr">
        <is>
          <t>Pending</t>
        </is>
      </c>
      <c r="G27" s="109" t="n"/>
      <c r="H27" s="366" t="inlineStr">
        <is>
          <t>Done</t>
        </is>
      </c>
      <c r="I27" s="151" t="n"/>
      <c r="J27" s="55" t="n"/>
    </row>
    <row r="28" ht="48" customHeight="1">
      <c r="B28" s="133" t="inlineStr">
        <is>
          <t>Model_019</t>
        </is>
      </c>
      <c r="C28" s="13" t="inlineStr">
        <is>
          <t>Free Text</t>
        </is>
      </c>
      <c r="D28" s="13" t="inlineStr">
        <is>
          <t>Set free text zone in template configuration screen&gt;Map free text values and submit.
Verify user should be able to use template in Spreading screen while autofilling all keywords.</t>
        </is>
      </c>
      <c r="E28" s="23" t="inlineStr">
        <is>
          <t>Free text mapping should be done and template should be used as base in spreading.</t>
        </is>
      </c>
      <c r="F28" s="26" t="inlineStr">
        <is>
          <t>Pending</t>
        </is>
      </c>
      <c r="G28" s="109" t="n"/>
      <c r="H28" s="366" t="inlineStr">
        <is>
          <t>Done</t>
        </is>
      </c>
      <c r="I28" s="151" t="n"/>
      <c r="J28" s="55" t="n"/>
    </row>
    <row r="29" ht="24" customHeight="1">
      <c r="B29" s="133" t="inlineStr">
        <is>
          <t>Model_020</t>
        </is>
      </c>
      <c r="C29" s="13" t="inlineStr">
        <is>
          <t>Autofill - Template</t>
        </is>
      </c>
      <c r="D29" s="13" t="inlineStr">
        <is>
          <t>In template configuration screen&gt;autofill from previous template.
Autofill page by page and then all pages both.</t>
        </is>
      </c>
      <c r="E29" s="23" t="inlineStr">
        <is>
          <t>Autofill should happen when modify existing template and autofill from base.</t>
        </is>
      </c>
      <c r="F29" s="26" t="inlineStr">
        <is>
          <t>Pending</t>
        </is>
      </c>
      <c r="G29" s="109" t="n"/>
      <c r="H29" s="366" t="inlineStr">
        <is>
          <t>Done</t>
        </is>
      </c>
      <c r="I29" s="151" t="n"/>
      <c r="J29" s="55" t="n"/>
    </row>
    <row r="30" ht="48" customHeight="1">
      <c r="B30" s="133" t="inlineStr">
        <is>
          <t>Model_021</t>
        </is>
      </c>
      <c r="C30" s="13" t="inlineStr">
        <is>
          <t>Audit Logs</t>
        </is>
      </c>
      <c r="D30" s="13" t="inlineStr">
        <is>
          <t>Verify that Audit Logs option gets enable only after user add template, else should be disabled.
Audit Logs should show Template name, file name, Model, Action, Date, User and comments.</t>
        </is>
      </c>
      <c r="E30" s="23" t="inlineStr">
        <is>
          <t>Audit Logs should show mentioned options only.</t>
        </is>
      </c>
      <c r="F30" s="26" t="inlineStr">
        <is>
          <t>Pending</t>
        </is>
      </c>
      <c r="G30" s="109" t="n"/>
      <c r="H30" s="366" t="inlineStr">
        <is>
          <t>Done</t>
        </is>
      </c>
      <c r="I30" s="151" t="n"/>
      <c r="J30" s="55" t="n"/>
    </row>
    <row r="31" ht="24" customHeight="1">
      <c r="B31" s="133" t="inlineStr">
        <is>
          <t>Model_022</t>
        </is>
      </c>
      <c r="C31" s="13" t="inlineStr">
        <is>
          <t>Clone Model</t>
        </is>
      </c>
      <c r="D31" s="13" t="inlineStr">
        <is>
          <t>Verify that the user can create a copy of model by click Clone model.</t>
        </is>
      </c>
      <c r="E31" s="23" t="inlineStr">
        <is>
          <t>Clone model should work as mentioned.</t>
        </is>
      </c>
      <c r="F31" s="26" t="inlineStr">
        <is>
          <t>Pending</t>
        </is>
      </c>
      <c r="G31" s="109" t="n"/>
      <c r="H31" s="366" t="inlineStr">
        <is>
          <t>Done</t>
        </is>
      </c>
      <c r="I31" s="151" t="n"/>
      <c r="J31" s="55" t="n"/>
    </row>
    <row r="32" ht="48" customHeight="1">
      <c r="B32" s="133" t="inlineStr">
        <is>
          <t>Model_023</t>
        </is>
      </c>
      <c r="C32" s="13" t="inlineStr">
        <is>
          <t>Copy Template</t>
        </is>
      </c>
      <c r="D32" s="13" t="inlineStr">
        <is>
          <t>Verify copy template button when model is cloned with same group and taxonomy group.
Add/modify template &gt; observe copy existing template button.
Select Model name and set template name and save.</t>
        </is>
      </c>
      <c r="E32" s="23" t="inlineStr">
        <is>
          <t>Copy existing template button should only come when group and taxonomy groups are same.
The user should be able to copy template from existing. Template should be directly configured.</t>
        </is>
      </c>
      <c r="F32" s="26" t="inlineStr">
        <is>
          <t>Pending</t>
        </is>
      </c>
      <c r="G32" s="107" t="inlineStr">
        <is>
          <t>Applicable in CL only.</t>
        </is>
      </c>
      <c r="H32" s="366" t="inlineStr">
        <is>
          <t>Done</t>
        </is>
      </c>
      <c r="I32" s="162" t="n"/>
      <c r="J32" s="55" t="n"/>
    </row>
    <row r="33" ht="24" customHeight="1">
      <c r="B33" s="133" t="inlineStr">
        <is>
          <t>Model_024</t>
        </is>
      </c>
      <c r="C33" s="13" t="inlineStr">
        <is>
          <t>Export</t>
        </is>
      </c>
      <c r="D33" s="13" t="inlineStr">
        <is>
          <t>Verify that the user can export Model into excel by click Export option in Action button.</t>
        </is>
      </c>
      <c r="E33" s="23" t="inlineStr">
        <is>
          <t>Model should be exported into excel.</t>
        </is>
      </c>
      <c r="F33" s="26" t="inlineStr">
        <is>
          <t>Pending</t>
        </is>
      </c>
      <c r="G33" s="109" t="n"/>
      <c r="H33" s="366" t="inlineStr">
        <is>
          <t>Done</t>
        </is>
      </c>
      <c r="I33" s="151" t="n"/>
      <c r="J33" s="55" t="n"/>
    </row>
    <row r="34">
      <c r="B34" s="133" t="inlineStr">
        <is>
          <t>Model_025</t>
        </is>
      </c>
      <c r="C34" s="13" t="inlineStr">
        <is>
          <t>Active</t>
        </is>
      </c>
      <c r="D34" s="13" t="inlineStr">
        <is>
          <t>Verify that the user can Active/inactive the model.</t>
        </is>
      </c>
      <c r="E34" s="23" t="inlineStr">
        <is>
          <t>Active/Inactive should work.</t>
        </is>
      </c>
      <c r="F34" s="26" t="inlineStr">
        <is>
          <t>Pending</t>
        </is>
      </c>
      <c r="G34" s="109" t="n"/>
      <c r="H34" s="366" t="inlineStr">
        <is>
          <t>Done</t>
        </is>
      </c>
      <c r="I34" s="151" t="n"/>
      <c r="J34" s="55" t="n"/>
    </row>
    <row r="35" ht="48" customHeight="1">
      <c r="B35" s="133" t="inlineStr">
        <is>
          <t>Model_026</t>
        </is>
      </c>
      <c r="C35" s="13" t="inlineStr">
        <is>
          <t>Filters</t>
        </is>
      </c>
      <c r="D35" s="13" t="inlineStr">
        <is>
          <t>Verify that the user can filter customer using the filters present in Existing Models screen.
Apply Last Modified Date Range.
Select Access group(s).</t>
        </is>
      </c>
      <c r="E35" s="23" t="inlineStr">
        <is>
          <t>The user should be able to search by used filters.</t>
        </is>
      </c>
      <c r="F35" s="26" t="inlineStr">
        <is>
          <t>Pending</t>
        </is>
      </c>
      <c r="G35" s="109" t="n"/>
      <c r="H35" s="366" t="inlineStr">
        <is>
          <t>Done</t>
        </is>
      </c>
      <c r="I35" s="151" t="n"/>
      <c r="J35" s="55" t="n"/>
    </row>
    <row r="36">
      <c r="B36" s="133" t="inlineStr">
        <is>
          <t>Model_027</t>
        </is>
      </c>
      <c r="C36" s="13" t="inlineStr">
        <is>
          <t>Search</t>
        </is>
      </c>
      <c r="D36" s="13" t="inlineStr">
        <is>
          <t>Verify that the user can Search by Model Name.</t>
        </is>
      </c>
      <c r="E36" s="23" t="inlineStr">
        <is>
          <t>The user should be able to search.</t>
        </is>
      </c>
      <c r="F36" s="26" t="inlineStr">
        <is>
          <t>Pending</t>
        </is>
      </c>
      <c r="G36" s="109" t="n"/>
      <c r="H36" s="366" t="inlineStr">
        <is>
          <t>Done</t>
        </is>
      </c>
      <c r="I36" s="151" t="n"/>
      <c r="J36" s="55" t="n"/>
    </row>
    <row r="37" ht="24" customHeight="1">
      <c r="B37" s="133" t="inlineStr">
        <is>
          <t>Model_028</t>
        </is>
      </c>
      <c r="C37" s="13" t="inlineStr">
        <is>
          <t>Reset</t>
        </is>
      </c>
      <c r="D37" s="13" t="inlineStr">
        <is>
          <t>Verify that the user can reset the filters applied, by click Reset button.</t>
        </is>
      </c>
      <c r="E37" s="23" t="inlineStr">
        <is>
          <t>Reset should work.</t>
        </is>
      </c>
      <c r="F37" s="26" t="inlineStr">
        <is>
          <t>Pending</t>
        </is>
      </c>
      <c r="G37" s="109" t="n"/>
      <c r="H37" s="366" t="inlineStr">
        <is>
          <t>Done</t>
        </is>
      </c>
      <c r="I37" s="151" t="n"/>
      <c r="J37" s="55" t="n"/>
    </row>
    <row r="38" ht="36" customHeight="1">
      <c r="B38" s="133" t="inlineStr">
        <is>
          <t>Model_029</t>
        </is>
      </c>
      <c r="C38" s="13" t="inlineStr">
        <is>
          <t>Clone Model</t>
        </is>
      </c>
      <c r="D38" s="13" t="inlineStr">
        <is>
          <t>Clone any existing model&gt;any modify the line items.
Add template&gt;view modified line items.
Map values and submit spread.</t>
        </is>
      </c>
      <c r="E38" s="23" t="inlineStr">
        <is>
          <t>The user should be able to clone model and edit line items.
Mapping should be done and submitted in template.</t>
        </is>
      </c>
      <c r="F38" s="26" t="inlineStr">
        <is>
          <t>Pending</t>
        </is>
      </c>
      <c r="G38" s="109" t="n"/>
      <c r="H38" s="366" t="inlineStr">
        <is>
          <t>Done</t>
        </is>
      </c>
      <c r="I38" s="151" t="n"/>
      <c r="J38" s="55" t="n"/>
    </row>
    <row r="39" ht="72" customHeight="1">
      <c r="B39" s="133" t="inlineStr">
        <is>
          <t>Model_030</t>
        </is>
      </c>
      <c r="C39" s="13" t="inlineStr">
        <is>
          <t>Template Modify</t>
        </is>
      </c>
      <c r="D39" s="13" t="inlineStr">
        <is>
          <t>Precondition:
Template should be configured in a model.
1. Update complete taxonomy list, replace existing keywords with new.
2. Modify Template&gt;select keywords, zones&gt;create template.
3. Configure Template again.</t>
        </is>
      </c>
      <c r="E39" s="23" t="inlineStr">
        <is>
          <t>The user should be able to replace keywords.
While modifying, keywords should not be duplicated.
Template should be configured with updated keywords.</t>
        </is>
      </c>
      <c r="F39" s="26" t="inlineStr">
        <is>
          <t>Pending</t>
        </is>
      </c>
      <c r="G39" s="109" t="n"/>
      <c r="H39" s="366" t="inlineStr">
        <is>
          <t>Done</t>
        </is>
      </c>
      <c r="I39" s="151" t="n"/>
      <c r="J39" s="55" t="n"/>
    </row>
    <row r="40" ht="108" customHeight="1">
      <c r="B40" s="133" t="inlineStr">
        <is>
          <t>Model_031</t>
        </is>
      </c>
      <c r="C40" s="13" t="inlineStr">
        <is>
          <t>Template Modify - Free Text Checkbox</t>
        </is>
      </c>
      <c r="D40" s="13" t="inlineStr">
        <is>
          <t>Precondition: Free text checkbox unchecked.
Search keyword &gt; reset&gt;search again&gt;select zones&gt;create template&gt;.
Navigate to template configuration screen &gt; observe all keywords and last page.
Precondition: Free text checkbox checked.
Search keyword &gt; reset&gt;search again&gt;select zones&gt;create template&gt;.
Navigate to template configuration screen &gt; observe all keywords and last page.</t>
        </is>
      </c>
      <c r="E40" s="23" t="inlineStr">
        <is>
          <t>Case 1: Template should be created with all the selected keywords and last page should have free text keywords.
Case2: Template should be created with all the selected keywords without any free text page.</t>
        </is>
      </c>
      <c r="F40" s="26" t="inlineStr">
        <is>
          <t>Pending</t>
        </is>
      </c>
      <c r="G40" s="109" t="n"/>
      <c r="H40" s="366" t="inlineStr">
        <is>
          <t>Done</t>
        </is>
      </c>
      <c r="I40" s="151" t="n"/>
      <c r="J40" s="55" t="n"/>
    </row>
    <row r="41" ht="48" customHeight="1">
      <c r="B41" s="133" t="inlineStr">
        <is>
          <t>Model_032</t>
        </is>
      </c>
      <c r="C41" s="13" t="inlineStr">
        <is>
          <t>Template Keyword Search</t>
        </is>
      </c>
      <c r="D41" s="13" t="inlineStr">
        <is>
          <t>Select any Model &gt; click Add template.
Create using Taxonomy&gt;using existing template.
Search keyword&gt;cancel&gt;modify template again&gt;search keyword.
Add Zone&gt;create template.</t>
        </is>
      </c>
      <c r="E41" s="23" t="inlineStr">
        <is>
          <t>Template should be created with all the selected keywords.</t>
        </is>
      </c>
      <c r="F41" s="26" t="inlineStr">
        <is>
          <t>Pending</t>
        </is>
      </c>
      <c r="G41" s="109" t="n"/>
      <c r="H41" s="366" t="inlineStr">
        <is>
          <t>Done</t>
        </is>
      </c>
      <c r="I41" s="151" t="n"/>
      <c r="J41" s="55" t="n"/>
    </row>
    <row r="42" ht="24" customHeight="1">
      <c r="B42" s="133" t="inlineStr">
        <is>
          <t>Model_033</t>
        </is>
      </c>
      <c r="C42" s="13" t="inlineStr">
        <is>
          <t>Large Model</t>
        </is>
      </c>
      <c r="D42" s="13" t="inlineStr">
        <is>
          <t>Verify creating a Model up to 3000 lines/accounts.
Modify model and update line items.</t>
        </is>
      </c>
      <c r="E42" s="23" t="inlineStr">
        <is>
          <t>The user should be able to create large model and modify as well.</t>
        </is>
      </c>
      <c r="F42" s="26" t="inlineStr">
        <is>
          <t>Pending</t>
        </is>
      </c>
      <c r="G42" s="109" t="n"/>
      <c r="H42" s="366" t="inlineStr">
        <is>
          <t>Done</t>
        </is>
      </c>
      <c r="I42" s="151" t="n"/>
      <c r="J42" s="55" t="n"/>
    </row>
    <row r="43" ht="24" customHeight="1">
      <c r="B43" s="133" t="inlineStr">
        <is>
          <t>Model_034</t>
        </is>
      </c>
      <c r="C43" s="13" t="inlineStr">
        <is>
          <t>Large Model</t>
        </is>
      </c>
      <c r="D43" s="13" t="inlineStr">
        <is>
          <t>Configure template in large model and launch in Spreading screen.</t>
        </is>
      </c>
      <c r="E43" s="23" t="inlineStr">
        <is>
          <t>Large model should be launched wih template as a base in Spreading screen.</t>
        </is>
      </c>
      <c r="F43" s="26" t="inlineStr">
        <is>
          <t>Pending</t>
        </is>
      </c>
      <c r="G43" s="109" t="n"/>
      <c r="H43" s="366" t="inlineStr">
        <is>
          <t>Done</t>
        </is>
      </c>
      <c r="I43" s="151" t="n"/>
      <c r="J43" s="55" t="n"/>
    </row>
    <row r="44" ht="24" customHeight="1">
      <c r="B44" s="133" t="inlineStr">
        <is>
          <t>Model_035</t>
        </is>
      </c>
      <c r="C44" s="13" t="inlineStr">
        <is>
          <t>Modify Model</t>
        </is>
      </c>
      <c r="D44" s="13" t="inlineStr">
        <is>
          <t>Verify modifying line items for a Model which is already in use.</t>
        </is>
      </c>
      <c r="E44" s="23" t="inlineStr">
        <is>
          <t>The user should only be allowed add new line item. Existing accounts cannot be modified and deleted.</t>
        </is>
      </c>
      <c r="F44" s="26" t="inlineStr">
        <is>
          <t>Pending</t>
        </is>
      </c>
      <c r="G44" s="109" t="n"/>
      <c r="H44" s="366" t="inlineStr">
        <is>
          <t>Done</t>
        </is>
      </c>
      <c r="I44" s="151" t="n"/>
      <c r="J44" s="55" t="n"/>
    </row>
    <row r="45" ht="36" customHeight="1">
      <c r="B45" s="133" t="inlineStr">
        <is>
          <t>Model_036</t>
        </is>
      </c>
      <c r="C45" s="13" t="inlineStr">
        <is>
          <t>Line Item</t>
        </is>
      </c>
      <c r="D45" s="13" t="inlineStr">
        <is>
          <t>Copy paste model with line item having more than 300 characters&gt;try to save the model.</t>
        </is>
      </c>
      <c r="E45" s="23" t="inlineStr">
        <is>
          <t>The user should get error message highlighting the row saying more than 300 characters are not allowed. And user should not be able to save model untill error gets resolved.</t>
        </is>
      </c>
      <c r="F45" s="26" t="inlineStr">
        <is>
          <t>Pending</t>
        </is>
      </c>
      <c r="G45" s="109" t="n"/>
      <c r="H45" s="366" t="inlineStr">
        <is>
          <t>Done</t>
        </is>
      </c>
      <c r="I45" s="151" t="n"/>
      <c r="J45" s="55" t="n"/>
    </row>
    <row r="46" ht="48" customHeight="1">
      <c r="B46" s="133" t="inlineStr">
        <is>
          <t>Model_037</t>
        </is>
      </c>
      <c r="C46" s="13" t="inlineStr">
        <is>
          <t>Line Item</t>
        </is>
      </c>
      <c r="D46" s="13" t="inlineStr">
        <is>
          <t>Create model&gt;enter 301 characters in line item&gt;enter.
Once user click another cell&gt;user should get error message saying more than 300 characters not allowed.
Once user removes one character&gt;error should no more come.</t>
        </is>
      </c>
      <c r="E46" s="23" t="inlineStr">
        <is>
          <t>Error should be displayed.
Error should be resolved once character count matches the limit.</t>
        </is>
      </c>
      <c r="F46" s="26" t="inlineStr">
        <is>
          <t>Pending</t>
        </is>
      </c>
      <c r="G46" s="109" t="n"/>
      <c r="H46" s="366" t="inlineStr">
        <is>
          <t>Done</t>
        </is>
      </c>
      <c r="I46" s="151" t="n"/>
      <c r="J46" s="55" t="n"/>
    </row>
    <row r="47" ht="60" customHeight="1">
      <c r="B47" s="133" t="inlineStr">
        <is>
          <t>Model_038</t>
        </is>
      </c>
      <c r="C47" s="13" t="inlineStr">
        <is>
          <t>Role Based Permission- Admin</t>
        </is>
      </c>
      <c r="D47" s="13" t="inlineStr">
        <is>
          <t>Login with Admin.
Go to Existing Models.
Review New Model button and Create Model menu.
Select any existing model and try to Modify.</t>
        </is>
      </c>
      <c r="E47" s="23" t="inlineStr">
        <is>
          <t>The user should be able to Login with Admin.
Create Model button should visible.
New Model button in existing model screen should be enabled.
And, user should be able to Modify existing models.</t>
        </is>
      </c>
      <c r="F47" s="26" t="inlineStr">
        <is>
          <t>Pending</t>
        </is>
      </c>
      <c r="G47" s="109" t="inlineStr">
        <is>
          <t>Newly Added</t>
        </is>
      </c>
      <c r="H47" s="366" t="inlineStr">
        <is>
          <t>Pending</t>
        </is>
      </c>
      <c r="I47" s="151" t="n">
        <v>1</v>
      </c>
      <c r="J47" s="55" t="n"/>
    </row>
    <row r="48" ht="72" customHeight="1">
      <c r="B48" s="133" t="inlineStr">
        <is>
          <t>Model_039</t>
        </is>
      </c>
      <c r="C48" s="13" t="inlineStr">
        <is>
          <t>Role Based Permission- Global Manager</t>
        </is>
      </c>
      <c r="D48" s="13" t="inlineStr">
        <is>
          <t>Login with Global Manager role.
Go to Existing Models.
Review New Model button and Create Model menu.
Select any existing model and try to Modify.
Try to Active/Inactive Model.</t>
        </is>
      </c>
      <c r="E48" s="23" t="inlineStr">
        <is>
          <t>The user should be able to Login with Global Manager.
Create Model button should be hidden.
New Model button in existing model screen should be disabled.
And, user should not be able to Modify existing models.
The user should be able to Active/Inactive the model.</t>
        </is>
      </c>
      <c r="F48" s="26" t="inlineStr">
        <is>
          <t>Pending</t>
        </is>
      </c>
      <c r="G48" s="109" t="inlineStr">
        <is>
          <t>Newly Added</t>
        </is>
      </c>
      <c r="H48" s="366" t="inlineStr">
        <is>
          <t>Pending</t>
        </is>
      </c>
      <c r="I48" s="151" t="n">
        <v>1</v>
      </c>
      <c r="J48" s="55" t="n"/>
    </row>
    <row r="49" ht="72" customHeight="1">
      <c r="B49" s="133" t="inlineStr">
        <is>
          <t>Model_040</t>
        </is>
      </c>
      <c r="C49" s="13" t="inlineStr">
        <is>
          <t>Role Based Permission- Manager</t>
        </is>
      </c>
      <c r="D49" s="13" t="inlineStr">
        <is>
          <t>Login with Manager role.
Go to Existing Models.
Review New Model button and Create Model menu.
Select any existing model and try to Modify.
Try to Active/Inactive Model.</t>
        </is>
      </c>
      <c r="E49" s="23" t="inlineStr">
        <is>
          <t>The user should be able to Login with Manager.
Create Model button should visible.
New Model button in existing model screen should be enabled.
And, user should be able to Modify existing models.
The user should be able to Active/Inactive the model.</t>
        </is>
      </c>
      <c r="F49" s="26" t="inlineStr">
        <is>
          <t>Pending</t>
        </is>
      </c>
      <c r="G49" s="109" t="inlineStr">
        <is>
          <t>Newly Added</t>
        </is>
      </c>
      <c r="H49" s="366" t="inlineStr">
        <is>
          <t>Pending</t>
        </is>
      </c>
      <c r="I49" s="151" t="n">
        <v>1</v>
      </c>
      <c r="J49" s="55" t="n"/>
    </row>
    <row r="50" ht="84" customHeight="1">
      <c r="B50" s="133" t="inlineStr">
        <is>
          <t>Model_041</t>
        </is>
      </c>
      <c r="C50" s="13" t="inlineStr">
        <is>
          <t>Role Based Permission- Analyst</t>
        </is>
      </c>
      <c r="D50" s="13" t="inlineStr">
        <is>
          <t>Login with Analyst role.
Go to Existing Models.
Review New Model button and Create Model menu.
Select any existing model and try to Modify.
Try to Active/Inactive Model.</t>
        </is>
      </c>
      <c r="E50" s="23" t="inlineStr">
        <is>
          <t>The user should be able to Login with Analyst.
Create Model button should be hidden.
New Model button in existing model screen should be disabled.
And, user should not be able to Modify existing models.
The user should not have permission to Active/Inactive the model.</t>
        </is>
      </c>
      <c r="F50" s="26" t="inlineStr">
        <is>
          <t>Pending</t>
        </is>
      </c>
      <c r="G50" s="109" t="inlineStr">
        <is>
          <t>Newly Added</t>
        </is>
      </c>
      <c r="H50" s="366" t="inlineStr">
        <is>
          <t>Pending</t>
        </is>
      </c>
      <c r="I50" s="151" t="n">
        <v>1</v>
      </c>
      <c r="J50" s="55" t="n"/>
    </row>
    <row r="51" ht="48" customHeight="1">
      <c r="B51" s="133" t="inlineStr">
        <is>
          <t>Model_042</t>
        </is>
      </c>
      <c r="C51" s="13" t="inlineStr">
        <is>
          <t>Insert Row in Bottom</t>
        </is>
      </c>
      <c r="D51" s="13" t="inlineStr">
        <is>
          <t>Create model screen&gt;Paste rows more than 200.
Review last row is showing blank.
Right click to insert new row above/below.
Enter data and save model.</t>
        </is>
      </c>
      <c r="E51" s="23" t="inlineStr">
        <is>
          <t>The user should be able to insert new row above or below.
Model should be save with newly added row.</t>
        </is>
      </c>
      <c r="F51" s="26" t="inlineStr">
        <is>
          <t>Pending</t>
        </is>
      </c>
      <c r="G51" s="109" t="inlineStr">
        <is>
          <t>Newly Added</t>
        </is>
      </c>
      <c r="H51" s="366" t="inlineStr">
        <is>
          <t>Pending</t>
        </is>
      </c>
      <c r="I51" s="151" t="n">
        <v>1</v>
      </c>
      <c r="J51" s="55" t="n"/>
    </row>
    <row r="52" ht="36" customHeight="1">
      <c r="B52" s="133" t="inlineStr">
        <is>
          <t>Model_043</t>
        </is>
      </c>
      <c r="C52" s="13" t="inlineStr">
        <is>
          <t>Validations</t>
        </is>
      </c>
      <c r="D52" s="13" t="inlineStr">
        <is>
          <t>While creating model, provide reference of blank cell in validation formula.
Save model &gt; observe.</t>
        </is>
      </c>
      <c r="E52" s="13" t="inlineStr">
        <is>
          <t>The user should not be able to save model with blank cell as validation reference.</t>
        </is>
      </c>
      <c r="F52" s="26" t="inlineStr">
        <is>
          <t>Pending</t>
        </is>
      </c>
      <c r="G52" s="109" t="inlineStr">
        <is>
          <t>Newly Added</t>
        </is>
      </c>
      <c r="H52" s="366" t="inlineStr">
        <is>
          <t>Pending</t>
        </is>
      </c>
      <c r="I52" s="151" t="n">
        <v>0.5</v>
      </c>
      <c r="J52" s="55" t="n"/>
    </row>
    <row r="53" ht="24" customHeight="1">
      <c r="B53" s="133" t="inlineStr">
        <is>
          <t>Model_044</t>
        </is>
      </c>
      <c r="C53" s="13" t="inlineStr">
        <is>
          <t>Formulas</t>
        </is>
      </c>
      <c r="D53" s="13" t="inlineStr">
        <is>
          <t>While creating model, provide reference of blank cell in formula.
Save model &gt; observe.</t>
        </is>
      </c>
      <c r="E53" s="13" t="inlineStr">
        <is>
          <t>The user should not be able to save model with blank cell as formula reference.</t>
        </is>
      </c>
      <c r="F53" s="26" t="inlineStr">
        <is>
          <t>Pending</t>
        </is>
      </c>
      <c r="G53" s="109" t="inlineStr">
        <is>
          <t>Newly Added</t>
        </is>
      </c>
      <c r="H53" s="366" t="inlineStr">
        <is>
          <t>Pending</t>
        </is>
      </c>
      <c r="I53" s="151" t="n">
        <v>0.5</v>
      </c>
      <c r="J53" s="55" t="n"/>
    </row>
    <row r="54" ht="108" customHeight="1">
      <c r="B54" s="133" t="inlineStr">
        <is>
          <t>Model_045</t>
        </is>
      </c>
      <c r="C54" s="13" t="inlineStr">
        <is>
          <t>Insert Row Above</t>
        </is>
      </c>
      <c r="D54" s="13" t="inlineStr">
        <is>
          <t>Create New model&gt;right-click and click Insert row above.
Enter the account name and save the model.
Launch any existing model&gt;Right click and click Insert row above.
Enter the account name and save the model.
Modify any model for which item already submitted.
Right click and click Insert row above.
Enter the account name and save the model.</t>
        </is>
      </c>
      <c r="E54" s="13" t="inlineStr">
        <is>
          <t>The user should be able to insert new row in all 3 cases.</t>
        </is>
      </c>
      <c r="F54" s="26" t="inlineStr">
        <is>
          <t>Pending</t>
        </is>
      </c>
      <c r="G54" s="109" t="n"/>
      <c r="H54" s="366" t="inlineStr">
        <is>
          <t>Pending</t>
        </is>
      </c>
      <c r="I54" s="151" t="n">
        <v>1</v>
      </c>
      <c r="J54" s="55" t="n"/>
    </row>
    <row r="55" ht="108" customHeight="1">
      <c r="B55" s="133" t="inlineStr">
        <is>
          <t>Model_046</t>
        </is>
      </c>
      <c r="C55" s="13" t="inlineStr">
        <is>
          <t>Insert Row Below</t>
        </is>
      </c>
      <c r="D55" s="13" t="inlineStr">
        <is>
          <t>Create New model&gt;right-click and click Insert row below.
Enter the account name and save the model.
Launch any existing model&gt;Right click and click Insert row below.
Enter the account name and save the model.
Modify any model for which item already submitted.
Right click and click Insert row below.
Enter the account name and save the model.</t>
        </is>
      </c>
      <c r="E55" s="13" t="inlineStr">
        <is>
          <t>The user should be able to insert new row in all 3 cases.</t>
        </is>
      </c>
      <c r="F55" s="26" t="inlineStr">
        <is>
          <t>Pending</t>
        </is>
      </c>
      <c r="G55" s="109" t="n"/>
      <c r="H55" s="366" t="inlineStr">
        <is>
          <t>Pending</t>
        </is>
      </c>
      <c r="I55" s="151" t="n">
        <v>1</v>
      </c>
      <c r="J55" s="55" t="n"/>
    </row>
    <row r="56" ht="96" customHeight="1">
      <c r="B56" s="133" t="inlineStr">
        <is>
          <t>Model_047</t>
        </is>
      </c>
      <c r="C56" s="13" t="inlineStr">
        <is>
          <t>Delete Row</t>
        </is>
      </c>
      <c r="D56" s="13" t="inlineStr">
        <is>
          <t>Create New model&gt;right-click and click Insert row below.
Enter account name&gt;Right click again and click Delete row.
Launch any existing model (Not used in any item)&gt;Right click and click Delete row &gt; save model.
Modify any model for which item already submitted.
Right click and click Delete row &gt; observe.</t>
        </is>
      </c>
      <c r="E56" s="13" t="inlineStr">
        <is>
          <t>1. The user should be able to insert and delete added row.
2. The user should be able to delete added row from saved model.
3. Delete row option should be disabled.</t>
        </is>
      </c>
      <c r="F56" s="26" t="inlineStr">
        <is>
          <t>Pending</t>
        </is>
      </c>
      <c r="G56" s="109" t="n"/>
      <c r="H56" s="366" t="inlineStr">
        <is>
          <t>Pending</t>
        </is>
      </c>
      <c r="I56" s="151" t="n">
        <v>1</v>
      </c>
      <c r="J56" s="55" t="n"/>
    </row>
    <row r="57" ht="96" customHeight="1">
      <c r="B57" s="133" t="inlineStr">
        <is>
          <t>Model_048</t>
        </is>
      </c>
      <c r="C57" s="13" t="inlineStr">
        <is>
          <t>Hide Row</t>
        </is>
      </c>
      <c r="D57" s="13" t="inlineStr">
        <is>
          <t>Create New model&gt;Add few rows.
Right click again and click Hide row.
Launch any existing model (Not used in any item)&gt;Right click and click Hide row &gt; save model.
Modify any model for which item already submitted.
Right click and click Hide row &gt; observe.</t>
        </is>
      </c>
      <c r="E57" s="13" t="inlineStr">
        <is>
          <t>The user should be able to hide select rows in mentioned cases.</t>
        </is>
      </c>
      <c r="F57" s="26" t="inlineStr">
        <is>
          <t>Pending</t>
        </is>
      </c>
      <c r="G57" s="109" t="n"/>
      <c r="H57" s="366" t="inlineStr">
        <is>
          <t>Pending</t>
        </is>
      </c>
      <c r="I57" s="151" t="n">
        <v>1</v>
      </c>
      <c r="J57" s="55" t="n"/>
    </row>
    <row r="58" ht="96" customHeight="1">
      <c r="B58" s="133" t="inlineStr">
        <is>
          <t>Model_049</t>
        </is>
      </c>
      <c r="C58" s="13" t="inlineStr">
        <is>
          <t>Unhide Row</t>
        </is>
      </c>
      <c r="D58" s="13" t="inlineStr">
        <is>
          <t>Create New model&gt;Add few rows.
Right click again and click Unhide row.
Launch any existing model (Not used in any item)&gt;Right click and click Unhide row &gt; save model.
Modify any model for which item already submitted.
Right click and click Unhide row &gt; observe.</t>
        </is>
      </c>
      <c r="E58" s="13" t="inlineStr">
        <is>
          <t>The user should be able to Unhide select rows in mentioned cases.</t>
        </is>
      </c>
      <c r="F58" s="26" t="inlineStr">
        <is>
          <t>Pending</t>
        </is>
      </c>
      <c r="G58" s="109" t="n"/>
      <c r="H58" s="366" t="inlineStr">
        <is>
          <t>Pending</t>
        </is>
      </c>
      <c r="I58" s="151" t="n">
        <v>1</v>
      </c>
      <c r="J58" s="55" t="n"/>
    </row>
    <row r="59" ht="108" customHeight="1">
      <c r="B59" s="133" t="inlineStr">
        <is>
          <t>Model_050</t>
        </is>
      </c>
      <c r="C59" s="13" t="inlineStr">
        <is>
          <t>Group Rows</t>
        </is>
      </c>
      <c r="D59" s="13" t="inlineStr">
        <is>
          <t>Create New model&gt;Add few rows.
Select a range of rows.
Right click again and click Group rows.
Verify without selection of multiple row. Right click and click Group rows.
Verify click Group row ribbon button when range of rows is not selected.</t>
        </is>
      </c>
      <c r="E59" s="13" t="inlineStr">
        <is>
          <t>The user should be able to group the rows.</t>
        </is>
      </c>
      <c r="F59" s="26" t="inlineStr">
        <is>
          <t>Pending</t>
        </is>
      </c>
      <c r="G59" s="109" t="n"/>
      <c r="H59" s="366" t="inlineStr">
        <is>
          <t>Pending</t>
        </is>
      </c>
      <c r="I59" s="151" t="n">
        <v>1</v>
      </c>
      <c r="J59" s="55" t="n"/>
    </row>
    <row r="60" ht="96" customHeight="1">
      <c r="B60" s="133" t="inlineStr">
        <is>
          <t>Model_051</t>
        </is>
      </c>
      <c r="C60" s="13" t="inlineStr">
        <is>
          <t>Ungroup Rows</t>
        </is>
      </c>
      <c r="D60" s="13" t="inlineStr">
        <is>
          <t>Select any of grouped rows.
Right click and click Ungroup rows.
Verify without selection of multiple row. Right click and click Group rows.
Verify click Group row ribbon button when range of rows is not selected&gt;should show validation message to select range of rows.</t>
        </is>
      </c>
      <c r="E60" s="13" t="inlineStr">
        <is>
          <t>Rows should be ungrouped.</t>
        </is>
      </c>
      <c r="F60" s="26" t="inlineStr">
        <is>
          <t>Pending</t>
        </is>
      </c>
      <c r="G60" s="109" t="n"/>
      <c r="H60" s="366" t="inlineStr">
        <is>
          <t>Pending</t>
        </is>
      </c>
      <c r="I60" s="151" t="n">
        <v>1</v>
      </c>
      <c r="J60" s="55" t="n"/>
    </row>
    <row r="61" ht="24" customHeight="1">
      <c r="B61" s="133" t="inlineStr">
        <is>
          <t>Model_052</t>
        </is>
      </c>
      <c r="C61" s="13" t="inlineStr">
        <is>
          <t>Template Configuration</t>
        </is>
      </c>
      <c r="D61" s="13" t="inlineStr">
        <is>
          <t>Create expression in template as: ABS(1+1+1)/10.
Delete all values from Mapped cell popup.</t>
        </is>
      </c>
      <c r="E61" s="13" t="inlineStr">
        <is>
          <t>The user should be able to delete all the values.</t>
        </is>
      </c>
      <c r="F61" s="26" t="inlineStr">
        <is>
          <t>Pending</t>
        </is>
      </c>
      <c r="G61" s="109" t="n"/>
      <c r="H61" s="366" t="inlineStr">
        <is>
          <t>Pending</t>
        </is>
      </c>
      <c r="I61" s="151" t="n">
        <v>1</v>
      </c>
      <c r="J61" s="55" t="n"/>
    </row>
  </sheetData>
  <mergeCells count="7">
    <mergeCell ref="B6:C6"/>
    <mergeCell ref="B7:C7"/>
    <mergeCell ref="B2:F2"/>
    <mergeCell ref="B3:C3"/>
    <mergeCell ref="B5:C5"/>
    <mergeCell ref="B8:C8"/>
    <mergeCell ref="B4:C4"/>
  </mergeCells>
  <conditionalFormatting sqref="D3">
    <cfRule type="expression" priority="119" dxfId="51" stopIfTrue="1">
      <formula>AND(COUNTIF($A$8:$A$8, D3)+COUNTIF(#REF!, D3)&gt;1,NOT(ISBLANK(D3)))</formula>
    </cfRule>
  </conditionalFormatting>
  <conditionalFormatting sqref="D4">
    <cfRule type="cellIs" priority="77" operator="lessThan" dxfId="10" stopIfTrue="1">
      <formula>1</formula>
    </cfRule>
  </conditionalFormatting>
  <conditionalFormatting sqref="D4:D8">
    <cfRule type="cellIs" priority="72" operator="greaterThan" dxfId="9" stopIfTrue="1">
      <formula>0</formula>
    </cfRule>
    <cfRule type="cellIs" priority="73" operator="greaterThan" dxfId="9" stopIfTrue="1">
      <formula>1</formula>
    </cfRule>
    <cfRule type="cellIs" priority="74" operator="greaterThan" dxfId="10" stopIfTrue="1">
      <formula>0</formula>
    </cfRule>
    <cfRule type="cellIs" priority="75" operator="greaterThan" dxfId="10" stopIfTrue="1">
      <formula>1</formula>
    </cfRule>
    <cfRule type="cellIs" priority="76" operator="equal" dxfId="9" stopIfTrue="1">
      <formula>$C$3</formula>
    </cfRule>
  </conditionalFormatting>
  <conditionalFormatting sqref="D5:D8">
    <cfRule type="cellIs" priority="65" operator="lessThan" dxfId="10" stopIfTrue="1">
      <formula>1</formula>
    </cfRule>
  </conditionalFormatting>
  <conditionalFormatting sqref="E4">
    <cfRule type="cellIs" priority="108" operator="equal" dxfId="9" stopIfTrue="1">
      <formula>1</formula>
    </cfRule>
    <cfRule type="cellIs" priority="109" operator="lessThan" dxfId="10" stopIfTrue="1">
      <formula>1</formula>
    </cfRule>
  </conditionalFormatting>
  <conditionalFormatting sqref="E5:E8">
    <cfRule type="cellIs" priority="79" operator="equal" dxfId="9" stopIfTrue="1">
      <formula>1</formula>
    </cfRule>
    <cfRule type="cellIs" priority="80" operator="lessThan" dxfId="10" stopIfTrue="1">
      <formula>1</formula>
    </cfRule>
    <cfRule type="cellIs" priority="81" operator="equal" dxfId="9" stopIfTrue="1">
      <formula>1</formula>
    </cfRule>
    <cfRule type="cellIs" priority="82" operator="lessThan" dxfId="10" stopIfTrue="1">
      <formula>1</formula>
    </cfRule>
  </conditionalFormatting>
  <conditionalFormatting sqref="E4:F4">
    <cfRule type="cellIs" priority="104" operator="equal" dxfId="9" stopIfTrue="1">
      <formula>1</formula>
    </cfRule>
    <cfRule type="cellIs" priority="105" operator="lessThan" dxfId="10" stopIfTrue="1">
      <formula>1</formula>
    </cfRule>
  </conditionalFormatting>
  <conditionalFormatting sqref="F4">
    <cfRule type="cellIs" priority="102" operator="equal" dxfId="9" stopIfTrue="1">
      <formula>1</formula>
    </cfRule>
    <cfRule type="cellIs" priority="103" operator="lessThan" dxfId="10" stopIfTrue="1">
      <formula>1</formula>
    </cfRule>
  </conditionalFormatting>
  <conditionalFormatting sqref="F5">
    <cfRule type="cellIs" priority="98" operator="greaterThan" dxfId="10" stopIfTrue="1">
      <formula>0</formula>
    </cfRule>
    <cfRule type="cellIs" priority="99" operator="equal" dxfId="9" stopIfTrue="1">
      <formula>0</formula>
    </cfRule>
    <cfRule type="cellIs" priority="100" operator="greaterThan" dxfId="10" stopIfTrue="1">
      <formula>0</formula>
    </cfRule>
    <cfRule type="cellIs" priority="101" operator="equal" dxfId="9" stopIfTrue="1">
      <formula>0</formula>
    </cfRule>
  </conditionalFormatting>
  <conditionalFormatting sqref="F6">
    <cfRule type="cellIs" priority="96" operator="equal" dxfId="9" stopIfTrue="1">
      <formula>0</formula>
    </cfRule>
    <cfRule type="cellIs" priority="97" operator="greaterThan" dxfId="22" stopIfTrue="1">
      <formula>0</formula>
    </cfRule>
  </conditionalFormatting>
  <conditionalFormatting sqref="F6:F7">
    <cfRule type="cellIs" priority="92" operator="equal" dxfId="9" stopIfTrue="1">
      <formula>0</formula>
    </cfRule>
    <cfRule type="cellIs" priority="93" operator="greaterThan" dxfId="22" stopIfTrue="1">
      <formula>0</formula>
    </cfRule>
  </conditionalFormatting>
  <conditionalFormatting sqref="F7:F8">
    <cfRule type="cellIs" priority="88" operator="equal" dxfId="9" stopIfTrue="1">
      <formula>0</formula>
    </cfRule>
    <cfRule type="cellIs" priority="89" operator="greaterThan" dxfId="22" stopIfTrue="1">
      <formula>0</formula>
    </cfRule>
  </conditionalFormatting>
  <conditionalFormatting sqref="F8">
    <cfRule type="cellIs" priority="86" operator="equal" dxfId="9" stopIfTrue="1">
      <formula>0</formula>
    </cfRule>
    <cfRule type="cellIs" priority="87" operator="greaterThan" dxfId="22" stopIfTrue="1">
      <formula>0</formula>
    </cfRule>
  </conditionalFormatting>
  <conditionalFormatting sqref="F10:F61">
    <cfRule type="cellIs" priority="16" operator="equal" dxfId="6" stopIfTrue="1">
      <formula>"NA"</formula>
    </cfRule>
    <cfRule type="cellIs" priority="17" operator="equal" dxfId="5" stopIfTrue="1">
      <formula>"Blocked"</formula>
    </cfRule>
    <cfRule type="cellIs" priority="18" operator="equal" dxfId="4" stopIfTrue="1">
      <formula>"Pending"</formula>
    </cfRule>
    <cfRule type="cellIs" priority="19" operator="equal" dxfId="0" stopIfTrue="1">
      <formula>"Passed"</formula>
    </cfRule>
    <cfRule type="cellIs" priority="20" operator="equal" dxfId="1" stopIfTrue="1">
      <formula>"Failed"</formula>
    </cfRule>
    <cfRule type="cellIs" priority="21" operator="equal" dxfId="1" stopIfTrue="1">
      <formula>"Fail"</formula>
    </cfRule>
    <cfRule type="cellIs" priority="22" operator="equal" dxfId="0" stopIfTrue="1">
      <formula>"Pass"</formula>
    </cfRule>
  </conditionalFormatting>
  <conditionalFormatting sqref="G5:G8">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0:H61">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61" showDropDown="0" showInputMessage="1" showErrorMessage="1" allowBlank="1" type="list">
      <formula1>"Passed,Failed,Blocked,Pending,NA"</formula1>
    </dataValidation>
    <dataValidation sqref="H10:H61"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B2:J53"/>
  <sheetViews>
    <sheetView showGridLines="0" topLeftCell="D1" workbookViewId="0">
      <selection activeCell="G8" sqref="G8"/>
    </sheetView>
  </sheetViews>
  <sheetFormatPr baseColWidth="8" defaultRowHeight="15"/>
  <cols>
    <col width="5" customWidth="1" min="1" max="1"/>
    <col width="25.85546875" customWidth="1" style="6" min="3" max="3"/>
    <col width="47.85546875" customWidth="1" style="4" min="4" max="4"/>
    <col width="44.7109375" customWidth="1" style="6" min="5" max="5"/>
    <col width="14.5703125" customWidth="1" min="7" max="7"/>
    <col width="20.42578125" customWidth="1" min="8" max="8"/>
    <col width="14.5703125" customWidth="1" min="9"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COUNTIF(F9:F35,"Passed")</f>
        <v/>
      </c>
      <c r="E4" s="53">
        <f>IF(D4=0,,(D4/(D4+D5)))</f>
        <v/>
      </c>
      <c r="F4" s="51">
        <f>IF(D3=0,,(D4/D3))</f>
        <v/>
      </c>
      <c r="G4" s="156">
        <f>COUNTIF(H10:H493,"Done")</f>
        <v/>
      </c>
    </row>
    <row r="5" ht="15.75" customHeight="1" thickBot="1">
      <c r="B5" s="350" t="inlineStr">
        <is>
          <t>Failed</t>
        </is>
      </c>
      <c r="D5" s="52">
        <f>COUNTIF(F9:F141,"Failed")</f>
        <v/>
      </c>
      <c r="E5" s="53">
        <f>IF(D5=0,,(D5/(D5+D6)))</f>
        <v/>
      </c>
      <c r="F5" s="51">
        <f>IF(D3=0,,(D5/D3))</f>
        <v/>
      </c>
      <c r="G5" s="52">
        <f>COUNTIF(H10:H493,"Failed")</f>
        <v/>
      </c>
    </row>
    <row r="6" ht="15.75" customHeight="1" thickBot="1">
      <c r="B6" s="350" t="inlineStr">
        <is>
          <t>Blocked</t>
        </is>
      </c>
      <c r="D6" s="52">
        <f>COUNTIF(F9:F141,"Blocked")</f>
        <v/>
      </c>
      <c r="E6" s="53">
        <f>IF(D6=0,,(D6/(D6+D7)))</f>
        <v/>
      </c>
      <c r="F6" s="51">
        <f>IF(D3=0,,(D6/D3))</f>
        <v/>
      </c>
      <c r="G6" s="52">
        <f>COUNTIF(H10:H493,"Blocked")</f>
        <v/>
      </c>
    </row>
    <row r="7" ht="15.75" customHeight="1" thickBot="1">
      <c r="B7" s="350" t="inlineStr">
        <is>
          <t>Pending</t>
        </is>
      </c>
      <c r="D7" s="52">
        <f>COUNTIF(F9:F141,"Pending")</f>
        <v/>
      </c>
      <c r="E7" s="53">
        <f>IF(D7=0,,(D7/(D7+D8)))</f>
        <v/>
      </c>
      <c r="F7" s="51">
        <f>IF(D3=0,,(D7/D3))</f>
        <v/>
      </c>
      <c r="G7" s="52">
        <f>COUNTIF(H10:H493,"Pending")</f>
        <v/>
      </c>
    </row>
    <row r="8" ht="15.75" customHeight="1" thickBot="1">
      <c r="B8" s="350" t="inlineStr">
        <is>
          <t>Not Applicable</t>
        </is>
      </c>
      <c r="D8" s="52">
        <f>COUNTIF(F9:F141,"Not Applicable")</f>
        <v/>
      </c>
      <c r="E8" s="53">
        <f>IF(D8=0,,(D8/(D8+#REF!)))</f>
        <v/>
      </c>
      <c r="F8" s="51">
        <f>IF(D3=0,,(D8/D3))</f>
        <v/>
      </c>
      <c r="G8" s="52">
        <f>COUNTIF(H10:H493,"Out of Scope")</f>
        <v/>
      </c>
    </row>
    <row r="9" ht="15.75" customHeight="1" thickBot="1">
      <c r="B9" s="22" t="inlineStr">
        <is>
          <t>S.No.</t>
        </is>
      </c>
      <c r="C9" s="1" t="inlineStr">
        <is>
          <t>Module/Sub-Module</t>
        </is>
      </c>
      <c r="D9" s="57" t="inlineStr">
        <is>
          <t>Test Steps</t>
        </is>
      </c>
      <c r="E9" s="2" t="inlineStr">
        <is>
          <t>Expected Results</t>
        </is>
      </c>
      <c r="F9" s="8" t="inlineStr">
        <is>
          <t>Result</t>
        </is>
      </c>
      <c r="G9" s="8" t="inlineStr">
        <is>
          <t>Bug ID</t>
        </is>
      </c>
      <c r="H9" s="8" t="inlineStr">
        <is>
          <t>Automation Status</t>
        </is>
      </c>
      <c r="I9" s="8" t="inlineStr">
        <is>
          <t>Mapped Scripts</t>
        </is>
      </c>
      <c r="J9" s="2" t="inlineStr">
        <is>
          <t>Comments</t>
        </is>
      </c>
    </row>
    <row r="10" ht="24" customHeight="1">
      <c r="B10" s="129" t="inlineStr">
        <is>
          <t>Bulk_001</t>
        </is>
      </c>
      <c r="C10" s="13" t="inlineStr">
        <is>
          <t>Bulk Upload</t>
        </is>
      </c>
      <c r="D10" s="11" t="inlineStr">
        <is>
          <t>Click Spreading&gt;View Status/Upload File.
Review screen.</t>
        </is>
      </c>
      <c r="E10" s="23" t="inlineStr">
        <is>
          <t>The screen should open correctly.</t>
        </is>
      </c>
      <c r="F10" s="26" t="inlineStr">
        <is>
          <t>Pending</t>
        </is>
      </c>
      <c r="G10" s="7" t="n"/>
      <c r="H10" s="154" t="inlineStr">
        <is>
          <t>Pending</t>
        </is>
      </c>
      <c r="I10" s="148" t="n">
        <v>0.25</v>
      </c>
      <c r="J10" s="55" t="n"/>
    </row>
    <row r="11" ht="60" customHeight="1">
      <c r="B11" s="129" t="inlineStr">
        <is>
          <t>Bulk_002</t>
        </is>
      </c>
      <c r="C11" s="13" t="inlineStr">
        <is>
          <t>All Tabs</t>
        </is>
      </c>
      <c r="D11" s="13" t="inlineStr">
        <is>
          <t>Once user is on View Status/Upload File Screen &gt; observe tabs present in screen should be as below.
My Files.
All Files.
Error Files.</t>
        </is>
      </c>
      <c r="E11" s="23" t="inlineStr">
        <is>
          <t>All tabs should be displayed on the screen.</t>
        </is>
      </c>
      <c r="F11" s="26" t="inlineStr">
        <is>
          <t>Pending</t>
        </is>
      </c>
      <c r="G11" s="3" t="n"/>
      <c r="H11" s="366" t="inlineStr">
        <is>
          <t>Pending</t>
        </is>
      </c>
      <c r="I11" s="149" t="n">
        <v>0.25</v>
      </c>
      <c r="J11" s="55" t="n"/>
    </row>
    <row r="12" ht="24" customHeight="1">
      <c r="B12" s="129" t="inlineStr">
        <is>
          <t>Bulk_003</t>
        </is>
      </c>
      <c r="C12" s="13" t="inlineStr">
        <is>
          <t>Switch Tabs</t>
        </is>
      </c>
      <c r="D12" s="13" t="inlineStr">
        <is>
          <t>Switch between all available tabs and review the data shown in each tab, if present.</t>
        </is>
      </c>
      <c r="E12" s="23" t="inlineStr">
        <is>
          <t>The user should be able to switch between the tabs.</t>
        </is>
      </c>
      <c r="F12" s="26" t="inlineStr">
        <is>
          <t>Pending</t>
        </is>
      </c>
      <c r="G12" s="3" t="n"/>
      <c r="H12" s="366" t="inlineStr">
        <is>
          <t>Pending</t>
        </is>
      </c>
      <c r="I12" s="149" t="n">
        <v>0.25</v>
      </c>
      <c r="J12" s="55" t="n"/>
    </row>
    <row r="13" ht="36" customHeight="1">
      <c r="B13" s="129" t="inlineStr">
        <is>
          <t>Bulk_004</t>
        </is>
      </c>
      <c r="C13" s="13" t="inlineStr">
        <is>
          <t>Search File</t>
        </is>
      </c>
      <c r="D13" s="13" t="inlineStr">
        <is>
          <t>Review Search tab present in screen.
Enter text in search tab and view results.
Enter text with no files uploaded&gt;enter and observe.</t>
        </is>
      </c>
      <c r="E13" s="23" t="inlineStr">
        <is>
          <t>The user should be able to search available files.
If the user searches for files that are not present, a "No records found" message should be displayed.</t>
        </is>
      </c>
      <c r="F13" s="26" t="inlineStr">
        <is>
          <t>Pending</t>
        </is>
      </c>
      <c r="G13" s="3" t="n"/>
      <c r="H13" s="366" t="inlineStr">
        <is>
          <t>Pending</t>
        </is>
      </c>
      <c r="I13" s="149" t="n">
        <v>0.5</v>
      </c>
      <c r="J13" s="55" t="n"/>
    </row>
    <row r="14">
      <c r="B14" s="129" t="inlineStr">
        <is>
          <t>Bulk_005</t>
        </is>
      </c>
      <c r="C14" s="13" t="inlineStr">
        <is>
          <t>Remove Search Text</t>
        </is>
      </c>
      <c r="D14" s="13" t="inlineStr">
        <is>
          <t>Remove the search text from the text box and review the screen.</t>
        </is>
      </c>
      <c r="E14" s="23" t="inlineStr">
        <is>
          <t>The screen should display the My Files tab.</t>
        </is>
      </c>
      <c r="F14" s="26" t="inlineStr">
        <is>
          <t>Pending</t>
        </is>
      </c>
      <c r="G14" s="3" t="n"/>
      <c r="H14" s="366" t="inlineStr">
        <is>
          <t>Pending</t>
        </is>
      </c>
      <c r="I14" s="149" t="n">
        <v>0.5</v>
      </c>
      <c r="J14" s="55" t="n"/>
    </row>
    <row r="15" ht="36" customHeight="1">
      <c r="B15" s="129" t="inlineStr">
        <is>
          <t>Bulk_006</t>
        </is>
      </c>
      <c r="C15" s="13" t="inlineStr">
        <is>
          <t>Language Dropdown</t>
        </is>
      </c>
      <c r="D15" s="13" t="inlineStr">
        <is>
          <t>Review Select Language button on top of the page.
Click dropdown &gt; observe list of languages.</t>
        </is>
      </c>
      <c r="E15" s="23" t="inlineStr">
        <is>
          <t>Select language dropdown should show list of all the active languages present in Language management screen.</t>
        </is>
      </c>
      <c r="F15" s="26" t="inlineStr">
        <is>
          <t>Pending</t>
        </is>
      </c>
      <c r="G15" s="3" t="n"/>
      <c r="H15" s="366" t="inlineStr">
        <is>
          <t>Pending</t>
        </is>
      </c>
      <c r="I15" s="149" t="n">
        <v>0.5</v>
      </c>
      <c r="J15" s="55" t="n"/>
    </row>
    <row r="16" ht="24" customHeight="1">
      <c r="B16" s="129" t="inlineStr">
        <is>
          <t>Bulk_007</t>
        </is>
      </c>
      <c r="C16" s="13" t="inlineStr">
        <is>
          <t>Choose Button</t>
        </is>
      </c>
      <c r="D16" s="81" t="inlineStr">
        <is>
          <t>Review Choose button on screen with text on left "Maximum size allowed for selected files is 1 GB.".</t>
        </is>
      </c>
      <c r="E16" s="85" t="inlineStr">
        <is>
          <t>Choose button should be present with the mentioned text.</t>
        </is>
      </c>
      <c r="F16" s="26" t="inlineStr">
        <is>
          <t>Pending</t>
        </is>
      </c>
      <c r="G16" s="83" t="n"/>
      <c r="H16" s="366" t="inlineStr">
        <is>
          <t>Pending</t>
        </is>
      </c>
      <c r="I16" s="149" t="n">
        <v>0.5</v>
      </c>
      <c r="J16" s="84" t="n"/>
    </row>
    <row r="17" ht="48" customHeight="1">
      <c r="B17" s="129" t="inlineStr">
        <is>
          <t>Bulk_008</t>
        </is>
      </c>
      <c r="C17" s="13" t="inlineStr">
        <is>
          <t>Upload File</t>
        </is>
      </c>
      <c r="D17" s="13" t="inlineStr">
        <is>
          <t>Select any language from dropdown &gt; click choose button.
And select file from system to upload.
View My files tab then.</t>
        </is>
      </c>
      <c r="E17" s="23" t="inlineStr">
        <is>
          <t>The user should be able to upload file and file should be visible in My files tab.</t>
        </is>
      </c>
      <c r="F17" s="26" t="inlineStr">
        <is>
          <t>Pending</t>
        </is>
      </c>
      <c r="G17" s="83" t="n"/>
      <c r="H17" s="366" t="inlineStr">
        <is>
          <t>Pending</t>
        </is>
      </c>
      <c r="I17" s="149" t="n">
        <v>0.5</v>
      </c>
      <c r="J17" s="84" t="n"/>
    </row>
    <row r="18" ht="24" customHeight="1">
      <c r="B18" s="129" t="inlineStr">
        <is>
          <t>Bulk_009</t>
        </is>
      </c>
      <c r="C18" s="13" t="inlineStr">
        <is>
          <t>Bulk Upload- My Files</t>
        </is>
      </c>
      <c r="D18" s="81" t="inlineStr">
        <is>
          <t>Upload at least 10 files at a time &gt; observe sequence of files in My files tab.</t>
        </is>
      </c>
      <c r="E18" s="82" t="inlineStr">
        <is>
          <t>All files should be uploaded successfully, and the latest file should be displayed at the top of the list.</t>
        </is>
      </c>
      <c r="F18" s="26" t="inlineStr">
        <is>
          <t>Pending</t>
        </is>
      </c>
      <c r="G18" s="83" t="n"/>
      <c r="H18" s="366" t="inlineStr">
        <is>
          <t>Pending</t>
        </is>
      </c>
      <c r="I18" s="149" t="n">
        <v>0.5</v>
      </c>
      <c r="J18" s="84" t="n"/>
    </row>
    <row r="19">
      <c r="B19" s="129" t="inlineStr">
        <is>
          <t>Bulk_010</t>
        </is>
      </c>
      <c r="C19" s="13" t="inlineStr">
        <is>
          <t>Bulk Upload- all Files</t>
        </is>
      </c>
      <c r="D19" s="13" t="inlineStr">
        <is>
          <t>Verify files uploaded from the logged in user in All files tab.</t>
        </is>
      </c>
      <c r="E19" s="23" t="inlineStr">
        <is>
          <t>Files should be visible in All files tab.</t>
        </is>
      </c>
      <c r="F19" s="26" t="inlineStr">
        <is>
          <t>Pending</t>
        </is>
      </c>
      <c r="G19" s="83" t="n"/>
      <c r="H19" s="366" t="inlineStr">
        <is>
          <t>Pending</t>
        </is>
      </c>
      <c r="I19" s="149" t="n">
        <v>0.5</v>
      </c>
      <c r="J19" s="84" t="n"/>
    </row>
    <row r="20" ht="24" customHeight="1">
      <c r="B20" s="129" t="inlineStr">
        <is>
          <t>Bulk_011</t>
        </is>
      </c>
      <c r="C20" s="13" t="inlineStr">
        <is>
          <t>Bulk Upload- all Files</t>
        </is>
      </c>
      <c r="D20" s="13" t="inlineStr">
        <is>
          <t>Verify that the All Files tab displays files uploaded by other users in the same access group.</t>
        </is>
      </c>
      <c r="E20" s="23" t="inlineStr">
        <is>
          <t>All files belonging to the same access group should be visible in the All Files tab.</t>
        </is>
      </c>
      <c r="F20" s="26" t="inlineStr">
        <is>
          <t>Pending</t>
        </is>
      </c>
      <c r="G20" s="83" t="n"/>
      <c r="H20" s="366" t="inlineStr">
        <is>
          <t>Pending</t>
        </is>
      </c>
      <c r="I20" s="149" t="n">
        <v>0.5</v>
      </c>
      <c r="J20" s="84" t="n"/>
    </row>
    <row r="21">
      <c r="B21" s="129" t="inlineStr">
        <is>
          <t>Bulk_012</t>
        </is>
      </c>
      <c r="C21" s="13" t="inlineStr">
        <is>
          <t>Bulk Upload- Error Files</t>
        </is>
      </c>
      <c r="D21" s="13" t="inlineStr">
        <is>
          <t>Click the error files tab.</t>
        </is>
      </c>
      <c r="E21" s="23" t="inlineStr">
        <is>
          <t>Error file should be shown to the user.</t>
        </is>
      </c>
      <c r="F21" s="26" t="inlineStr">
        <is>
          <t>Pending</t>
        </is>
      </c>
      <c r="G21" s="83" t="n"/>
      <c r="H21" s="366" t="inlineStr">
        <is>
          <t>Pending</t>
        </is>
      </c>
      <c r="I21" s="149" t="n">
        <v>0.5</v>
      </c>
      <c r="J21" s="84" t="n"/>
    </row>
    <row r="22" ht="24" customHeight="1">
      <c r="B22" s="129" t="inlineStr">
        <is>
          <t>Bulk_013</t>
        </is>
      </c>
      <c r="C22" s="13" t="inlineStr">
        <is>
          <t>Bulk Upload</t>
        </is>
      </c>
      <c r="D22" s="13" t="inlineStr">
        <is>
          <t>Upload files with different languages like Spanish, German, Chinese, Arabic etc.</t>
        </is>
      </c>
      <c r="E22" s="23" t="inlineStr">
        <is>
          <t>All files should be uploaded and processed.</t>
        </is>
      </c>
      <c r="F22" s="26" t="inlineStr">
        <is>
          <t>Pending</t>
        </is>
      </c>
      <c r="G22" s="3" t="n"/>
      <c r="H22" s="366" t="inlineStr">
        <is>
          <t>Pending</t>
        </is>
      </c>
      <c r="I22" s="149" t="n">
        <v>0.5</v>
      </c>
      <c r="J22" s="55" t="n"/>
    </row>
    <row r="23" ht="156" customHeight="1">
      <c r="B23" s="129" t="inlineStr">
        <is>
          <t>Bulk_014</t>
        </is>
      </c>
      <c r="C23" s="13" t="inlineStr">
        <is>
          <t>Bulk Upload</t>
        </is>
      </c>
      <c r="D23" s="14" t="inlineStr">
        <is>
          <t>Verify columns present in bulk screen.
Language.
File Quality.
File Size(KB).
Page Count).
Received Date.
Time.
Files Uploaded.
Processed.
Data Extraction.
Document Classification.
Keyword Extraction.
Action.</t>
        </is>
      </c>
      <c r="E23" s="98" t="inlineStr">
        <is>
          <t>Mentioned columns should be present on screen.</t>
        </is>
      </c>
      <c r="F23" s="26" t="inlineStr">
        <is>
          <t>Pending</t>
        </is>
      </c>
      <c r="G23" s="109" t="n"/>
      <c r="H23" s="366" t="inlineStr">
        <is>
          <t>Pending</t>
        </is>
      </c>
      <c r="I23" s="151" t="n">
        <v>1</v>
      </c>
      <c r="J23" s="110" t="n"/>
    </row>
    <row r="24" ht="36" customHeight="1">
      <c r="B24" s="129" t="inlineStr">
        <is>
          <t>Bulk_015</t>
        </is>
      </c>
      <c r="C24" s="13" t="inlineStr">
        <is>
          <t>Bulk Upload</t>
        </is>
      </c>
      <c r="D24" s="14" t="inlineStr">
        <is>
          <t>Verify uploading a English language PDF file.
And check all the processes should be completed in the columns.</t>
        </is>
      </c>
      <c r="E24" s="98" t="inlineStr">
        <is>
          <t>English PDF should go through all the present processes like, processed, data extraction, document classification and keyword extraction.</t>
        </is>
      </c>
      <c r="F24" s="26" t="inlineStr">
        <is>
          <t>Pending</t>
        </is>
      </c>
      <c r="G24" s="109" t="n"/>
      <c r="H24" s="366" t="inlineStr">
        <is>
          <t>Pending</t>
        </is>
      </c>
      <c r="I24" s="151" t="n">
        <v>1</v>
      </c>
      <c r="J24" s="110" t="n"/>
    </row>
    <row r="25" ht="36" customHeight="1">
      <c r="B25" s="129" t="inlineStr">
        <is>
          <t>Bulk_016</t>
        </is>
      </c>
      <c r="C25" s="13" t="inlineStr">
        <is>
          <t>Bulk Upload</t>
        </is>
      </c>
      <c r="D25" s="14" t="inlineStr">
        <is>
          <t>Upload any file and click delete button.
Select any file which is already spread &gt;try to delete that file from bulk upload.</t>
        </is>
      </c>
      <c r="E25" s="98" t="inlineStr">
        <is>
          <t>1. The user should be able to delete uploaded file.
2. Delete option should be disabled for the file which is already in use.</t>
        </is>
      </c>
      <c r="F25" s="26" t="inlineStr">
        <is>
          <t>Pending</t>
        </is>
      </c>
      <c r="G25" s="109" t="n"/>
      <c r="H25" s="366" t="inlineStr">
        <is>
          <t>Pending</t>
        </is>
      </c>
      <c r="I25" s="151" t="n">
        <v>1</v>
      </c>
      <c r="J25" s="110" t="n"/>
    </row>
    <row r="26" ht="96" customHeight="1">
      <c r="B26" s="129" t="inlineStr">
        <is>
          <t>Bulk_017</t>
        </is>
      </c>
      <c r="C26" s="13" t="inlineStr">
        <is>
          <t>Map to Customer</t>
        </is>
      </c>
      <c r="D26" s="14" t="inlineStr">
        <is>
          <t>Click Map Customer button &gt; observe Map files to Customer screen appears.
Select any file from below tabs on screen:
My Files.
New Files.
All Files.
Try to click map to customer button without file selection &gt; observe.</t>
        </is>
      </c>
      <c r="E26" s="98" t="inlineStr">
        <is>
          <t>The user should be able to select file from any of the tab present on screen.
When file is not selected map to customer button should remain disable to use.</t>
        </is>
      </c>
      <c r="F26" s="26" t="inlineStr">
        <is>
          <t>Pending</t>
        </is>
      </c>
      <c r="G26" s="109" t="n"/>
      <c r="H26" s="366" t="inlineStr">
        <is>
          <t>Pending</t>
        </is>
      </c>
      <c r="I26" s="151" t="n">
        <v>1</v>
      </c>
      <c r="J26" s="110" t="n"/>
    </row>
    <row r="27" ht="84" customHeight="1">
      <c r="B27" s="129" t="inlineStr">
        <is>
          <t>Bulk_018</t>
        </is>
      </c>
      <c r="C27" s="13" t="inlineStr">
        <is>
          <t>Map to Customer</t>
        </is>
      </c>
      <c r="D27" s="11" t="inlineStr">
        <is>
          <t>Once user selects file from File Store &gt; click Map to customer&gt;item meta data screen should appear.
Customer Name dropdown should show all the customers as per the group access.
Select Customer Name&gt;select other meta data.
Save item &gt; observe.</t>
        </is>
      </c>
      <c r="E27" s="23" t="inlineStr">
        <is>
          <t>The user should be taken to the Item Metadata screen after file selection.
Once the user selects the Customer Name, the model and group should be selected automatically if the item already exists for that customer.
After the user saves the item, the system should navigate to the item listing screen.</t>
        </is>
      </c>
      <c r="F27" s="26" t="inlineStr">
        <is>
          <t>Pending</t>
        </is>
      </c>
      <c r="G27" s="7" t="n"/>
      <c r="H27" s="366" t="inlineStr">
        <is>
          <t>Pending</t>
        </is>
      </c>
      <c r="I27" s="148" t="n">
        <v>1</v>
      </c>
      <c r="J27" s="55" t="n"/>
    </row>
    <row r="28" ht="60" customHeight="1">
      <c r="B28" s="129" t="inlineStr">
        <is>
          <t>Bulk_019</t>
        </is>
      </c>
      <c r="C28" s="13" t="inlineStr">
        <is>
          <t>Map to Customer</t>
        </is>
      </c>
      <c r="D28" s="13" t="inlineStr">
        <is>
          <t>Verify some customers should be present in system &gt;upload files in bulk upload screen relevant to some customer.
Once user click map to customer &gt;select the files&gt;Customer Name should be automatically selected as a part of document classification feature.</t>
        </is>
      </c>
      <c r="E28" s="23" t="inlineStr">
        <is>
          <t>Document classificaltion should auto populate the Customer Name in map to Customer screen.</t>
        </is>
      </c>
      <c r="F28" s="26" t="inlineStr">
        <is>
          <t>Pending</t>
        </is>
      </c>
      <c r="G28" s="3" t="n"/>
      <c r="H28" s="366" t="inlineStr">
        <is>
          <t>Pending</t>
        </is>
      </c>
      <c r="I28" s="149" t="n">
        <v>1</v>
      </c>
      <c r="J28" s="55" t="n"/>
    </row>
    <row r="29">
      <c r="B29" s="129" t="inlineStr">
        <is>
          <t>Bulk_020</t>
        </is>
      </c>
      <c r="C29" s="13" t="inlineStr">
        <is>
          <t>Map File to Customer</t>
        </is>
      </c>
      <c r="D29" s="13" t="inlineStr">
        <is>
          <t>Select unsupported file to upload.</t>
        </is>
      </c>
      <c r="E29" s="23" t="inlineStr">
        <is>
          <t>Unsupported file error message should be shown to user.</t>
        </is>
      </c>
      <c r="F29" s="26" t="inlineStr">
        <is>
          <t>Pending</t>
        </is>
      </c>
      <c r="G29" s="3" t="n"/>
      <c r="H29" s="366" t="inlineStr">
        <is>
          <t>Pending</t>
        </is>
      </c>
      <c r="I29" s="149" t="n">
        <v>0.5</v>
      </c>
      <c r="J29" s="55" t="n"/>
    </row>
    <row r="30" ht="24" customHeight="1">
      <c r="B30" s="129" t="inlineStr">
        <is>
          <t>Bulk_021</t>
        </is>
      </c>
      <c r="C30" s="13" t="inlineStr">
        <is>
          <t>Bulk Upload</t>
        </is>
      </c>
      <c r="D30" s="13" t="inlineStr">
        <is>
          <t>Select supported files together with an unsupported file.</t>
        </is>
      </c>
      <c r="E30" s="23" t="inlineStr">
        <is>
          <t>Supported files should be uploaded successfully, and an error message should be displayed for the unsupported file.</t>
        </is>
      </c>
      <c r="F30" s="26" t="inlineStr">
        <is>
          <t>Pending</t>
        </is>
      </c>
      <c r="G30" s="3" t="n"/>
      <c r="H30" s="366" t="inlineStr">
        <is>
          <t>Pending</t>
        </is>
      </c>
      <c r="I30" s="149" t="n">
        <v>0.5</v>
      </c>
      <c r="J30" s="55" t="n"/>
    </row>
    <row r="31" ht="24" customHeight="1">
      <c r="B31" s="129" t="inlineStr">
        <is>
          <t>Bulk_022</t>
        </is>
      </c>
      <c r="C31" s="13" t="inlineStr">
        <is>
          <t>Bulk Upload</t>
        </is>
      </c>
      <c r="D31" s="13" t="inlineStr">
        <is>
          <t>User verify that processing of files should not start untill we select the language.</t>
        </is>
      </c>
      <c r="E31" s="23" t="inlineStr">
        <is>
          <t>File processing should not start and user is allowed to select language for uploaded files.</t>
        </is>
      </c>
      <c r="F31" s="26" t="inlineStr">
        <is>
          <t>Pending</t>
        </is>
      </c>
      <c r="G31" s="3" t="n"/>
      <c r="H31" s="366" t="inlineStr">
        <is>
          <t>Pending</t>
        </is>
      </c>
      <c r="I31" s="149" t="n">
        <v>0.5</v>
      </c>
      <c r="J31" s="55" t="n"/>
    </row>
    <row r="32">
      <c r="B32" s="129" t="inlineStr">
        <is>
          <t>Bulk_023</t>
        </is>
      </c>
      <c r="C32" s="13" t="inlineStr">
        <is>
          <t>Bulk Upload</t>
        </is>
      </c>
      <c r="D32" s="13" t="inlineStr">
        <is>
          <t>Click the file name.</t>
        </is>
      </c>
      <c r="E32" s="23" t="inlineStr">
        <is>
          <t>File should be download to the local system.</t>
        </is>
      </c>
      <c r="F32" s="26" t="inlineStr">
        <is>
          <t>Pending</t>
        </is>
      </c>
      <c r="G32" s="3" t="n"/>
      <c r="H32" s="366" t="inlineStr">
        <is>
          <t>Pending</t>
        </is>
      </c>
      <c r="I32" s="149" t="n">
        <v>0.5</v>
      </c>
      <c r="J32" s="55" t="n"/>
    </row>
    <row r="33" ht="24" customHeight="1">
      <c r="B33" s="129" t="inlineStr">
        <is>
          <t>Bulk_024</t>
        </is>
      </c>
      <c r="C33" s="13" t="inlineStr">
        <is>
          <t>Bulk Upload</t>
        </is>
      </c>
      <c r="D33" s="13" t="inlineStr">
        <is>
          <t>Click the download option icon adjacent to file name.</t>
        </is>
      </c>
      <c r="E33" s="23" t="inlineStr">
        <is>
          <t>Searchable file should be downloaded except native file.</t>
        </is>
      </c>
      <c r="F33" s="26" t="inlineStr">
        <is>
          <t>Pending</t>
        </is>
      </c>
      <c r="G33" s="83" t="n"/>
      <c r="H33" s="366" t="inlineStr">
        <is>
          <t>Pending</t>
        </is>
      </c>
      <c r="I33" s="149" t="n">
        <v>0.5</v>
      </c>
      <c r="J33" s="84" t="n"/>
    </row>
    <row r="34">
      <c r="B34" s="129" t="inlineStr">
        <is>
          <t>Bulk_025</t>
        </is>
      </c>
      <c r="C34" s="13" t="inlineStr">
        <is>
          <t>Bulk Upload</t>
        </is>
      </c>
      <c r="D34" s="13" t="inlineStr">
        <is>
          <t>User change the language of files.</t>
        </is>
      </c>
      <c r="E34" s="23" t="inlineStr">
        <is>
          <t>File will re process again for the selected language.</t>
        </is>
      </c>
      <c r="F34" s="26" t="inlineStr">
        <is>
          <t>Pending</t>
        </is>
      </c>
      <c r="G34" s="83" t="n"/>
      <c r="H34" s="366" t="inlineStr">
        <is>
          <t>Pending</t>
        </is>
      </c>
      <c r="I34" s="149" t="n">
        <v>0.5</v>
      </c>
      <c r="J34" s="84" t="n"/>
    </row>
    <row r="35" ht="24" customHeight="1">
      <c r="B35" s="129" t="inlineStr">
        <is>
          <t>Bulk_026</t>
        </is>
      </c>
      <c r="C35" s="13" t="inlineStr">
        <is>
          <t>Bulk Upload</t>
        </is>
      </c>
      <c r="D35" s="81" t="inlineStr">
        <is>
          <t>Select one file/Multiple files and click the map customer.</t>
        </is>
      </c>
      <c r="E35" s="82" t="inlineStr">
        <is>
          <t>User able to link/add file to the customer.</t>
        </is>
      </c>
      <c r="F35" s="26" t="inlineStr">
        <is>
          <t>Pending</t>
        </is>
      </c>
      <c r="G35" s="83" t="n"/>
      <c r="H35" s="366" t="inlineStr">
        <is>
          <t>Pending</t>
        </is>
      </c>
      <c r="I35" s="150" t="n">
        <v>1</v>
      </c>
      <c r="J35" s="84" t="n"/>
    </row>
    <row r="36" ht="24" customHeight="1">
      <c r="B36" s="129" t="inlineStr">
        <is>
          <t>Bulk_027</t>
        </is>
      </c>
      <c r="C36" s="81" t="inlineStr">
        <is>
          <t>Bulk Upload</t>
        </is>
      </c>
      <c r="D36" s="81" t="inlineStr">
        <is>
          <t>Upload all files, images, document, PDF, excels each type at least 20 at a time.</t>
        </is>
      </c>
      <c r="E36" s="82" t="inlineStr">
        <is>
          <t>The user should be able to upload files.</t>
        </is>
      </c>
      <c r="F36" s="26" t="inlineStr">
        <is>
          <t>Pending</t>
        </is>
      </c>
      <c r="G36" s="83" t="n"/>
      <c r="H36" s="366" t="inlineStr">
        <is>
          <t>Pending</t>
        </is>
      </c>
      <c r="I36" s="150" t="n">
        <v>1</v>
      </c>
      <c r="J36" s="84" t="n"/>
    </row>
    <row r="37" ht="36" customHeight="1">
      <c r="B37" s="129" t="inlineStr">
        <is>
          <t>Bulk_028</t>
        </is>
      </c>
      <c r="C37" s="14" t="inlineStr">
        <is>
          <t>Bulk Upload</t>
        </is>
      </c>
      <c r="D37" s="14" t="inlineStr">
        <is>
          <t>Upload file and validate the time taken for completing process, also validate the language dropdown.</t>
        </is>
      </c>
      <c r="E37" s="14" t="inlineStr">
        <is>
          <t>Upload file should not take much time to upload and processing of file should be done only if language is present.</t>
        </is>
      </c>
      <c r="F37" s="26" t="inlineStr">
        <is>
          <t>Pending</t>
        </is>
      </c>
      <c r="G37" s="3" t="inlineStr">
        <is>
          <t>New</t>
        </is>
      </c>
      <c r="H37" s="366" t="inlineStr">
        <is>
          <t>Pending</t>
        </is>
      </c>
      <c r="I37" s="149" t="n">
        <v>1</v>
      </c>
      <c r="J37" s="55" t="n"/>
    </row>
    <row r="38" ht="24" customHeight="1">
      <c r="B38" s="129" t="inlineStr">
        <is>
          <t>Bulk_029</t>
        </is>
      </c>
      <c r="C38" s="14" t="inlineStr">
        <is>
          <t>Bulk Upload- Error File</t>
        </is>
      </c>
      <c r="D38" s="14" t="inlineStr">
        <is>
          <t>Upload a file without selecting a language, then correct the language.</t>
        </is>
      </c>
      <c r="E38" s="14" t="inlineStr">
        <is>
          <t>Once the error is removed from the file, processing should continue successfully.</t>
        </is>
      </c>
      <c r="F38" s="26" t="inlineStr">
        <is>
          <t>Pending</t>
        </is>
      </c>
      <c r="G38" s="3" t="inlineStr">
        <is>
          <t>New</t>
        </is>
      </c>
      <c r="H38" s="366" t="inlineStr">
        <is>
          <t>Pending</t>
        </is>
      </c>
      <c r="I38" s="149" t="n">
        <v>1</v>
      </c>
      <c r="J38" s="55" t="n"/>
    </row>
    <row r="39" ht="24.75" customHeight="1" thickBot="1">
      <c r="B39" s="130" t="inlineStr">
        <is>
          <t>Bulk_030</t>
        </is>
      </c>
      <c r="C39" s="132" t="inlineStr">
        <is>
          <t>Bulk Upload</t>
        </is>
      </c>
      <c r="D39" s="131" t="inlineStr">
        <is>
          <t>Upload files in different languages such as English, Arabic, Chinese, Russian, and Spanish.</t>
        </is>
      </c>
      <c r="E39" s="131" t="inlineStr">
        <is>
          <t>All files should be uploaded successfully, and the latest file should be displayed at the top of the list.</t>
        </is>
      </c>
      <c r="F39" s="27" t="inlineStr">
        <is>
          <t>Pending</t>
        </is>
      </c>
      <c r="G39" s="21" t="inlineStr">
        <is>
          <t>New</t>
        </is>
      </c>
      <c r="H39" s="155" t="inlineStr">
        <is>
          <t>Pending</t>
        </is>
      </c>
      <c r="I39" s="152" t="n">
        <v>1</v>
      </c>
      <c r="J39" s="56" t="n"/>
    </row>
    <row r="41">
      <c r="B41" s="369" t="n">
        <v>1</v>
      </c>
      <c r="C41" s="369" t="inlineStr">
        <is>
          <t>Bulk Upload - pagination</t>
        </is>
      </c>
      <c r="D41" s="298" t="inlineStr">
        <is>
          <t>Log in to the URL:</t>
        </is>
      </c>
      <c r="E41" s="369" t="inlineStr">
        <is>
          <t>Pagination should work correctly.</t>
        </is>
      </c>
      <c r="F41" s="369" t="inlineStr">
        <is>
          <t>138370-ID</t>
        </is>
      </c>
      <c r="G41" s="369" t="n"/>
      <c r="H41" s="369" t="n"/>
    </row>
    <row r="42" ht="30" customHeight="1">
      <c r="D42" s="299" t="inlineStr">
        <is>
          <t>https://ssdevwebapps.evalueserve.com/qaq323/mapCustomer/BulkUpload</t>
        </is>
      </c>
      <c r="G42" s="369" t="n"/>
      <c r="H42" s="369" t="n"/>
    </row>
    <row r="43">
      <c r="D43" s="298" t="inlineStr">
        <is>
          <t>Go to the Spreading tab.</t>
        </is>
      </c>
      <c r="G43" s="369" t="n"/>
      <c r="H43" s="369" t="n"/>
    </row>
    <row r="44">
      <c r="D44" s="298" t="inlineStr">
        <is>
          <t>Go to the bulk upload screen.</t>
        </is>
      </c>
      <c r="G44" s="369" t="n"/>
      <c r="H44" s="369" t="n"/>
    </row>
    <row r="45">
      <c r="D45" s="298" t="inlineStr">
        <is>
          <t>When landed on the page pagination is showing.</t>
        </is>
      </c>
      <c r="G45" s="369" t="n"/>
      <c r="H45" s="369" t="n"/>
    </row>
    <row r="46" ht="42.75" customHeight="1">
      <c r="D46" s="298" t="inlineStr">
        <is>
          <t>When we upload new item and refresh the screen once or twice it is showing only page after multiple files is there.</t>
        </is>
      </c>
      <c r="G46" s="369" t="n"/>
      <c r="H46" s="369" t="n"/>
    </row>
    <row r="47" ht="30.75" customHeight="1">
      <c r="B47" s="369" t="n">
        <v>2</v>
      </c>
      <c r="C47" s="370" t="inlineStr">
        <is>
          <t>Bulk Upload_ Failing Zone Extraction</t>
        </is>
      </c>
      <c r="D47" s="300" t="inlineStr">
        <is>
          <t>Log in to the URL:</t>
        </is>
      </c>
      <c r="E47" s="369" t="inlineStr">
        <is>
          <t>Zone extraction should work correctly.</t>
        </is>
      </c>
      <c r="F47" s="369" t="inlineStr">
        <is>
          <t>139096-ID</t>
        </is>
      </c>
    </row>
    <row r="48" ht="30" customHeight="1">
      <c r="D48" s="301" t="inlineStr">
        <is>
          <t>https://ssdevwebapps.evalueserve.com/uatq323/item</t>
        </is>
      </c>
    </row>
    <row r="49">
      <c r="D49" s="300" t="inlineStr">
        <is>
          <t>Go to the Spreading tab.</t>
        </is>
      </c>
    </row>
    <row r="50">
      <c r="D50" s="300" t="inlineStr">
        <is>
          <t>Go to the Existing Customer screen.</t>
        </is>
      </c>
    </row>
    <row r="51">
      <c r="D51" s="300" t="inlineStr">
        <is>
          <t>Go to the Add Item.</t>
        </is>
      </c>
    </row>
    <row r="52">
      <c r="D52" s="300" t="inlineStr">
        <is>
          <t>Observed this issue.</t>
        </is>
      </c>
    </row>
    <row r="53" ht="28.5" customHeight="1">
      <c r="D53" s="300" t="inlineStr">
        <is>
          <t>Same issue observed when we add the item though bulk upload screen.</t>
        </is>
      </c>
    </row>
  </sheetData>
  <mergeCells count="15">
    <mergeCell ref="F41:F46"/>
    <mergeCell ref="E41:E46"/>
    <mergeCell ref="B6:C6"/>
    <mergeCell ref="B8:C8"/>
    <mergeCell ref="E47:E53"/>
    <mergeCell ref="B7:C7"/>
    <mergeCell ref="B2:F2"/>
    <mergeCell ref="F47:G53"/>
    <mergeCell ref="B3:C3"/>
    <mergeCell ref="B5:C5"/>
    <mergeCell ref="C47:C53"/>
    <mergeCell ref="B47:B53"/>
    <mergeCell ref="C41:C46"/>
    <mergeCell ref="B4:C4"/>
    <mergeCell ref="B41:B46"/>
  </mergeCells>
  <conditionalFormatting sqref="D3">
    <cfRule type="expression" priority="64" dxfId="51" stopIfTrue="1">
      <formula>AND(COUNTIF($A$8:$A$8, D3)+COUNTIF(#REF!, D3)&gt;1,NOT(ISBLANK(D3)))</formula>
    </cfRule>
  </conditionalFormatting>
  <conditionalFormatting sqref="D4">
    <cfRule type="cellIs" priority="56" operator="lessThan" dxfId="10" stopIfTrue="1">
      <formula>1</formula>
    </cfRule>
  </conditionalFormatting>
  <conditionalFormatting sqref="D4:D8">
    <cfRule type="cellIs" priority="51" operator="greaterThan" dxfId="9" stopIfTrue="1">
      <formula>0</formula>
    </cfRule>
    <cfRule type="cellIs" priority="52" operator="greaterThan" dxfId="9" stopIfTrue="1">
      <formula>1</formula>
    </cfRule>
    <cfRule type="cellIs" priority="53" operator="greaterThan" dxfId="10" stopIfTrue="1">
      <formula>0</formula>
    </cfRule>
    <cfRule type="cellIs" priority="54" operator="greaterThan" dxfId="10" stopIfTrue="1">
      <formula>1</formula>
    </cfRule>
    <cfRule type="cellIs" priority="55" operator="equal" dxfId="9" stopIfTrue="1">
      <formula>$C$3</formula>
    </cfRule>
  </conditionalFormatting>
  <conditionalFormatting sqref="D5">
    <cfRule type="cellIs" priority="16" operator="lessThan" dxfId="10" stopIfTrue="1">
      <formula>1</formula>
    </cfRule>
  </conditionalFormatting>
  <conditionalFormatting sqref="D5:E8">
    <cfRule type="cellIs" priority="20" operator="lessThan" dxfId="10" stopIfTrue="1">
      <formula>1</formula>
    </cfRule>
  </conditionalFormatting>
  <conditionalFormatting sqref="E4">
    <cfRule type="cellIs" priority="46" operator="equal" dxfId="9" stopIfTrue="1">
      <formula>1</formula>
    </cfRule>
    <cfRule type="cellIs" priority="47" operator="lessThan" dxfId="10" stopIfTrue="1">
      <formula>1</formula>
    </cfRule>
  </conditionalFormatting>
  <conditionalFormatting sqref="E5:E8">
    <cfRule type="cellIs" priority="17" operator="equal" dxfId="9" stopIfTrue="1">
      <formula>1</formula>
    </cfRule>
    <cfRule type="cellIs" priority="18" operator="lessThan" dxfId="10" stopIfTrue="1">
      <formula>1</formula>
    </cfRule>
    <cfRule type="cellIs" priority="19" operator="equal" dxfId="9" stopIfTrue="1">
      <formula>1</formula>
    </cfRule>
  </conditionalFormatting>
  <conditionalFormatting sqref="E4:F4">
    <cfRule type="cellIs" priority="42" operator="equal" dxfId="9" stopIfTrue="1">
      <formula>1</formula>
    </cfRule>
    <cfRule type="cellIs" priority="43" operator="lessThan" dxfId="10" stopIfTrue="1">
      <formula>1</formula>
    </cfRule>
  </conditionalFormatting>
  <conditionalFormatting sqref="F4">
    <cfRule type="cellIs" priority="40" operator="equal" dxfId="9" stopIfTrue="1">
      <formula>1</formula>
    </cfRule>
    <cfRule type="cellIs" priority="41" operator="lessThan" dxfId="10" stopIfTrue="1">
      <formula>1</formula>
    </cfRule>
  </conditionalFormatting>
  <conditionalFormatting sqref="F5">
    <cfRule type="cellIs" priority="36" operator="greaterThan" dxfId="10" stopIfTrue="1">
      <formula>0</formula>
    </cfRule>
    <cfRule type="cellIs" priority="37" operator="equal" dxfId="9" stopIfTrue="1">
      <formula>0</formula>
    </cfRule>
    <cfRule type="cellIs" priority="38" operator="greaterThan" dxfId="10" stopIfTrue="1">
      <formula>0</formula>
    </cfRule>
    <cfRule type="cellIs" priority="39" operator="equal" dxfId="9" stopIfTrue="1">
      <formula>0</formula>
    </cfRule>
  </conditionalFormatting>
  <conditionalFormatting sqref="F6">
    <cfRule type="cellIs" priority="34" operator="equal" dxfId="9" stopIfTrue="1">
      <formula>0</formula>
    </cfRule>
    <cfRule type="cellIs" priority="35" operator="greaterThan" dxfId="22" stopIfTrue="1">
      <formula>0</formula>
    </cfRule>
  </conditionalFormatting>
  <conditionalFormatting sqref="F6:F7">
    <cfRule type="cellIs" priority="30" operator="equal" dxfId="9" stopIfTrue="1">
      <formula>0</formula>
    </cfRule>
    <cfRule type="cellIs" priority="31" operator="greaterThan" dxfId="22" stopIfTrue="1">
      <formula>0</formula>
    </cfRule>
  </conditionalFormatting>
  <conditionalFormatting sqref="F7:F8">
    <cfRule type="cellIs" priority="26" operator="equal" dxfId="9" stopIfTrue="1">
      <formula>0</formula>
    </cfRule>
    <cfRule type="cellIs" priority="27" operator="greaterThan" dxfId="22" stopIfTrue="1">
      <formula>0</formula>
    </cfRule>
  </conditionalFormatting>
  <conditionalFormatting sqref="F8">
    <cfRule type="cellIs" priority="24" operator="equal" dxfId="9" stopIfTrue="1">
      <formula>0</formula>
    </cfRule>
    <cfRule type="cellIs" priority="25" operator="greaterThan" dxfId="22" stopIfTrue="1">
      <formula>0</formula>
    </cfRule>
  </conditionalFormatting>
  <conditionalFormatting sqref="F10:F39">
    <cfRule type="cellIs" priority="57" operator="equal" dxfId="6" stopIfTrue="1">
      <formula>"NA"</formula>
    </cfRule>
    <cfRule type="cellIs" priority="58" operator="equal" dxfId="5" stopIfTrue="1">
      <formula>"Blocked"</formula>
    </cfRule>
    <cfRule type="cellIs" priority="59" operator="equal" dxfId="4" stopIfTrue="1">
      <formula>"Pending"</formula>
    </cfRule>
    <cfRule type="cellIs" priority="60" operator="equal" dxfId="0" stopIfTrue="1">
      <formula>"Passed"</formula>
    </cfRule>
    <cfRule type="cellIs" priority="61" operator="equal" dxfId="1" stopIfTrue="1">
      <formula>"Failed"</formula>
    </cfRule>
    <cfRule type="cellIs" priority="62" operator="equal" dxfId="1" stopIfTrue="1">
      <formula>"Fail"</formula>
    </cfRule>
    <cfRule type="cellIs" priority="63" operator="equal" dxfId="0" stopIfTrue="1">
      <formula>"Pass"</formula>
    </cfRule>
  </conditionalFormatting>
  <conditionalFormatting sqref="G5:G8">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0:H39">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39" showDropDown="0" showInputMessage="1" showErrorMessage="1" allowBlank="1" type="list">
      <formula1>"Passed,Failed,Blocked,Pending,NA"</formula1>
    </dataValidation>
    <dataValidation sqref="H10:H39" showDropDown="0" showInputMessage="1" showErrorMessage="1" allowBlank="1" type="list">
      <formula1>"Done,Blocked,Pending,Out of Scope"</formula1>
    </dataValidation>
  </dataValidations>
  <hyperlinks>
    <hyperlink xmlns:r="http://schemas.openxmlformats.org/officeDocument/2006/relationships" ref="D42" r:id="rId1"/>
    <hyperlink xmlns:r="http://schemas.openxmlformats.org/officeDocument/2006/relationships" ref="D48" r:id="rId2"/>
  </hyperlink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B2:K274"/>
  <sheetViews>
    <sheetView showGridLines="0" topLeftCell="C1" workbookViewId="0">
      <selection activeCell="D5" sqref="D5"/>
    </sheetView>
  </sheetViews>
  <sheetFormatPr baseColWidth="8" defaultRowHeight="15"/>
  <cols>
    <col width="5" customWidth="1" min="1" max="1"/>
    <col width="12.7109375" customWidth="1" min="2" max="2"/>
    <col width="27.140625" customWidth="1" min="3" max="3"/>
    <col width="27.7109375" customWidth="1" min="4" max="4"/>
    <col width="31.28515625" customWidth="1" min="5" max="5"/>
    <col width="41.140625" customWidth="1" min="6" max="6"/>
    <col width="17.140625" customWidth="1" style="104" min="7" max="7"/>
    <col width="19.42578125" customWidth="1" style="104" min="8" max="8"/>
    <col width="17.140625" customWidth="1" style="104" min="9" max="9"/>
    <col width="12" customWidth="1" min="10" max="10"/>
    <col width="11.42578125" customWidth="1" min="11" max="11"/>
  </cols>
  <sheetData>
    <row r="1" ht="15.75" customHeight="1" thickBot="1"/>
    <row r="2" ht="15.75" customHeight="1" thickBot="1">
      <c r="B2" s="352" t="inlineStr">
        <is>
          <t>Test Case Summary</t>
        </is>
      </c>
      <c r="C2" s="389" t="n"/>
      <c r="D2" s="389" t="n"/>
      <c r="E2" s="389" t="n"/>
      <c r="F2" s="390" t="n"/>
      <c r="G2" s="153" t="n"/>
    </row>
    <row r="3" ht="15.7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COUNTIF(G10:G500,"Passed")</f>
        <v/>
      </c>
      <c r="E4" s="53">
        <f>IF(D4=0,,(D4/(D4+D5)))</f>
        <v/>
      </c>
      <c r="F4" s="51">
        <f>IF(D3=0,,(D4/D3))</f>
        <v/>
      </c>
      <c r="G4" s="156">
        <f>COUNTIF(I10:I500,"Done")</f>
        <v/>
      </c>
    </row>
    <row r="5" ht="15.75" customHeight="1" thickBot="1">
      <c r="B5" s="350" t="inlineStr">
        <is>
          <t>Failed</t>
        </is>
      </c>
      <c r="D5" s="52">
        <f>COUNTIF(G10:G198,"Failed")</f>
        <v/>
      </c>
      <c r="E5" s="53">
        <f>IF(D5=0,,(D5/(D5+D6)))</f>
        <v/>
      </c>
      <c r="F5" s="51">
        <f>IF(D3=0,,(D5/D3))</f>
        <v/>
      </c>
      <c r="G5" s="52">
        <f>COUNTIF(I10:I500,"Failed")</f>
        <v/>
      </c>
    </row>
    <row r="6" ht="15.75" customHeight="1" thickBot="1">
      <c r="B6" s="350" t="inlineStr">
        <is>
          <t>Blocked</t>
        </is>
      </c>
      <c r="D6" s="52">
        <f>COUNTIF(G10:G198,"Blocked")</f>
        <v/>
      </c>
      <c r="E6" s="53">
        <f>IF(D6=0,,(D6/(D6+D7)))</f>
        <v/>
      </c>
      <c r="F6" s="51">
        <f>IF(D3=0,,(D6/D3))</f>
        <v/>
      </c>
      <c r="G6" s="52">
        <f>COUNTIF(I10:I500,"Blocked")</f>
        <v/>
      </c>
    </row>
    <row r="7">
      <c r="B7" s="350" t="inlineStr">
        <is>
          <t>Pending</t>
        </is>
      </c>
      <c r="D7" s="52">
        <f>COUNTIF(G10:G500,"Pending")</f>
        <v/>
      </c>
      <c r="E7" s="53">
        <f>IF(D7=0,,(D7/(D7+D8)))</f>
        <v/>
      </c>
      <c r="F7" s="51">
        <f>IF(D3=0,,(D7/D3))</f>
        <v/>
      </c>
      <c r="G7" s="52">
        <f>COUNTIF(I10:I500,"Pending")</f>
        <v/>
      </c>
    </row>
    <row r="8" ht="15.75" customHeight="1" thickBot="1">
      <c r="B8" s="350" t="inlineStr">
        <is>
          <t>Not Applicable</t>
        </is>
      </c>
      <c r="D8" s="182">
        <f>COUNTIF(G10:G198,"Not Applicable")</f>
        <v/>
      </c>
      <c r="E8" s="183">
        <f>IF(D8=0,,(D8/(D8+#REF!)))</f>
        <v/>
      </c>
      <c r="F8" s="70">
        <f>IF(D3=0,,(D8/D3))</f>
        <v/>
      </c>
      <c r="G8" s="182">
        <f>COUNTIF(I10:I500,"Out of Scope")</f>
        <v/>
      </c>
    </row>
    <row r="9" ht="30.75" customHeight="1" thickBot="1">
      <c r="B9" s="236" t="inlineStr">
        <is>
          <t>S.No.</t>
        </is>
      </c>
      <c r="C9" s="237" t="inlineStr">
        <is>
          <t>Module/Sub-Module</t>
        </is>
      </c>
      <c r="D9" s="237" t="inlineStr">
        <is>
          <t>Test Scenario</t>
        </is>
      </c>
      <c r="E9" s="237" t="inlineStr">
        <is>
          <t>Test Steps</t>
        </is>
      </c>
      <c r="F9" s="237" t="inlineStr">
        <is>
          <t>Expected Results</t>
        </is>
      </c>
      <c r="G9" s="237" t="inlineStr">
        <is>
          <t>Result</t>
        </is>
      </c>
      <c r="H9" s="237" t="inlineStr">
        <is>
          <t>Bug ID</t>
        </is>
      </c>
      <c r="I9" s="237" t="inlineStr">
        <is>
          <t>Automation Status</t>
        </is>
      </c>
      <c r="J9" s="238" t="inlineStr">
        <is>
          <t>Mapped Scripts</t>
        </is>
      </c>
      <c r="K9" s="239" t="inlineStr">
        <is>
          <t>Comments</t>
        </is>
      </c>
    </row>
    <row r="10" ht="39" customHeight="1">
      <c r="B10" s="254" t="inlineStr">
        <is>
          <t>Report_001</t>
        </is>
      </c>
      <c r="C10" s="255" t="inlineStr">
        <is>
          <t>Reporting page Dashboard</t>
        </is>
      </c>
      <c r="D10" s="256" t="inlineStr">
        <is>
          <t>Validate Reporting page.</t>
        </is>
      </c>
      <c r="E10" s="256" t="inlineStr">
        <is>
          <t>1. Log in to the Spreadsmart application.
2. Click Reporting in the page header.</t>
        </is>
      </c>
      <c r="F10" s="256" t="inlineStr">
        <is>
          <t>The user should be taken to the Reporting page, "Report - Spreading Details".</t>
        </is>
      </c>
      <c r="G10" s="80" t="inlineStr">
        <is>
          <t>Pending</t>
        </is>
      </c>
      <c r="H10" s="256" t="inlineStr">
        <is>
          <t xml:space="preserve"> </t>
        </is>
      </c>
      <c r="I10" s="80" t="inlineStr">
        <is>
          <t>Done</t>
        </is>
      </c>
      <c r="J10" s="256" t="inlineStr">
        <is>
          <t xml:space="preserve"> </t>
        </is>
      </c>
      <c r="K10" s="257" t="inlineStr">
        <is>
          <t xml:space="preserve"> </t>
        </is>
      </c>
    </row>
    <row r="11" ht="39" customHeight="1">
      <c r="B11" s="258" t="inlineStr">
        <is>
          <t>Report_002</t>
        </is>
      </c>
      <c r="C11" s="241" t="inlineStr">
        <is>
          <t>Reporting page Dashboard</t>
        </is>
      </c>
      <c r="D11" s="240" t="inlineStr">
        <is>
          <t>Validate the default view of the Reporting page.</t>
        </is>
      </c>
      <c r="E11" s="240" t="inlineStr">
        <is>
          <t>1. Log in to the Spreadsmart application.
2. Click Reporting in the page header.</t>
        </is>
      </c>
      <c r="F11" s="240" t="inlineStr">
        <is>
          <t>"Spreading Details" page should be the default page appearing on clicking Reporting.</t>
        </is>
      </c>
      <c r="G11" s="366" t="inlineStr">
        <is>
          <t>Pending</t>
        </is>
      </c>
      <c r="H11" s="240" t="inlineStr">
        <is>
          <t xml:space="preserve"> </t>
        </is>
      </c>
      <c r="I11" s="366" t="inlineStr">
        <is>
          <t>Done</t>
        </is>
      </c>
      <c r="J11" s="240" t="inlineStr">
        <is>
          <t xml:space="preserve"> </t>
        </is>
      </c>
      <c r="K11" s="259" t="inlineStr">
        <is>
          <t xml:space="preserve"> </t>
        </is>
      </c>
    </row>
    <row r="12" ht="128.25" customHeight="1">
      <c r="B12" s="258" t="inlineStr">
        <is>
          <t>Report_003</t>
        </is>
      </c>
      <c r="C12" s="241" t="inlineStr">
        <is>
          <t>Reporting page Dashboard</t>
        </is>
      </c>
      <c r="D12" s="240" t="inlineStr">
        <is>
          <t>Validate the components of Reporting page.</t>
        </is>
      </c>
      <c r="E12" s="240" t="inlineStr">
        <is>
          <t>1. Log in to the Spreadsmart application.
2. Click Reporting in the page header.</t>
        </is>
      </c>
      <c r="F12" s="240" t="inlineStr">
        <is>
          <t>Reporting page consist of the following Report List dropdown.
1. Spreading tab.
2. Audit Log tab.
3. Covenant tab.
4. Technical Exception tab.
5. Format type radio buttons.
7. Information button.
8. Refresh button.
9. Generate Report button.</t>
        </is>
      </c>
      <c r="G12" s="366" t="inlineStr">
        <is>
          <t>Pending</t>
        </is>
      </c>
      <c r="H12" s="240" t="inlineStr">
        <is>
          <t xml:space="preserve"> </t>
        </is>
      </c>
      <c r="I12" s="366" t="inlineStr">
        <is>
          <t>Done</t>
        </is>
      </c>
      <c r="J12" s="240" t="inlineStr">
        <is>
          <t xml:space="preserve"> </t>
        </is>
      </c>
      <c r="K12" s="259" t="inlineStr">
        <is>
          <t xml:space="preserve"> </t>
        </is>
      </c>
    </row>
    <row r="13" ht="115.5" customHeight="1">
      <c r="B13" s="258" t="inlineStr">
        <is>
          <t>Report_004</t>
        </is>
      </c>
      <c r="C13" s="242" t="inlineStr">
        <is>
          <t>Reporting &gt; Spreading tab</t>
        </is>
      </c>
      <c r="D13" s="240" t="inlineStr">
        <is>
          <t>Validate the sub tabs under "Spreading" tab dropdown.</t>
        </is>
      </c>
      <c r="E13" s="240" t="inlineStr">
        <is>
          <t>1. Log in to the Spreadsmart application.
2. Click Reporting in the page header.
3. Click the Spreading tab dropdown under Report List.
4. Validate the sub tabs.</t>
        </is>
      </c>
      <c r="F13" s="240" t="inlineStr">
        <is>
          <t>Spreading tab should have the following clickable sub tabs.
1. Spreading Details.
2. Customer Details.
3. User Details.
4. OCR Usage.
5. Global Taxonomy Download.
6. Customer Taxonomy Download.
7. Document Quality.</t>
        </is>
      </c>
      <c r="G13" s="366" t="inlineStr">
        <is>
          <t>Pending</t>
        </is>
      </c>
      <c r="H13" s="240" t="inlineStr">
        <is>
          <t xml:space="preserve"> </t>
        </is>
      </c>
      <c r="I13" s="366" t="inlineStr">
        <is>
          <t>Done</t>
        </is>
      </c>
      <c r="J13" s="240" t="inlineStr">
        <is>
          <t xml:space="preserve"> </t>
        </is>
      </c>
      <c r="K13" s="259" t="inlineStr">
        <is>
          <t xml:space="preserve"> </t>
        </is>
      </c>
    </row>
    <row r="14" ht="166.5" customHeight="1">
      <c r="B14" s="258" t="inlineStr">
        <is>
          <t>Report_005</t>
        </is>
      </c>
      <c r="C14" s="243" t="inlineStr">
        <is>
          <t>Reporting &gt; Spreading tab &gt; Spreading Details</t>
        </is>
      </c>
      <c r="D14" s="240" t="inlineStr">
        <is>
          <t>Validate the Spreading Details page.</t>
        </is>
      </c>
      <c r="E14" s="240" t="inlineStr">
        <is>
          <t>1. Log in to the Spreadsmart application.
2. Click Reporting in the page header.
3. Click the Spreading Details sub tab under Spreading tab.</t>
        </is>
      </c>
      <c r="F14" s="240" t="inlineStr">
        <is>
          <t>Spreading Details page should have below mentioned components:
1. Group filter dropdown.
2. Model filter dropdown.
3. Analyst Name filter dropdown.
4. Customer Name filter dropdown.
5. Action Date calendar.
6. Spread Status filter dropdown.
7. Spread Type filter dropdown.
8. Format type radio buttons.
9. Information button.
10. Refresh button.
11. Generate Report button.</t>
        </is>
      </c>
      <c r="G14" s="366" t="inlineStr">
        <is>
          <t>Pending</t>
        </is>
      </c>
      <c r="H14" s="240" t="inlineStr">
        <is>
          <t xml:space="preserve"> </t>
        </is>
      </c>
      <c r="I14" s="366" t="inlineStr">
        <is>
          <t>Done</t>
        </is>
      </c>
      <c r="J14" s="240" t="inlineStr">
        <is>
          <t xml:space="preserve"> </t>
        </is>
      </c>
      <c r="K14" s="259" t="inlineStr">
        <is>
          <t xml:space="preserve"> </t>
        </is>
      </c>
    </row>
    <row r="15" ht="51.75" customHeight="1">
      <c r="B15" s="258" t="inlineStr">
        <is>
          <t>Report_006</t>
        </is>
      </c>
      <c r="C15" s="243" t="inlineStr">
        <is>
          <t>Reporting &gt; Spreading tab &gt; Spreading Details</t>
        </is>
      </c>
      <c r="D15" s="240" t="inlineStr">
        <is>
          <t>Validate the data in the group filter dropdown on Spreading Details page.</t>
        </is>
      </c>
      <c r="E15" s="240" t="inlineStr">
        <is>
          <t>1. Click Reporting in the page header.
2. Click Spreading Details.
3. Click Group dropdown filter.</t>
        </is>
      </c>
      <c r="F15" s="240" t="inlineStr">
        <is>
          <t>"Select Group" should be the default message on the dropdown filter.
Data should be visible as per the groups assigned to logged in user.</t>
        </is>
      </c>
      <c r="G15" s="366" t="inlineStr">
        <is>
          <t>Pending</t>
        </is>
      </c>
      <c r="H15" s="240" t="inlineStr">
        <is>
          <t xml:space="preserve"> </t>
        </is>
      </c>
      <c r="I15" s="366" t="inlineStr">
        <is>
          <t>Done</t>
        </is>
      </c>
      <c r="J15" s="240" t="inlineStr">
        <is>
          <t xml:space="preserve"> </t>
        </is>
      </c>
      <c r="K15" s="259" t="inlineStr">
        <is>
          <t xml:space="preserve"> </t>
        </is>
      </c>
    </row>
    <row r="16" ht="64.5" customHeight="1">
      <c r="B16" s="258" t="inlineStr">
        <is>
          <t>Report_007</t>
        </is>
      </c>
      <c r="C16" s="243" t="inlineStr">
        <is>
          <t>Reporting &gt; Spreading tab &gt; Spreading Details</t>
        </is>
      </c>
      <c r="D16" s="240" t="inlineStr">
        <is>
          <t>Validate updating the "Group" name in Filter dropdown and Spreading Details report.</t>
        </is>
      </c>
      <c r="E16" s="240" t="inlineStr">
        <is>
          <t>1. Click Reporting in the page header.
2. Click Spreading Details.
3. Update the name of the group.
4. Validate the group name in the dropdown.</t>
        </is>
      </c>
      <c r="F16" s="240" t="inlineStr">
        <is>
          <t>1. Group name should be updated in the Group drop down.
2. Group name should be updated in the Group column of Spreading report.</t>
        </is>
      </c>
      <c r="G16" s="366" t="inlineStr">
        <is>
          <t>Pending</t>
        </is>
      </c>
      <c r="H16" s="240" t="inlineStr">
        <is>
          <t xml:space="preserve"> </t>
        </is>
      </c>
      <c r="I16" s="366" t="inlineStr">
        <is>
          <t>Done</t>
        </is>
      </c>
      <c r="J16" s="240" t="inlineStr">
        <is>
          <t xml:space="preserve"> </t>
        </is>
      </c>
      <c r="K16" s="259" t="inlineStr">
        <is>
          <t xml:space="preserve"> </t>
        </is>
      </c>
    </row>
    <row r="17" ht="64.5" customHeight="1">
      <c r="B17" s="258" t="inlineStr">
        <is>
          <t>Report_008</t>
        </is>
      </c>
      <c r="C17" s="243" t="inlineStr">
        <is>
          <t>Reporting &gt; Spreading tab &gt; Spreading Details</t>
        </is>
      </c>
      <c r="D17" s="240" t="inlineStr">
        <is>
          <t>Validate adding a "Group" in Filter dropdown and Spreading Details report.</t>
        </is>
      </c>
      <c r="E17" s="240" t="inlineStr">
        <is>
          <t>1. Click Reporting in the page header.
2. Click Spreading Details.
3. Addd a group and give the access to logged in user.
4. Validate the group in the dropdown.</t>
        </is>
      </c>
      <c r="F17" s="240" t="inlineStr">
        <is>
          <t>1. Added group should be visible in the Group dropdown list.
2. Added group should be visible in the Group column of Spreading report.</t>
        </is>
      </c>
      <c r="G17" s="366" t="inlineStr">
        <is>
          <t>Pending</t>
        </is>
      </c>
      <c r="H17" s="240" t="inlineStr">
        <is>
          <t xml:space="preserve"> </t>
        </is>
      </c>
      <c r="I17" s="366" t="inlineStr">
        <is>
          <t>Done</t>
        </is>
      </c>
      <c r="J17" s="240" t="inlineStr">
        <is>
          <t xml:space="preserve"> </t>
        </is>
      </c>
      <c r="K17" s="259" t="inlineStr">
        <is>
          <t xml:space="preserve"> </t>
        </is>
      </c>
    </row>
    <row r="18" ht="64.5" customHeight="1">
      <c r="B18" s="258" t="inlineStr">
        <is>
          <t>Report_009</t>
        </is>
      </c>
      <c r="C18" s="243" t="inlineStr">
        <is>
          <t>Reporting &gt; Spreading tab &gt; Spreading Details</t>
        </is>
      </c>
      <c r="D18" s="240" t="inlineStr">
        <is>
          <t>Validate deleting a "Group" in Filter dropdown and Spreading Details report.</t>
        </is>
      </c>
      <c r="E18" s="240" t="inlineStr">
        <is>
          <t>1. Click Reporting in the page header.
2. Click Spreading Details.
3. Delete a group having access to logged in user.
4. Validate the group in the dropdown.</t>
        </is>
      </c>
      <c r="F18" s="240" t="inlineStr">
        <is>
          <t>1. Deleted group should not be visible in the Group dropdown list.
2. Deleted group should not be visible in the Group column of Spreading report.</t>
        </is>
      </c>
      <c r="G18" s="366" t="inlineStr">
        <is>
          <t>Pending</t>
        </is>
      </c>
      <c r="H18" s="240" t="inlineStr">
        <is>
          <t xml:space="preserve"> </t>
        </is>
      </c>
      <c r="I18" s="366" t="inlineStr">
        <is>
          <t>Done</t>
        </is>
      </c>
      <c r="J18" s="240" t="inlineStr">
        <is>
          <t xml:space="preserve"> </t>
        </is>
      </c>
      <c r="K18" s="259" t="inlineStr">
        <is>
          <t xml:space="preserve"> </t>
        </is>
      </c>
    </row>
    <row r="19" ht="102.75" customHeight="1">
      <c r="B19" s="258" t="inlineStr">
        <is>
          <t>Report_010</t>
        </is>
      </c>
      <c r="C19" s="243" t="inlineStr">
        <is>
          <t>Reporting &gt; Spreading tab &gt; Spreading Details</t>
        </is>
      </c>
      <c r="D19" s="240" t="inlineStr">
        <is>
          <t>Validate the Group dropdown list on updating the access of logged in user to a group and Spreading Details report.</t>
        </is>
      </c>
      <c r="E19" s="240" t="inlineStr">
        <is>
          <t>1. Click Reporting in the page header.
2. Click Spreading Details.
3. Change the access of some groups to the logged in User, give access to one.
4. Remove access from a Group.
5. Validate the list of the group dropdown.</t>
        </is>
      </c>
      <c r="F19" s="240" t="inlineStr">
        <is>
          <t>1. Only groups should be visible in the dropdown list of Group, having access to the logged in user.
2. Only groups should be in Group column of Spreading report, which are having access to the logged in use.</t>
        </is>
      </c>
      <c r="G19" s="366" t="inlineStr">
        <is>
          <t>Pending</t>
        </is>
      </c>
      <c r="H19" s="240" t="inlineStr">
        <is>
          <t xml:space="preserve"> </t>
        </is>
      </c>
      <c r="I19" s="366" t="inlineStr">
        <is>
          <t>Done</t>
        </is>
      </c>
      <c r="J19" s="240" t="inlineStr">
        <is>
          <t xml:space="preserve"> </t>
        </is>
      </c>
      <c r="K19" s="259" t="inlineStr">
        <is>
          <t xml:space="preserve"> </t>
        </is>
      </c>
    </row>
    <row r="20" ht="90" customHeight="1">
      <c r="B20" s="258" t="inlineStr">
        <is>
          <t>Report_011</t>
        </is>
      </c>
      <c r="C20" s="243" t="inlineStr">
        <is>
          <t>Reporting &gt; Spreading tab &gt; Spreading Details</t>
        </is>
      </c>
      <c r="D20" s="240" t="inlineStr">
        <is>
          <t>Validate the functionality of group dropdown filters on Spreading Details page.</t>
        </is>
      </c>
      <c r="E20" s="240" t="inlineStr">
        <is>
          <t>1. Click Reporting in the page header.
2. Click Spreading Details.
3. Click Group dropdown filter.</t>
        </is>
      </c>
      <c r="F20" s="240" t="inlineStr">
        <is>
          <t>1. It should be single select dropdown filter.
2. Dropdown should have a search bar on top to search the group.
3. Dropdown should have a slider, if the list of the group is long.
4. A cross icon should appear against the selected group to unselect/clear the filter.</t>
        </is>
      </c>
      <c r="G20" s="366" t="inlineStr">
        <is>
          <t>Pending</t>
        </is>
      </c>
      <c r="H20" s="240" t="inlineStr">
        <is>
          <t xml:space="preserve"> </t>
        </is>
      </c>
      <c r="I20" s="366" t="inlineStr">
        <is>
          <t>Done</t>
        </is>
      </c>
      <c r="J20" s="240" t="inlineStr">
        <is>
          <t xml:space="preserve"> </t>
        </is>
      </c>
      <c r="K20" s="259" t="inlineStr">
        <is>
          <t xml:space="preserve"> </t>
        </is>
      </c>
    </row>
    <row r="21" ht="51.75" customHeight="1">
      <c r="B21" s="258" t="inlineStr">
        <is>
          <t>Report_012</t>
        </is>
      </c>
      <c r="C21" s="243" t="inlineStr">
        <is>
          <t>Reporting &gt; Spreading tab &gt; Spreading Details</t>
        </is>
      </c>
      <c r="D21" s="240" t="inlineStr">
        <is>
          <t>Validate the data in the Model dropdown filter on Spreading Details page.</t>
        </is>
      </c>
      <c r="E21" s="240" t="inlineStr">
        <is>
          <t>1. Click Reporting in the page header.
2. Click Spreading Details.
3. Click Model dropdown filter.</t>
        </is>
      </c>
      <c r="F21" s="240" t="inlineStr">
        <is>
          <t>"Select Model" should be the default message on the dropdown filter.
Data should be visible as per the selection of the group.</t>
        </is>
      </c>
      <c r="G21" s="366" t="inlineStr">
        <is>
          <t>Pending</t>
        </is>
      </c>
      <c r="H21" s="240" t="inlineStr">
        <is>
          <t xml:space="preserve"> </t>
        </is>
      </c>
      <c r="I21" s="366" t="inlineStr">
        <is>
          <t>Done</t>
        </is>
      </c>
      <c r="J21" s="240" t="inlineStr">
        <is>
          <t xml:space="preserve"> </t>
        </is>
      </c>
      <c r="K21" s="259" t="inlineStr">
        <is>
          <t xml:space="preserve"> </t>
        </is>
      </c>
    </row>
    <row r="22" ht="64.5" customHeight="1">
      <c r="B22" s="258" t="inlineStr">
        <is>
          <t>Report_013</t>
        </is>
      </c>
      <c r="C22" s="243" t="inlineStr">
        <is>
          <t>Reporting &gt; Spreading tab &gt; Spreading Details</t>
        </is>
      </c>
      <c r="D22" s="240" t="inlineStr">
        <is>
          <t>Validate updating the "Model" name in Filter dropdown.</t>
        </is>
      </c>
      <c r="E22" s="240" t="inlineStr">
        <is>
          <t>1. Click Reporting in the page header.
2. Click Spreading Details.
3. Update the name of the Model.
4. Validate the Model name in the dropdown.</t>
        </is>
      </c>
      <c r="F22" s="240" t="inlineStr">
        <is>
          <t>Model name should be updated in the Model drop down.</t>
        </is>
      </c>
      <c r="G22" s="366" t="inlineStr">
        <is>
          <t>Pending</t>
        </is>
      </c>
      <c r="H22" s="240" t="inlineStr">
        <is>
          <t xml:space="preserve"> </t>
        </is>
      </c>
      <c r="I22" s="366" t="inlineStr">
        <is>
          <t>Done</t>
        </is>
      </c>
      <c r="J22" s="240" t="inlineStr">
        <is>
          <t xml:space="preserve"> </t>
        </is>
      </c>
      <c r="K22" s="259" t="inlineStr">
        <is>
          <t xml:space="preserve"> </t>
        </is>
      </c>
    </row>
    <row r="23" ht="77.25" customHeight="1">
      <c r="B23" s="258" t="inlineStr">
        <is>
          <t>Report_014</t>
        </is>
      </c>
      <c r="C23" s="243" t="inlineStr">
        <is>
          <t>Reporting &gt; Spreading tab &gt; Spreading Details</t>
        </is>
      </c>
      <c r="D23" s="240" t="inlineStr">
        <is>
          <t>Validate adding a "Model" in Filter dropdown.</t>
        </is>
      </c>
      <c r="E23" s="240" t="inlineStr">
        <is>
          <t>1. Click Reporting in the page header.
2. Click Spreading Details.
3. Addd a Model and attach it to a group having access to logged in user.
4. Validate the Model in the dropdown.</t>
        </is>
      </c>
      <c r="F23" s="240" t="inlineStr">
        <is>
          <t>Added Model should be visible in the Model dropdown list with the corresponding Group.</t>
        </is>
      </c>
      <c r="G23" s="366" t="inlineStr">
        <is>
          <t>Pending</t>
        </is>
      </c>
      <c r="H23" s="240" t="inlineStr">
        <is>
          <t xml:space="preserve"> </t>
        </is>
      </c>
      <c r="I23" s="366" t="inlineStr">
        <is>
          <t>Done</t>
        </is>
      </c>
      <c r="J23" s="240" t="n"/>
      <c r="K23" s="259" t="n"/>
    </row>
    <row r="24" ht="77.25" customHeight="1">
      <c r="B24" s="258" t="inlineStr">
        <is>
          <t>Report_015</t>
        </is>
      </c>
      <c r="C24" s="243" t="inlineStr">
        <is>
          <t>Reporting &gt; Spreading tab &gt; Spreading Details</t>
        </is>
      </c>
      <c r="D24" s="240" t="inlineStr">
        <is>
          <t>Validate deleting a "Model" in Filter dropdown.</t>
        </is>
      </c>
      <c r="E24" s="240" t="inlineStr">
        <is>
          <t>1. Click Reporting in the page header.
2. Click Spreading Details.
3. Delete a Model from a Group having access to logged in user.
4. Validate the Model in the dropdown.</t>
        </is>
      </c>
      <c r="F24" s="240" t="inlineStr">
        <is>
          <t>Deleted Model should not be visible in the Model dropdown list with the corresponding Group.</t>
        </is>
      </c>
      <c r="G24" s="366" t="inlineStr">
        <is>
          <t>Pending</t>
        </is>
      </c>
      <c r="H24" s="240" t="inlineStr">
        <is>
          <t xml:space="preserve"> </t>
        </is>
      </c>
      <c r="I24" s="366" t="inlineStr">
        <is>
          <t>Done</t>
        </is>
      </c>
      <c r="J24" s="240" t="inlineStr">
        <is>
          <t xml:space="preserve"> </t>
        </is>
      </c>
      <c r="K24" s="259" t="inlineStr">
        <is>
          <t xml:space="preserve"> </t>
        </is>
      </c>
    </row>
    <row r="25" ht="115.5" customHeight="1">
      <c r="B25" s="258" t="inlineStr">
        <is>
          <t>Report_016</t>
        </is>
      </c>
      <c r="C25" s="243" t="inlineStr">
        <is>
          <t>Reporting &gt; Spreading tab &gt; Spreading Details</t>
        </is>
      </c>
      <c r="D25" s="240" t="inlineStr">
        <is>
          <t>Validate the Model dropdown list on updating the access of logged in user to a Model.</t>
        </is>
      </c>
      <c r="E25" s="240" t="inlineStr">
        <is>
          <t>1. Click Reporting in the page header.
2. Click Spreading Details.
3. Attach a model to a group which is accessed by the logged in user.
4. Remove a model from a Group which is accessed by the logged in user.
5. Validate the list of the Model dropdown.</t>
        </is>
      </c>
      <c r="F25" s="240" t="inlineStr">
        <is>
          <t>1. Only Models should be visible in the dropdown list of model, attached to a group having access to the logged in user.
2. Models should not be visible in the dropdown list of model if not attached to a group having access to the logged in user.</t>
        </is>
      </c>
      <c r="G25" s="366" t="inlineStr">
        <is>
          <t>Pending</t>
        </is>
      </c>
      <c r="H25" s="240" t="inlineStr">
        <is>
          <t xml:space="preserve"> </t>
        </is>
      </c>
      <c r="I25" s="366" t="inlineStr">
        <is>
          <t>Done</t>
        </is>
      </c>
      <c r="J25" s="240" t="inlineStr">
        <is>
          <t xml:space="preserve"> </t>
        </is>
      </c>
      <c r="K25" s="259" t="inlineStr">
        <is>
          <t xml:space="preserve"> </t>
        </is>
      </c>
    </row>
    <row r="26" ht="115.5" customHeight="1">
      <c r="B26" s="258" t="inlineStr">
        <is>
          <t>Report_017</t>
        </is>
      </c>
      <c r="C26" s="243" t="inlineStr">
        <is>
          <t>Reporting &gt; Spreading tab &gt; Spreading Details</t>
        </is>
      </c>
      <c r="D26" s="240" t="inlineStr">
        <is>
          <t>Validate the functionality of model dropdown filters on Spreading Details page.</t>
        </is>
      </c>
      <c r="E26" s="240" t="inlineStr">
        <is>
          <t>1. Click Reporting in the page header.
2. Click Spreading Details.
3. Click Model dropdown filter after selecting group.</t>
        </is>
      </c>
      <c r="F26" s="240" t="inlineStr">
        <is>
          <t>1. It should be a Multi select dropdown filter.
2. Dropdown should have a search bar on top to search the model.
3. Dropdown should have a slider, if the list of the model is long.
4. Selection/un select can be done by checking/unchecking checkbox against all models.
5. All models can be selected by selecting the select all check box mentioned against search bar.</t>
        </is>
      </c>
      <c r="G26" s="366" t="inlineStr">
        <is>
          <t>Pending</t>
        </is>
      </c>
      <c r="H26" s="240" t="inlineStr">
        <is>
          <t xml:space="preserve"> </t>
        </is>
      </c>
      <c r="I26" s="366" t="inlineStr">
        <is>
          <t>Done</t>
        </is>
      </c>
      <c r="J26" s="240" t="inlineStr">
        <is>
          <t xml:space="preserve"> </t>
        </is>
      </c>
      <c r="K26" s="259" t="inlineStr">
        <is>
          <t xml:space="preserve"> </t>
        </is>
      </c>
    </row>
    <row r="27" ht="77.25" customHeight="1">
      <c r="B27" s="258" t="inlineStr">
        <is>
          <t>Report_018</t>
        </is>
      </c>
      <c r="C27" s="243" t="inlineStr">
        <is>
          <t>Reporting &gt; Spreading tab &gt; Spreading Details</t>
        </is>
      </c>
      <c r="D27" s="244" t="inlineStr">
        <is>
          <t>Validate changing the group name without clicking on cross icon.</t>
        </is>
      </c>
      <c r="E27" s="244" t="inlineStr">
        <is>
          <t>1. Click reporting.
2. Select any group.
3. Select any model.
4. Select any other group (without click cross icon aligned with group name).</t>
        </is>
      </c>
      <c r="F27" s="244" t="inlineStr">
        <is>
          <t>Default text "Select Model" should appear when changes the group without clicking on cross icon.</t>
        </is>
      </c>
      <c r="G27" s="366" t="inlineStr">
        <is>
          <t>Pending</t>
        </is>
      </c>
      <c r="H27" s="240" t="n"/>
      <c r="I27" s="366" t="inlineStr">
        <is>
          <t>Pending</t>
        </is>
      </c>
      <c r="J27" s="240" t="n"/>
      <c r="K27" s="259" t="n"/>
    </row>
    <row r="28" ht="115.5" customHeight="1">
      <c r="B28" s="258" t="inlineStr">
        <is>
          <t>Report_019</t>
        </is>
      </c>
      <c r="C28" s="243" t="inlineStr">
        <is>
          <t>Reporting &gt; Spreading tab &gt; Spreading Details</t>
        </is>
      </c>
      <c r="D28" s="244" t="inlineStr">
        <is>
          <t>Validate the functionality of refresh button.</t>
        </is>
      </c>
      <c r="E28" s="244" t="inlineStr">
        <is>
          <t>1. Select any group.
2. Select any model.
3. Click "Refresh" button.
4. Click group field.
5. Click "Model" field.</t>
        </is>
      </c>
      <c r="F28" s="244" t="inlineStr">
        <is>
          <t>1. Group should not appear in the group field after clicks on refresh button.
2. Model list should not appear once clicks on refresh button and when the group is not selected. Model list should appear only when group is selected.
3. "No result found" should appear when clicks on refresh button and when the group is not selected.</t>
        </is>
      </c>
      <c r="G28" s="366" t="inlineStr">
        <is>
          <t>Pending</t>
        </is>
      </c>
      <c r="H28" s="240" t="n"/>
      <c r="I28" s="366" t="inlineStr">
        <is>
          <t>Pending</t>
        </is>
      </c>
      <c r="J28" s="240" t="n"/>
      <c r="K28" s="259" t="n"/>
    </row>
    <row r="29" ht="51.75" customHeight="1">
      <c r="B29" s="258" t="inlineStr">
        <is>
          <t>Report_020</t>
        </is>
      </c>
      <c r="C29" s="243" t="inlineStr">
        <is>
          <t>Reporting &gt; Spreading tab &gt; Spreading Details</t>
        </is>
      </c>
      <c r="D29" s="240" t="inlineStr">
        <is>
          <t>Validate the data in the Analyst Name dropdown filters on Spreading Details page.</t>
        </is>
      </c>
      <c r="E29" s="240" t="inlineStr">
        <is>
          <t>1. Click Reporting in the page header.
2. Click Spreading Details.
3. Click Analyst Name dropdown filter.</t>
        </is>
      </c>
      <c r="F29" s="240" t="inlineStr">
        <is>
          <t>"Select Analyst(s)" should be the default message on the dropdown filter, data should contains the list of all the analysts.</t>
        </is>
      </c>
      <c r="G29" s="366" t="inlineStr">
        <is>
          <t>Pending</t>
        </is>
      </c>
      <c r="H29" s="240" t="inlineStr">
        <is>
          <t xml:space="preserve"> </t>
        </is>
      </c>
      <c r="I29" s="366" t="inlineStr">
        <is>
          <t>Done</t>
        </is>
      </c>
      <c r="J29" s="240" t="inlineStr">
        <is>
          <t xml:space="preserve"> </t>
        </is>
      </c>
      <c r="K29" s="259" t="inlineStr">
        <is>
          <t xml:space="preserve"> </t>
        </is>
      </c>
    </row>
    <row r="30" ht="51.75" customHeight="1">
      <c r="B30" s="258" t="inlineStr">
        <is>
          <t>Report_021</t>
        </is>
      </c>
      <c r="C30" s="243" t="inlineStr">
        <is>
          <t>Reporting &gt; Spreading tab &gt; Spreading Details</t>
        </is>
      </c>
      <c r="D30" s="240" t="inlineStr">
        <is>
          <t>Validate newly added Analyst in Analyst Name dropdown filters on Spreading Details page and Spreading Details report.</t>
        </is>
      </c>
      <c r="E30" s="240" t="inlineStr">
        <is>
          <t>1. Click Reporting in the page header.
2. Click Spreading Details.
3. Click Analyst Name dropdown filter.</t>
        </is>
      </c>
      <c r="F30" s="240" t="inlineStr">
        <is>
          <t>Newly added Analyst Name should be visible in.
1. Analyst Name dropdown filter.
2. Spreading Analyst column on Spreading Details report.</t>
        </is>
      </c>
      <c r="G30" s="366" t="inlineStr">
        <is>
          <t>Pending</t>
        </is>
      </c>
      <c r="H30" s="240" t="inlineStr">
        <is>
          <t xml:space="preserve"> </t>
        </is>
      </c>
      <c r="I30" s="366" t="inlineStr">
        <is>
          <t>Pending</t>
        </is>
      </c>
      <c r="J30" s="240" t="n">
        <v>1</v>
      </c>
      <c r="K30" s="259" t="inlineStr">
        <is>
          <t xml:space="preserve"> </t>
        </is>
      </c>
    </row>
    <row r="31" ht="51.75" customHeight="1">
      <c r="B31" s="258" t="inlineStr">
        <is>
          <t>Report_022</t>
        </is>
      </c>
      <c r="C31" s="243" t="inlineStr">
        <is>
          <t>Reporting &gt; Spreading tab &gt; Spreading Details</t>
        </is>
      </c>
      <c r="D31" s="240" t="inlineStr">
        <is>
          <t>Validate deleted Analyst in Analyst Name dropdown filters on Spreading Details page and Spreading Details report.</t>
        </is>
      </c>
      <c r="E31" s="240" t="inlineStr">
        <is>
          <t>1. Click Reporting in the page header.
2. Click Spreading Details.
3. Click Analyst Name dropdown filter.</t>
        </is>
      </c>
      <c r="F31" s="240" t="inlineStr">
        <is>
          <t>Deleted Analyst Name should not be visible in.
1. Analyst Name dropdown filter.
2. Spreading Analyst column on Spreading Details report.</t>
        </is>
      </c>
      <c r="G31" s="366" t="inlineStr">
        <is>
          <t>Pending</t>
        </is>
      </c>
      <c r="H31" s="240" t="inlineStr">
        <is>
          <t xml:space="preserve"> </t>
        </is>
      </c>
      <c r="I31" s="366" t="inlineStr">
        <is>
          <t>Pending</t>
        </is>
      </c>
      <c r="J31" s="240" t="n">
        <v>1</v>
      </c>
      <c r="K31" s="259" t="inlineStr">
        <is>
          <t xml:space="preserve"> </t>
        </is>
      </c>
    </row>
    <row r="32" ht="102.75" customHeight="1">
      <c r="B32" s="258" t="inlineStr">
        <is>
          <t>Report_023</t>
        </is>
      </c>
      <c r="C32" s="243" t="inlineStr">
        <is>
          <t>Reporting &gt; Spreading tab &gt; Spreading Details</t>
        </is>
      </c>
      <c r="D32" s="240" t="inlineStr">
        <is>
          <t>Validate the functionality of Analyst Name dropdown filters on Spreading Details page.</t>
        </is>
      </c>
      <c r="E32" s="240" t="inlineStr">
        <is>
          <t>1. Click Reporting in the page header.
2. Click Spreading Details.
3. Click Analyst Name dropdown filter.</t>
        </is>
      </c>
      <c r="F32" s="240" t="inlineStr">
        <is>
          <t>1. It should be a Multi select dropdown filter.
2. Dropdown should have a search bar to search the model.
3. Dropdown should have a slider, if the list of the Analyst is long.
4. Selection/un select can be done by checking/unchecking checkbox against all Analyst Names.</t>
        </is>
      </c>
      <c r="G32" s="366" t="inlineStr">
        <is>
          <t>Pending</t>
        </is>
      </c>
      <c r="H32" s="240" t="inlineStr">
        <is>
          <t xml:space="preserve"> </t>
        </is>
      </c>
      <c r="I32" s="366" t="inlineStr">
        <is>
          <t>Done</t>
        </is>
      </c>
      <c r="J32" s="240" t="inlineStr">
        <is>
          <t xml:space="preserve"> </t>
        </is>
      </c>
      <c r="K32" s="259" t="inlineStr">
        <is>
          <t xml:space="preserve"> </t>
        </is>
      </c>
    </row>
    <row r="33" ht="51.75" customHeight="1">
      <c r="B33" s="258" t="inlineStr">
        <is>
          <t>Report_024</t>
        </is>
      </c>
      <c r="C33" s="243" t="inlineStr">
        <is>
          <t>Reporting &gt; Spreading tab &gt; Spreading Details</t>
        </is>
      </c>
      <c r="D33" s="240" t="inlineStr">
        <is>
          <t>Validate the data in the Customer Name dropdown filters on Spreading Details page.</t>
        </is>
      </c>
      <c r="E33" s="240" t="inlineStr">
        <is>
          <t>1. Click Reporting in the page header.
2. Click Spreading Details.
3. Click Customer Name dropdown filter.</t>
        </is>
      </c>
      <c r="F33" s="240" t="inlineStr">
        <is>
          <t>"Select customer" name should be the default message on the dropdown filter.
Data should contains the list of all the customers as per the logged in user.</t>
        </is>
      </c>
      <c r="G33" s="366" t="inlineStr">
        <is>
          <t>Pending</t>
        </is>
      </c>
      <c r="H33" s="240" t="inlineStr">
        <is>
          <t xml:space="preserve"> </t>
        </is>
      </c>
      <c r="I33" s="366" t="inlineStr">
        <is>
          <t>Done</t>
        </is>
      </c>
      <c r="J33" s="240" t="inlineStr">
        <is>
          <t xml:space="preserve"> </t>
        </is>
      </c>
      <c r="K33" s="259" t="inlineStr">
        <is>
          <t xml:space="preserve"> </t>
        </is>
      </c>
    </row>
    <row r="34" ht="64.5" customHeight="1">
      <c r="B34" s="258" t="inlineStr">
        <is>
          <t>Report_025</t>
        </is>
      </c>
      <c r="C34" s="243" t="inlineStr">
        <is>
          <t>Reporting &gt; Spreading tab &gt; Spreading Details</t>
        </is>
      </c>
      <c r="D34" s="240" t="inlineStr">
        <is>
          <t>Validate a Customer in Customer Name dropdown filters on Spreading Details page and Spreading Details report on giving access to logged in user.</t>
        </is>
      </c>
      <c r="E34" s="240" t="inlineStr">
        <is>
          <t>1. Click Reporting in the page header.
2. Click Spreading Details.
3. Click Customer Name dropdown filter.</t>
        </is>
      </c>
      <c r="F34" s="240" t="inlineStr">
        <is>
          <t>When giving access to logged in user, Customer should be visible in.
1. Customer Name dropdown filter.
2. Customer Name column on Spreading Details report.</t>
        </is>
      </c>
      <c r="G34" s="366" t="inlineStr">
        <is>
          <t>Pending</t>
        </is>
      </c>
      <c r="H34" s="240" t="inlineStr">
        <is>
          <t xml:space="preserve"> </t>
        </is>
      </c>
      <c r="I34" s="366" t="inlineStr">
        <is>
          <t>Done</t>
        </is>
      </c>
      <c r="J34" s="240" t="inlineStr">
        <is>
          <t xml:space="preserve"> </t>
        </is>
      </c>
      <c r="K34" s="259" t="inlineStr">
        <is>
          <t xml:space="preserve"> </t>
        </is>
      </c>
    </row>
    <row r="35" ht="77.25" customHeight="1">
      <c r="B35" s="258" t="inlineStr">
        <is>
          <t>Report_026</t>
        </is>
      </c>
      <c r="C35" s="243" t="inlineStr">
        <is>
          <t>Reporting &gt; Spreading tab &gt; Spreading Details</t>
        </is>
      </c>
      <c r="D35" s="240" t="inlineStr">
        <is>
          <t>Validate Customer in Customer Name dropdown filters on Spreading Details page and Spreading Details report on revoking access from logged in user.</t>
        </is>
      </c>
      <c r="E35" s="240" t="inlineStr">
        <is>
          <t>1. Click Reporting in the page header.
2. Click Spreading Details.
3. Click Customer Name dropdown filter.</t>
        </is>
      </c>
      <c r="F35" s="240" t="inlineStr">
        <is>
          <t>When revoking access from logged in user, Customer should not be visible in.
1. Customer Name dropdown filter.
2. Customer Name column on Spreading Details report.</t>
        </is>
      </c>
      <c r="G35" s="366" t="inlineStr">
        <is>
          <t>Pending</t>
        </is>
      </c>
      <c r="H35" s="240" t="inlineStr">
        <is>
          <t xml:space="preserve"> </t>
        </is>
      </c>
      <c r="I35" s="366" t="inlineStr">
        <is>
          <t>Pending</t>
        </is>
      </c>
      <c r="J35" s="240" t="n">
        <v>1</v>
      </c>
      <c r="K35" s="259" t="inlineStr">
        <is>
          <t xml:space="preserve"> </t>
        </is>
      </c>
    </row>
    <row r="36" ht="128.25" customHeight="1">
      <c r="B36" s="258" t="inlineStr">
        <is>
          <t>Report_027</t>
        </is>
      </c>
      <c r="C36" s="243" t="inlineStr">
        <is>
          <t>Reporting &gt; Spreading tab &gt; Spreading Details</t>
        </is>
      </c>
      <c r="D36" s="240" t="inlineStr">
        <is>
          <t>Validate the functionality of Customer Name dropdown filters on Spreading Details page.</t>
        </is>
      </c>
      <c r="E36" s="240" t="inlineStr">
        <is>
          <t>1. Click Reporting in the page header.
2. Click Spreading Details.
3. Click Customer Name dropdown filter.</t>
        </is>
      </c>
      <c r="F36" s="240" t="inlineStr">
        <is>
          <t>1. It should be a Multi select dropdown filter.
2. Dropdown should have a search bar to search the customer.
3. Dropdown should have a slider, if the list of the customer is long.
4. Selection/un select can be done by checking/unchecking checkbox against all Customer Names.
5. Complete selection can be de-selected by clicking on "Clear Selection".</t>
        </is>
      </c>
      <c r="G36" s="366" t="inlineStr">
        <is>
          <t>Pending</t>
        </is>
      </c>
      <c r="H36" s="240" t="inlineStr">
        <is>
          <t xml:space="preserve"> </t>
        </is>
      </c>
      <c r="I36" s="366" t="inlineStr">
        <is>
          <t>Done</t>
        </is>
      </c>
      <c r="J36" s="240" t="inlineStr">
        <is>
          <t xml:space="preserve"> </t>
        </is>
      </c>
      <c r="K36" s="259" t="inlineStr">
        <is>
          <t xml:space="preserve"> </t>
        </is>
      </c>
    </row>
    <row r="37" ht="39" customHeight="1">
      <c r="B37" s="258" t="inlineStr">
        <is>
          <t>Report_028</t>
        </is>
      </c>
      <c r="C37" s="243" t="inlineStr">
        <is>
          <t>Reporting &gt; Spreading tab &gt; Spreading Details</t>
        </is>
      </c>
      <c r="D37" s="240" t="inlineStr">
        <is>
          <t>Validate the "Action Date" calendar on Spreading Details page.</t>
        </is>
      </c>
      <c r="E37" s="240" t="inlineStr">
        <is>
          <t>1. Click Reporting in the page header.
2. Click Spreading Details.
3. Click the Action Date calendar.</t>
        </is>
      </c>
      <c r="F37" s="240" t="inlineStr">
        <is>
          <t>Action Date calendar should be clickable.
"Action Date Range" should be the default message on the calendar.</t>
        </is>
      </c>
      <c r="G37" s="366" t="inlineStr">
        <is>
          <t>Pending</t>
        </is>
      </c>
      <c r="H37" s="240" t="inlineStr">
        <is>
          <t xml:space="preserve"> </t>
        </is>
      </c>
      <c r="I37" s="366" t="inlineStr">
        <is>
          <t>Done</t>
        </is>
      </c>
      <c r="J37" s="240" t="inlineStr">
        <is>
          <t xml:space="preserve"> </t>
        </is>
      </c>
      <c r="K37" s="259" t="inlineStr">
        <is>
          <t xml:space="preserve"> </t>
        </is>
      </c>
    </row>
    <row r="38" ht="39" customHeight="1">
      <c r="B38" s="258" t="inlineStr">
        <is>
          <t>Report_029</t>
        </is>
      </c>
      <c r="C38" s="243" t="inlineStr">
        <is>
          <t>Reporting &gt; Spreading tab &gt; Spreading Details</t>
        </is>
      </c>
      <c r="D38" s="240" t="inlineStr">
        <is>
          <t>Validate the functionality of "Action Date" calendar on Spreading Details page.</t>
        </is>
      </c>
      <c r="E38" s="240" t="inlineStr">
        <is>
          <t>1. Click Reporting in the page header.
2. Click Spreading Details.
3. Click the Action Date calendar.</t>
        </is>
      </c>
      <c r="F38" s="240" t="inlineStr">
        <is>
          <t>1. It should be a calendar on which start date and end date range can be selected.
2. The user should be able to re-select the date range.</t>
        </is>
      </c>
      <c r="G38" s="366" t="inlineStr">
        <is>
          <t>Pending</t>
        </is>
      </c>
      <c r="H38" s="240" t="inlineStr">
        <is>
          <t xml:space="preserve"> </t>
        </is>
      </c>
      <c r="I38" s="366" t="inlineStr">
        <is>
          <t>Done</t>
        </is>
      </c>
      <c r="J38" s="240" t="inlineStr">
        <is>
          <t xml:space="preserve"> </t>
        </is>
      </c>
      <c r="K38" s="259" t="inlineStr">
        <is>
          <t xml:space="preserve"> </t>
        </is>
      </c>
    </row>
    <row r="39" ht="128.25" customHeight="1">
      <c r="B39" s="258" t="inlineStr">
        <is>
          <t>Report_030</t>
        </is>
      </c>
      <c r="C39" s="243" t="inlineStr">
        <is>
          <t>Reporting &gt; Spreading tab &gt; Spreading Details</t>
        </is>
      </c>
      <c r="D39" s="240" t="inlineStr">
        <is>
          <t>Validate the data in the "Spread status" dropdown filters on Spreading Details page.</t>
        </is>
      </c>
      <c r="E39" s="240" t="inlineStr">
        <is>
          <t>1. Click Reporting in the page header.
2. Click Spreading Details.
3. Click Spread Status dropdown filter.</t>
        </is>
      </c>
      <c r="F39" s="240" t="inlineStr">
        <is>
          <t>"Select spread status" should be the default message on the dropdown filter.
Data should contains the list of all the status of any spread.
1. Draft.
2. For QC.
3. Hold.
4. Received.
5. Rejected.
6. Spread.</t>
        </is>
      </c>
      <c r="G39" s="366" t="inlineStr">
        <is>
          <t>Pending</t>
        </is>
      </c>
      <c r="H39" s="240" t="inlineStr">
        <is>
          <t xml:space="preserve"> </t>
        </is>
      </c>
      <c r="I39" s="366" t="inlineStr">
        <is>
          <t>Done</t>
        </is>
      </c>
      <c r="J39" s="240" t="inlineStr">
        <is>
          <t xml:space="preserve"> </t>
        </is>
      </c>
      <c r="K39" s="259" t="inlineStr">
        <is>
          <t xml:space="preserve"> </t>
        </is>
      </c>
    </row>
    <row r="40" ht="102.75" customHeight="1">
      <c r="B40" s="258" t="inlineStr">
        <is>
          <t>Report_031</t>
        </is>
      </c>
      <c r="C40" s="243" t="inlineStr">
        <is>
          <t>Reporting &gt; Spreading tab &gt; Spreading Details</t>
        </is>
      </c>
      <c r="D40" s="240" t="inlineStr">
        <is>
          <t>Validate the functionality of "Spread status" dropdown filters on Spreading Details page.</t>
        </is>
      </c>
      <c r="E40" s="240" t="inlineStr">
        <is>
          <t>1. Click Reporting in the page header.
2. Click Spreading Details.
3. Click Spread Status dropdown filter.</t>
        </is>
      </c>
      <c r="F40" s="240" t="inlineStr">
        <is>
          <t>1. It should be a Multi select dropdown filter.
2. Dropdown should have a search bar to search the spread status.
3. Dropdown should have status like Draft, For QC, Modified, Received, Rejected, Spread.
4. Selection/un select can be done by checking/unchecking checkbox against all Customer Names.</t>
        </is>
      </c>
      <c r="G40" s="366" t="inlineStr">
        <is>
          <t>Pending</t>
        </is>
      </c>
      <c r="H40" s="240" t="inlineStr">
        <is>
          <t xml:space="preserve"> </t>
        </is>
      </c>
      <c r="I40" s="366" t="inlineStr">
        <is>
          <t>Done</t>
        </is>
      </c>
      <c r="J40" s="240" t="inlineStr">
        <is>
          <t xml:space="preserve"> </t>
        </is>
      </c>
      <c r="K40" s="259" t="inlineStr">
        <is>
          <t xml:space="preserve"> </t>
        </is>
      </c>
    </row>
    <row r="41" ht="77.25" customHeight="1">
      <c r="B41" s="258" t="inlineStr">
        <is>
          <t>Report_032</t>
        </is>
      </c>
      <c r="C41" s="243" t="inlineStr">
        <is>
          <t>Reporting &gt; Spreading tab &gt; Spreading Details</t>
        </is>
      </c>
      <c r="D41" s="240" t="inlineStr">
        <is>
          <t>Validate the data in the "Spread type" dropdown filters on Spreading Details page.</t>
        </is>
      </c>
      <c r="E41" s="240" t="inlineStr">
        <is>
          <t>1. Click Reporting in the page header.
2. Click Spreading Details.
3. Click Spread type dropdown filter.</t>
        </is>
      </c>
      <c r="F41" s="240" t="inlineStr">
        <is>
          <t>Select spread type should be the default message on the dropdown filter, data should contains the list of all the spread types.
1. Adjusted.
2. Original.
3. Restated.</t>
        </is>
      </c>
      <c r="G41" s="366" t="inlineStr">
        <is>
          <t>Pending</t>
        </is>
      </c>
      <c r="H41" s="240" t="inlineStr">
        <is>
          <t xml:space="preserve"> </t>
        </is>
      </c>
      <c r="I41" s="366" t="inlineStr">
        <is>
          <t>Done</t>
        </is>
      </c>
      <c r="J41" s="240" t="inlineStr">
        <is>
          <t xml:space="preserve"> </t>
        </is>
      </c>
      <c r="K41" s="259" t="inlineStr">
        <is>
          <t xml:space="preserve"> </t>
        </is>
      </c>
    </row>
    <row r="42" ht="77.25" customHeight="1">
      <c r="B42" s="258" t="inlineStr">
        <is>
          <t>Report_033</t>
        </is>
      </c>
      <c r="C42" s="243" t="inlineStr">
        <is>
          <t>Reporting &gt; Spreading tab &gt; Spreading Details</t>
        </is>
      </c>
      <c r="D42" s="240" t="inlineStr">
        <is>
          <t>Validate the functionality of "Spread type" dropdown filters on Spreading Details page.</t>
        </is>
      </c>
      <c r="E42" s="240" t="inlineStr">
        <is>
          <t>1. Click Reporting in the page header.
2. Click Spreading Details.
3. Click Spread type dropdown filter.</t>
        </is>
      </c>
      <c r="F42" s="240" t="inlineStr">
        <is>
          <t>1. It should be a Multi select dropdown filter.
2. Dropdown should have a search bar to search the spread type.
3. Selection/un select can be done by checking/unchecking checkbox against all Customer Names.</t>
        </is>
      </c>
      <c r="G42" s="366" t="inlineStr">
        <is>
          <t>Pending</t>
        </is>
      </c>
      <c r="H42" s="240" t="inlineStr">
        <is>
          <t xml:space="preserve"> </t>
        </is>
      </c>
      <c r="I42" s="366" t="inlineStr">
        <is>
          <t>Done</t>
        </is>
      </c>
      <c r="J42" s="240" t="inlineStr">
        <is>
          <t xml:space="preserve"> </t>
        </is>
      </c>
      <c r="K42" s="259" t="inlineStr">
        <is>
          <t xml:space="preserve"> </t>
        </is>
      </c>
    </row>
    <row r="43" ht="64.5" customHeight="1">
      <c r="B43" s="258" t="inlineStr">
        <is>
          <t>Report_034</t>
        </is>
      </c>
      <c r="C43" s="243" t="inlineStr">
        <is>
          <t>Reporting &gt; Spreading tab &gt; Spreading Details</t>
        </is>
      </c>
      <c r="D43" s="240" t="inlineStr">
        <is>
          <t>Validate the Radio buttons on Spreading Details page.</t>
        </is>
      </c>
      <c r="E43" s="240" t="inlineStr">
        <is>
          <t>1. Click Reporting in the page header.
2. Click Spreading Details.
3. Select any export format radio button.</t>
        </is>
      </c>
      <c r="F43" s="240" t="inlineStr">
        <is>
          <t>The export format selector should allow only one option to be selected at a time:
1. Excel
2. PDF
3. HTML</t>
        </is>
      </c>
      <c r="G43" s="366" t="inlineStr">
        <is>
          <t>Pending</t>
        </is>
      </c>
      <c r="H43" s="240" t="inlineStr">
        <is>
          <t xml:space="preserve"> </t>
        </is>
      </c>
      <c r="I43" s="366" t="inlineStr">
        <is>
          <t>Done</t>
        </is>
      </c>
      <c r="J43" s="240" t="inlineStr">
        <is>
          <t xml:space="preserve"> </t>
        </is>
      </c>
      <c r="K43" s="259" t="inlineStr">
        <is>
          <t xml:space="preserve"> </t>
        </is>
      </c>
    </row>
    <row r="44" ht="64.5" customHeight="1">
      <c r="B44" s="258" t="inlineStr">
        <is>
          <t>Report_035</t>
        </is>
      </c>
      <c r="C44" s="243" t="inlineStr">
        <is>
          <t>Reporting &gt; Spreading tab &gt; Spreading Details</t>
        </is>
      </c>
      <c r="D44" s="240" t="inlineStr">
        <is>
          <t>Validate the "Information" button on Spreading Details page.</t>
        </is>
      </c>
      <c r="E44" s="240" t="inlineStr">
        <is>
          <t>1. Click Reporting in the page header.
2. Click Spreading Details.
3. Click the Information button.</t>
        </is>
      </c>
      <c r="F44" s="240" t="inlineStr">
        <is>
          <t>1. The Information button should be clickable.
2. Clicking the Information button should open a pop-up message.
3. The pop-up should include a Close button.</t>
        </is>
      </c>
      <c r="G44" s="366" t="inlineStr">
        <is>
          <t>Pending</t>
        </is>
      </c>
      <c r="H44" s="240" t="inlineStr">
        <is>
          <t xml:space="preserve"> </t>
        </is>
      </c>
      <c r="I44" s="366" t="inlineStr">
        <is>
          <t>Done</t>
        </is>
      </c>
      <c r="J44" s="240" t="inlineStr">
        <is>
          <t xml:space="preserve"> </t>
        </is>
      </c>
      <c r="K44" s="259" t="inlineStr">
        <is>
          <t xml:space="preserve"> </t>
        </is>
      </c>
    </row>
    <row r="45" ht="39" customHeight="1">
      <c r="B45" s="258" t="inlineStr">
        <is>
          <t>Report_036</t>
        </is>
      </c>
      <c r="C45" s="243" t="inlineStr">
        <is>
          <t>Reporting &gt; Spreading tab &gt; Spreading Details</t>
        </is>
      </c>
      <c r="D45" s="240" t="inlineStr">
        <is>
          <t>Validate the "Refresh" button on Spreading Details page.</t>
        </is>
      </c>
      <c r="E45" s="240" t="inlineStr">
        <is>
          <t>1. Click Reporting in the page header.
2. Click Spreading Details.
3. Click the Refresh button.</t>
        </is>
      </c>
      <c r="F45" s="240" t="inlineStr">
        <is>
          <t>1. The Refresh button should be clickable.
2. Clicking Refresh should clear all selected filters.</t>
        </is>
      </c>
      <c r="G45" s="366" t="inlineStr">
        <is>
          <t>Pending</t>
        </is>
      </c>
      <c r="H45" s="240" t="inlineStr">
        <is>
          <t xml:space="preserve"> </t>
        </is>
      </c>
      <c r="I45" s="366" t="inlineStr">
        <is>
          <t>Done</t>
        </is>
      </c>
      <c r="J45" s="240" t="inlineStr">
        <is>
          <t xml:space="preserve"> </t>
        </is>
      </c>
      <c r="K45" s="259" t="inlineStr">
        <is>
          <t xml:space="preserve"> </t>
        </is>
      </c>
    </row>
    <row r="46" ht="64.5" customHeight="1">
      <c r="B46" s="258" t="inlineStr">
        <is>
          <t>Report_037</t>
        </is>
      </c>
      <c r="C46" s="243" t="inlineStr">
        <is>
          <t>Reporting &gt; Spreading tab &gt; Spreading Details</t>
        </is>
      </c>
      <c r="D46" s="245" t="inlineStr">
        <is>
          <t>Validate the "Refresh" button on Customer Details page.</t>
        </is>
      </c>
      <c r="E46" s="245" t="inlineStr">
        <is>
          <t>1. Click Reporting in the page header.
2. Click Customer Details.
3. Select any Group and model.
4. Click Refresh button.
5. Click model dropdown.</t>
        </is>
      </c>
      <c r="F46" s="245" t="inlineStr">
        <is>
          <t>Model list should not appear until user selects any group.</t>
        </is>
      </c>
      <c r="G46" s="366" t="inlineStr">
        <is>
          <t>Pending</t>
        </is>
      </c>
      <c r="H46" s="240" t="n">
        <v>138762</v>
      </c>
      <c r="I46" s="366" t="inlineStr">
        <is>
          <t>Pending</t>
        </is>
      </c>
      <c r="J46" s="240" t="n"/>
      <c r="K46" s="259" t="n"/>
    </row>
    <row r="47" ht="39" customHeight="1">
      <c r="B47" s="258" t="inlineStr">
        <is>
          <t>Report_038</t>
        </is>
      </c>
      <c r="C47" s="243" t="inlineStr">
        <is>
          <t>Reporting &gt; Spreading tab &gt; Spreading Details</t>
        </is>
      </c>
      <c r="D47" s="240" t="inlineStr">
        <is>
          <t>Validate the "Generate Report" button on Spreading Details page.</t>
        </is>
      </c>
      <c r="E47" s="240" t="inlineStr">
        <is>
          <t>1. Click Reporting in the page header.
2. Click Spreading Details.
3. Click the Generate Report button.</t>
        </is>
      </c>
      <c r="F47" s="240" t="inlineStr">
        <is>
          <t>1. The Generate Report button should be clickable.
2. Clicking Generate Report should generate the report in the selected format.</t>
        </is>
      </c>
      <c r="G47" s="366" t="inlineStr">
        <is>
          <t>Pending</t>
        </is>
      </c>
      <c r="H47" s="240" t="inlineStr">
        <is>
          <t xml:space="preserve"> </t>
        </is>
      </c>
      <c r="I47" s="366" t="inlineStr">
        <is>
          <t>Done</t>
        </is>
      </c>
      <c r="J47" s="240" t="inlineStr">
        <is>
          <t xml:space="preserve"> </t>
        </is>
      </c>
      <c r="K47" s="259" t="inlineStr">
        <is>
          <t xml:space="preserve"> </t>
        </is>
      </c>
    </row>
    <row r="48" ht="281.25" customHeight="1">
      <c r="B48" s="258" t="inlineStr">
        <is>
          <t>Report_039</t>
        </is>
      </c>
      <c r="C48" s="243" t="inlineStr">
        <is>
          <t>Reporting &gt; Spreading tab &gt; Spreading Details</t>
        </is>
      </c>
      <c r="D48" s="240" t="inlineStr">
        <is>
          <t>Validate "Spreading Details" report without making any selection in the filters.</t>
        </is>
      </c>
      <c r="E48" s="240" t="inlineStr">
        <is>
          <t>1. Click Reporting in the page header.
2. Click Generate report.</t>
        </is>
      </c>
      <c r="F48" s="240" t="inlineStr">
        <is>
          <t>Spreading Details report should be generated with the below mentioned columns:
Sr. No.
Customer Name.
Access Group.
Statement Date.
Spread Type.
Frequency.
Period.
Audit Method.
Spreading Analyst(m).
Received Date(m).
Action Date/Time(M) HH:MM:SS.
Machine time(M).
User time(M).
Spread Time(M).
Validation Analyst (C).
Received Date (C).
Action Date (C).
Machine time(C).
User time(C).
Spread Time(C).</t>
        </is>
      </c>
      <c r="G48" s="366" t="inlineStr">
        <is>
          <t>Pending</t>
        </is>
      </c>
      <c r="H48" s="240" t="inlineStr">
        <is>
          <t xml:space="preserve"> </t>
        </is>
      </c>
      <c r="I48" s="366" t="inlineStr">
        <is>
          <t>Done</t>
        </is>
      </c>
      <c r="J48" s="240" t="inlineStr">
        <is>
          <t xml:space="preserve"> </t>
        </is>
      </c>
      <c r="K48" s="259" t="inlineStr">
        <is>
          <t xml:space="preserve"> </t>
        </is>
      </c>
    </row>
    <row r="49" ht="51.75" customHeight="1">
      <c r="B49" s="258" t="inlineStr">
        <is>
          <t>Report_040</t>
        </is>
      </c>
      <c r="C49" s="243" t="inlineStr">
        <is>
          <t>Reporting &gt; Spreading tab &gt; Spreading Details</t>
        </is>
      </c>
      <c r="D49" s="244" t="inlineStr">
        <is>
          <t>Validate "Spreading Details" report without making any selection in the filters.</t>
        </is>
      </c>
      <c r="E49" s="244" t="inlineStr">
        <is>
          <t>1. Click Reporting in the page header.
2. Click Generate report.</t>
        </is>
      </c>
      <c r="F49" s="244" t="inlineStr">
        <is>
          <t>Action Date/Time(M), Machine time(M), User time(M), Active time(M), Machine time(C), User time(C), Active time(C), Spread Time(C) and Total time should appear in HH:MM:SS format.</t>
        </is>
      </c>
      <c r="G49" s="366" t="inlineStr">
        <is>
          <t>Pending</t>
        </is>
      </c>
      <c r="H49" s="240" t="n"/>
      <c r="I49" s="366" t="inlineStr">
        <is>
          <t>Pending</t>
        </is>
      </c>
      <c r="J49" s="240" t="n"/>
      <c r="K49" s="259" t="n"/>
    </row>
    <row r="50" ht="115.5" customHeight="1">
      <c r="B50" s="258" t="inlineStr">
        <is>
          <t>Report_041</t>
        </is>
      </c>
      <c r="C50" s="243" t="inlineStr">
        <is>
          <t>Reporting &gt; Spreading tab &gt; Spreading Details</t>
        </is>
      </c>
      <c r="D50" s="244" t="inlineStr">
        <is>
          <t>Verify the maker details in the report.</t>
        </is>
      </c>
      <c r="E50" s="244" t="inlineStr">
        <is>
          <t>1. Logged in as a maker.
2. Add an item.
3. Spread it and mapped some values.
4. Submit the spread.</t>
        </is>
      </c>
      <c r="F50" s="244" t="inlineStr">
        <is>
          <t>Maker Columns should not appear blank and appropriate data should appear in following columns:
Statement Date- Selected Statement Date at the time of submitting the item and appropriate system time.
Received Date(M) - Item added date.
Action Date/Time(M) HH:MM:SS- Spread date and time.</t>
        </is>
      </c>
      <c r="G50" s="366" t="inlineStr">
        <is>
          <t>Pending</t>
        </is>
      </c>
      <c r="H50" s="240" t="n"/>
      <c r="I50" s="366" t="inlineStr">
        <is>
          <t>Pending</t>
        </is>
      </c>
      <c r="J50" s="240" t="n"/>
      <c r="K50" s="259" t="n"/>
    </row>
    <row r="51" ht="90" customHeight="1">
      <c r="B51" s="258" t="inlineStr">
        <is>
          <t>Report_042</t>
        </is>
      </c>
      <c r="C51" s="243" t="inlineStr">
        <is>
          <t>Reporting &gt; Spreading tab &gt; Spreading Details</t>
        </is>
      </c>
      <c r="D51" s="244" t="inlineStr">
        <is>
          <t>Verify the checker details in the report.</t>
        </is>
      </c>
      <c r="E51" s="244" t="inlineStr">
        <is>
          <t>1. Logged in as a maker.
2. Add an item.
3. Spread it and mapped some values.
4. Submit the spread for QC.
5. Logged in as a checker.
6. Reject/Submit the spread.</t>
        </is>
      </c>
      <c r="F51" s="244" t="inlineStr">
        <is>
          <t>Checker Columns should not appear blank and appropriate data should appear in following columns:
Validation Analyst (C)- ID of checker.
Received Date (C) - dat of Item submitted for QC.
Action Date (C)- Date when checker performed any action.</t>
        </is>
      </c>
      <c r="G51" s="366" t="inlineStr">
        <is>
          <t>Pending</t>
        </is>
      </c>
      <c r="H51" s="240" t="n"/>
      <c r="I51" s="366" t="inlineStr">
        <is>
          <t>Pending</t>
        </is>
      </c>
      <c r="J51" s="240" t="n"/>
      <c r="K51" s="259" t="n"/>
    </row>
    <row r="52" ht="128.25" customHeight="1">
      <c r="B52" s="258" t="inlineStr">
        <is>
          <t>Report_043</t>
        </is>
      </c>
      <c r="C52" s="243" t="inlineStr">
        <is>
          <t>Reporting &gt; Spreading tab &gt; Spreading Details</t>
        </is>
      </c>
      <c r="D52" s="244" t="inlineStr">
        <is>
          <t>Verify the maker details in the report.</t>
        </is>
      </c>
      <c r="E52" s="244" t="inlineStr">
        <is>
          <t>1. Logged in as a maker.
Scenario-1.
If machine time is 1 minutes and.
If Maker Started the spreads and worked for 5 minutes then saved as draft then.
Machine time =1 Minutes.
User time =5 Minutes.
Active time = 5 Minutes.
Spread time =1+5=6 Minutes.</t>
        </is>
      </c>
      <c r="F52" s="244" t="inlineStr">
        <is>
          <t>System should show User time, which will include active session time and total time spent by user on any spreads.</t>
        </is>
      </c>
      <c r="G52" s="366" t="inlineStr">
        <is>
          <t>Pending</t>
        </is>
      </c>
      <c r="H52" s="240" t="n"/>
      <c r="I52" s="366" t="inlineStr">
        <is>
          <t>Pending</t>
        </is>
      </c>
      <c r="J52" s="240" t="n"/>
      <c r="K52" s="259" t="n"/>
    </row>
    <row r="53" ht="153.75" customHeight="1">
      <c r="B53" s="258" t="inlineStr">
        <is>
          <t>Report_044</t>
        </is>
      </c>
      <c r="C53" s="243" t="inlineStr">
        <is>
          <t>Reporting &gt; Spreading tab &gt; Spreading Details</t>
        </is>
      </c>
      <c r="D53" s="244" t="inlineStr">
        <is>
          <t>Verify the maker details in the report.</t>
        </is>
      </c>
      <c r="E53" s="244" t="inlineStr">
        <is>
          <t>Scenario-2.
If machine time is 1 minutes and.
If Maker Started the spreads and submitted spreads after 10 Minutes. However, they have spent 5 minutes on Spreading screen and another 5 minutes on research or other activity then.
Machine time =1 Minutes.
User time =10 Minutes.
Active time = 5 Minutes.
Spread time=1+10=11 minutes.</t>
        </is>
      </c>
      <c r="F53" s="244" t="inlineStr">
        <is>
          <t>System should show the appropriate time.</t>
        </is>
      </c>
      <c r="G53" s="366" t="inlineStr">
        <is>
          <t>Pending</t>
        </is>
      </c>
      <c r="H53" s="240" t="n"/>
      <c r="I53" s="366" t="inlineStr">
        <is>
          <t>Pending</t>
        </is>
      </c>
      <c r="J53" s="240" t="n"/>
      <c r="K53" s="259" t="n"/>
    </row>
    <row r="54" ht="230.25" customHeight="1">
      <c r="B54" s="258" t="inlineStr">
        <is>
          <t>Report_045</t>
        </is>
      </c>
      <c r="C54" s="243" t="inlineStr">
        <is>
          <t>Reporting &gt; Spreading tab &gt; Spreading Details</t>
        </is>
      </c>
      <c r="D54" s="244" t="inlineStr">
        <is>
          <t>Verify the checker details in the report.</t>
        </is>
      </c>
      <c r="E54" s="244" t="inlineStr">
        <is>
          <t>Scenario-3.
I) If machine time is 1 minutes and.
Ii) If Maker Started the spreads and submitted spreads for QC after 10 Minutes. However, they have spent 5 minutes on Spreading screen and another 5 minutes on research or other activity.
Iii) After rejection from Checker, Maker again spent 10 minutes on Spreading screen without any inactive session, then.
Machine time =2 Minutes.
User time =20 Minutes.
Active time = 15 Minutes.
Spread time=2+20=22 minutes.
Checker time=10 minutes.
Total spreads time=22+10=32.</t>
        </is>
      </c>
      <c r="F54" s="244" t="inlineStr">
        <is>
          <t>System should show the appropriate time for checker.</t>
        </is>
      </c>
      <c r="G54" s="366" t="inlineStr">
        <is>
          <t>Pending</t>
        </is>
      </c>
      <c r="H54" s="240" t="n"/>
      <c r="I54" s="366" t="inlineStr">
        <is>
          <t>Pending</t>
        </is>
      </c>
      <c r="J54" s="240" t="n"/>
      <c r="K54" s="259" t="n"/>
    </row>
    <row r="55" ht="102.75" customHeight="1">
      <c r="B55" s="258" t="inlineStr">
        <is>
          <t>Report_046</t>
        </is>
      </c>
      <c r="C55" s="243" t="inlineStr">
        <is>
          <t>Reporting &gt; Spreading tab &gt; Spreading Details</t>
        </is>
      </c>
      <c r="D55" s="244" t="inlineStr">
        <is>
          <t>Verify the total time in the report.</t>
        </is>
      </c>
      <c r="E55" s="244" t="inlineStr">
        <is>
          <t>Add a customer and add the item.
Spread the item and submit it for QC.
Login with checker and spread it and then reject the spread.
Login again with the maker.
Click reporting (Spreading Details).
Select the details.
Generate the report.</t>
        </is>
      </c>
      <c r="F55" s="244" t="inlineStr">
        <is>
          <t>Show Total transaction time in last to show total of maker and checker time (Total Maker time (Machine time+ User time)+Total Checker Time(Machine time+ User time)).</t>
        </is>
      </c>
      <c r="G55" s="366" t="inlineStr">
        <is>
          <t>Pending</t>
        </is>
      </c>
      <c r="H55" s="240" t="n"/>
      <c r="I55" s="366" t="inlineStr">
        <is>
          <t>Pending</t>
        </is>
      </c>
      <c r="J55" s="240" t="n"/>
      <c r="K55" s="259" t="n"/>
    </row>
    <row r="56" ht="51.75" customHeight="1">
      <c r="B56" s="258" t="inlineStr">
        <is>
          <t>Report_047</t>
        </is>
      </c>
      <c r="C56" s="243" t="inlineStr">
        <is>
          <t>Reporting &gt; Spreading tab &gt; Spreading Details</t>
        </is>
      </c>
      <c r="D56" s="240" t="inlineStr">
        <is>
          <t>Validate "Spreading Details" report after selecting all the filters.</t>
        </is>
      </c>
      <c r="E56" s="240" t="inlineStr">
        <is>
          <t>1. Click reporting on the page header.
2. Select all required filters.
3. Click Generate Report.</t>
        </is>
      </c>
      <c r="F56" s="240" t="inlineStr">
        <is>
          <t>The Spreading Details report should be generated based on the selected filters.</t>
        </is>
      </c>
      <c r="G56" s="366" t="inlineStr">
        <is>
          <t>Pending</t>
        </is>
      </c>
      <c r="H56" s="240" t="inlineStr">
        <is>
          <t xml:space="preserve"> </t>
        </is>
      </c>
      <c r="I56" s="366" t="inlineStr">
        <is>
          <t>Done</t>
        </is>
      </c>
      <c r="J56" s="240" t="inlineStr">
        <is>
          <t xml:space="preserve"> </t>
        </is>
      </c>
      <c r="K56" s="259" t="inlineStr">
        <is>
          <t xml:space="preserve"> </t>
        </is>
      </c>
    </row>
    <row r="57" ht="64.5" customHeight="1">
      <c r="B57" s="258" t="inlineStr">
        <is>
          <t>Report_048</t>
        </is>
      </c>
      <c r="C57" s="243" t="inlineStr">
        <is>
          <t>Reporting &gt; Spreading tab &gt; Spreading Details</t>
        </is>
      </c>
      <c r="D57" s="240" t="inlineStr">
        <is>
          <t>Validate "Spreading Details" report after selecting a combination of filters.
1. Group.
2. Analyst Name.</t>
        </is>
      </c>
      <c r="E57" s="240" t="inlineStr">
        <is>
          <t>1. Click Reporting in the page header.
2. Select the required filters.
3. Click Generate Report.</t>
        </is>
      </c>
      <c r="F57" s="240" t="inlineStr">
        <is>
          <t>The Spreading Details report should be generated based on the selected filters.</t>
        </is>
      </c>
      <c r="G57" s="366" t="inlineStr">
        <is>
          <t>Pending</t>
        </is>
      </c>
      <c r="H57" s="240" t="inlineStr">
        <is>
          <t xml:space="preserve"> </t>
        </is>
      </c>
      <c r="I57" s="366" t="inlineStr">
        <is>
          <t>Pending</t>
        </is>
      </c>
      <c r="J57" s="240" t="n">
        <v>1</v>
      </c>
      <c r="K57" s="259" t="inlineStr">
        <is>
          <t xml:space="preserve"> </t>
        </is>
      </c>
    </row>
    <row r="58" ht="64.5" customHeight="1">
      <c r="B58" s="258" t="inlineStr">
        <is>
          <t>Report_049</t>
        </is>
      </c>
      <c r="C58" s="243" t="inlineStr">
        <is>
          <t>Reporting &gt; Spreading tab &gt; Spreading Details</t>
        </is>
      </c>
      <c r="D58" s="240" t="inlineStr">
        <is>
          <t>Validate "Spreading Details" report after selecting a combination of filters.
1. Group.
2. Customer Name.</t>
        </is>
      </c>
      <c r="E58" s="240" t="inlineStr">
        <is>
          <t>1. Reporting on the page header.
2. Select the required filters.
3. Click Generate Report.</t>
        </is>
      </c>
      <c r="F58" s="240" t="inlineStr">
        <is>
          <t>The Spreading Details report should be generated based on the selected filters.</t>
        </is>
      </c>
      <c r="G58" s="366" t="inlineStr">
        <is>
          <t>Pending</t>
        </is>
      </c>
      <c r="H58" s="240" t="inlineStr">
        <is>
          <t xml:space="preserve"> </t>
        </is>
      </c>
      <c r="I58" s="366" t="inlineStr">
        <is>
          <t>Pending</t>
        </is>
      </c>
      <c r="J58" s="240" t="n">
        <v>1</v>
      </c>
      <c r="K58" s="259" t="inlineStr">
        <is>
          <t xml:space="preserve"> </t>
        </is>
      </c>
    </row>
    <row r="59" ht="77.25" customHeight="1">
      <c r="B59" s="258" t="inlineStr">
        <is>
          <t>Report_050</t>
        </is>
      </c>
      <c r="C59" s="243" t="inlineStr">
        <is>
          <t>Reporting &gt; Spreading tab &gt; Spreading Details</t>
        </is>
      </c>
      <c r="D59" s="240" t="inlineStr">
        <is>
          <t>Validate "Spreading Details" report after selecting a combination of filters.
1. Group.
2. Model.
3. Action Date.</t>
        </is>
      </c>
      <c r="E59" s="240" t="inlineStr">
        <is>
          <t>1. Reporting on the page header.
2. Select the required filters.
3. Click Generate Report.</t>
        </is>
      </c>
      <c r="F59" s="240" t="inlineStr">
        <is>
          <t>The Spreading Details report should be generated based on the selected filters.</t>
        </is>
      </c>
      <c r="G59" s="366" t="inlineStr">
        <is>
          <t>Pending</t>
        </is>
      </c>
      <c r="H59" s="240" t="inlineStr">
        <is>
          <t xml:space="preserve"> </t>
        </is>
      </c>
      <c r="I59" s="366" t="inlineStr">
        <is>
          <t>Pending</t>
        </is>
      </c>
      <c r="J59" s="240" t="n">
        <v>1</v>
      </c>
      <c r="K59" s="259" t="inlineStr">
        <is>
          <t xml:space="preserve"> </t>
        </is>
      </c>
    </row>
    <row r="60" ht="64.5" customHeight="1">
      <c r="B60" s="258" t="inlineStr">
        <is>
          <t>Report_051</t>
        </is>
      </c>
      <c r="C60" s="243" t="inlineStr">
        <is>
          <t>Reporting &gt; Spreading tab &gt; Spreading Details</t>
        </is>
      </c>
      <c r="D60" s="240" t="inlineStr">
        <is>
          <t>Validate "Spreading Details" report after selecting a combination of filters.
1. Spread status.
2. Spread type.</t>
        </is>
      </c>
      <c r="E60" s="240" t="inlineStr">
        <is>
          <t>1. Reporting on the page header.
2. Select the required filters.
3. Click Generate Report.</t>
        </is>
      </c>
      <c r="F60" s="240" t="inlineStr">
        <is>
          <t>The Spreading Details report should be generated based on the selected filters.</t>
        </is>
      </c>
      <c r="G60" s="366" t="inlineStr">
        <is>
          <t>Pending</t>
        </is>
      </c>
      <c r="H60" s="240" t="inlineStr">
        <is>
          <t xml:space="preserve"> </t>
        </is>
      </c>
      <c r="I60" s="366" t="inlineStr">
        <is>
          <t>Pending</t>
        </is>
      </c>
      <c r="J60" s="240" t="n">
        <v>1</v>
      </c>
      <c r="K60" s="259" t="inlineStr">
        <is>
          <t xml:space="preserve"> </t>
        </is>
      </c>
    </row>
    <row r="61" ht="77.25" customHeight="1">
      <c r="B61" s="258" t="inlineStr">
        <is>
          <t>Report_052</t>
        </is>
      </c>
      <c r="C61" s="243" t="inlineStr">
        <is>
          <t>Reporting &gt; Spreading tab &gt; Spreading Details</t>
        </is>
      </c>
      <c r="D61" s="240" t="inlineStr">
        <is>
          <t>Validate "Spreading Details" report after selecting a combination of filters.
1. Spread status.
2. Spread type.
3. Customer Name.</t>
        </is>
      </c>
      <c r="E61" s="240" t="inlineStr">
        <is>
          <t>1. Reporting on the page header.
2. Select the required filters.
3. Click Generate Report.</t>
        </is>
      </c>
      <c r="F61" s="240" t="inlineStr">
        <is>
          <t>The Spreading Details report should be generated based on the selected filters.</t>
        </is>
      </c>
      <c r="G61" s="366" t="inlineStr">
        <is>
          <t>Pending</t>
        </is>
      </c>
      <c r="H61" s="240" t="inlineStr">
        <is>
          <t xml:space="preserve"> </t>
        </is>
      </c>
      <c r="I61" s="366" t="inlineStr">
        <is>
          <t>Pending</t>
        </is>
      </c>
      <c r="J61" s="240" t="n">
        <v>1</v>
      </c>
      <c r="K61" s="259" t="inlineStr">
        <is>
          <t xml:space="preserve"> </t>
        </is>
      </c>
    </row>
    <row r="62" ht="64.5" customHeight="1">
      <c r="B62" s="258" t="inlineStr">
        <is>
          <t>Report_053</t>
        </is>
      </c>
      <c r="C62" s="243" t="inlineStr">
        <is>
          <t>Reporting &gt; Spreading tab &gt; Spreading Details</t>
        </is>
      </c>
      <c r="D62" s="240" t="inlineStr">
        <is>
          <t>Validate the "Spreading Details" report in "Excel" format.</t>
        </is>
      </c>
      <c r="E62" s="240" t="inlineStr">
        <is>
          <t>1. Log in to the Spreadsmart application.
2. Click Reporting in the page header.
3. Select the Excel format radio button.
4. Click Generate Report.</t>
        </is>
      </c>
      <c r="F62" s="240" t="inlineStr">
        <is>
          <t>The report should be generated in Excel format.</t>
        </is>
      </c>
      <c r="G62" s="366" t="inlineStr">
        <is>
          <t>Pending</t>
        </is>
      </c>
      <c r="H62" s="240" t="inlineStr">
        <is>
          <t xml:space="preserve"> </t>
        </is>
      </c>
      <c r="I62" s="366" t="inlineStr">
        <is>
          <t>Done</t>
        </is>
      </c>
      <c r="J62" s="240" t="inlineStr">
        <is>
          <t xml:space="preserve"> </t>
        </is>
      </c>
      <c r="K62" s="259" t="inlineStr">
        <is>
          <t xml:space="preserve"> </t>
        </is>
      </c>
    </row>
    <row r="63" ht="64.5" customHeight="1">
      <c r="B63" s="258" t="inlineStr">
        <is>
          <t>Report_054</t>
        </is>
      </c>
      <c r="C63" s="243" t="inlineStr">
        <is>
          <t>Reporting &gt; Spreading tab &gt; Spreading Details</t>
        </is>
      </c>
      <c r="D63" s="240" t="inlineStr">
        <is>
          <t>Validate the "Spreading Details" report in "PDF" format.</t>
        </is>
      </c>
      <c r="E63" s="240" t="inlineStr">
        <is>
          <t>1. Log in to the Spreadsmart application.
2. Click Reporting in the page header.
3. Select the PDF format radio button.
4. Click Generate Report.</t>
        </is>
      </c>
      <c r="F63" s="240" t="inlineStr">
        <is>
          <t>The report should be generated in PDF format.</t>
        </is>
      </c>
      <c r="G63" s="366" t="inlineStr">
        <is>
          <t>Pending</t>
        </is>
      </c>
      <c r="H63" s="240" t="inlineStr">
        <is>
          <t xml:space="preserve"> </t>
        </is>
      </c>
      <c r="I63" s="366" t="inlineStr">
        <is>
          <t>Done</t>
        </is>
      </c>
      <c r="J63" s="240" t="inlineStr">
        <is>
          <t xml:space="preserve"> </t>
        </is>
      </c>
      <c r="K63" s="259" t="inlineStr">
        <is>
          <t xml:space="preserve"> </t>
        </is>
      </c>
    </row>
    <row r="64" ht="64.5" customHeight="1">
      <c r="B64" s="258" t="inlineStr">
        <is>
          <t>Report_055</t>
        </is>
      </c>
      <c r="C64" s="243" t="inlineStr">
        <is>
          <t>Reporting &gt; Spreading tab &gt; Spreading Details</t>
        </is>
      </c>
      <c r="D64" s="240" t="inlineStr">
        <is>
          <t>Validate the "Spreading Details" report in "HTML" format.</t>
        </is>
      </c>
      <c r="E64" s="240" t="inlineStr">
        <is>
          <t>1. Log in to the Spreadsmart application.
2. Click Reporting in the page header.
3. Select the HTML format radio button.
4. Click Generate Report.</t>
        </is>
      </c>
      <c r="F64" s="240" t="inlineStr">
        <is>
          <t>The report should be generated in HTML format.</t>
        </is>
      </c>
      <c r="G64" s="366" t="inlineStr">
        <is>
          <t>Pending</t>
        </is>
      </c>
      <c r="H64" s="240" t="inlineStr">
        <is>
          <t xml:space="preserve"> </t>
        </is>
      </c>
      <c r="I64" s="366" t="inlineStr">
        <is>
          <t>Done</t>
        </is>
      </c>
      <c r="J64" s="240" t="inlineStr">
        <is>
          <t xml:space="preserve"> </t>
        </is>
      </c>
      <c r="K64" s="259" t="inlineStr">
        <is>
          <t xml:space="preserve"> </t>
        </is>
      </c>
    </row>
    <row r="65" ht="115.5" customHeight="1">
      <c r="B65" s="258" t="inlineStr">
        <is>
          <t>Report_056</t>
        </is>
      </c>
      <c r="C65" s="243" t="inlineStr">
        <is>
          <t>Reporting &gt; Spreading tab &gt; Spreading Details</t>
        </is>
      </c>
      <c r="D65" s="240" t="inlineStr">
        <is>
          <t>Validate the data in the Spreading Details report on updating the values like.
1. Spread Status.
2. Spread Type.
3. Frequency.
4. Audit Method.
5. Action Date.
6. Received Date.</t>
        </is>
      </c>
      <c r="E65" s="240" t="inlineStr">
        <is>
          <t>Update all the Values and then click.
1. Reporting on the page header.
2. Select the required filters.
3. Click Generate Report.</t>
        </is>
      </c>
      <c r="F65" s="240" t="inlineStr">
        <is>
          <t>Data should be modified and should be visible in the Spreading Details report.</t>
        </is>
      </c>
      <c r="G65" s="366" t="inlineStr">
        <is>
          <t>Pending</t>
        </is>
      </c>
      <c r="H65" s="240" t="inlineStr">
        <is>
          <t xml:space="preserve"> </t>
        </is>
      </c>
      <c r="I65" s="366" t="inlineStr">
        <is>
          <t>Pending</t>
        </is>
      </c>
      <c r="J65" s="240" t="n">
        <v>1</v>
      </c>
      <c r="K65" s="259" t="inlineStr">
        <is>
          <t xml:space="preserve"> </t>
        </is>
      </c>
    </row>
    <row r="66" ht="115.5" customHeight="1">
      <c r="B66" s="258" t="inlineStr">
        <is>
          <t>Report_057</t>
        </is>
      </c>
      <c r="C66" s="246" t="inlineStr">
        <is>
          <t>Reporting &gt; Spreading tab &gt; Customer Details</t>
        </is>
      </c>
      <c r="D66" s="240" t="inlineStr">
        <is>
          <t>Validate the Customer Details page.</t>
        </is>
      </c>
      <c r="E66" s="240" t="inlineStr">
        <is>
          <t>1. Log in to the Spreadsmart application.
2. Click Reporting in the page header.
3. Click the Customer Details under Spreading.</t>
        </is>
      </c>
      <c r="F66" s="240" t="inlineStr">
        <is>
          <t>Customer Details page should have below mentioned components:
1. Group dropdowns filter.
2. Model filer dropdowns.
3. Status filter dropdowns.
4. Format type radio buttons.
5. Information button.
6. Refresh button.
7. Generate Report button.</t>
        </is>
      </c>
      <c r="G66" s="366" t="inlineStr">
        <is>
          <t>Pending</t>
        </is>
      </c>
      <c r="H66" s="240" t="inlineStr">
        <is>
          <t xml:space="preserve"> </t>
        </is>
      </c>
      <c r="I66" s="366" t="inlineStr">
        <is>
          <t>Done</t>
        </is>
      </c>
      <c r="J66" s="240" t="inlineStr">
        <is>
          <t xml:space="preserve"> </t>
        </is>
      </c>
      <c r="K66" s="259" t="inlineStr">
        <is>
          <t xml:space="preserve"> </t>
        </is>
      </c>
    </row>
    <row r="67" ht="51.75" customHeight="1">
      <c r="B67" s="258" t="inlineStr">
        <is>
          <t>Report_058</t>
        </is>
      </c>
      <c r="C67" s="246" t="inlineStr">
        <is>
          <t>Reporting &gt; Spreading tab &gt; Customer Details</t>
        </is>
      </c>
      <c r="D67" s="240" t="inlineStr">
        <is>
          <t>Validate the data in the "group" filter dropdown on Customer Details page.</t>
        </is>
      </c>
      <c r="E67" s="240" t="inlineStr">
        <is>
          <t>1. Click Reporting in the page header.
2. Click Customer Details.
3. Click Group dropdown filter.</t>
        </is>
      </c>
      <c r="F67" s="240" t="inlineStr">
        <is>
          <t>"Select Group" should be the default message on the dropdown filter.
Data should be visible as per the groups assigned to logged in user.</t>
        </is>
      </c>
      <c r="G67" s="366" t="inlineStr">
        <is>
          <t>Pending</t>
        </is>
      </c>
      <c r="H67" s="240" t="inlineStr">
        <is>
          <t xml:space="preserve"> </t>
        </is>
      </c>
      <c r="I67" s="366" t="inlineStr">
        <is>
          <t>Done</t>
        </is>
      </c>
      <c r="J67" s="240" t="inlineStr">
        <is>
          <t xml:space="preserve"> </t>
        </is>
      </c>
      <c r="K67" s="259" t="inlineStr">
        <is>
          <t xml:space="preserve"> </t>
        </is>
      </c>
    </row>
    <row r="68" ht="64.5" customHeight="1">
      <c r="B68" s="258" t="inlineStr">
        <is>
          <t>Report_059</t>
        </is>
      </c>
      <c r="C68" s="246" t="inlineStr">
        <is>
          <t>Reporting &gt; Spreading tab &gt; Customer Details</t>
        </is>
      </c>
      <c r="D68" s="240" t="inlineStr">
        <is>
          <t>Validate updating the "Group" in Group name Filter dropdown and Customer Details report.</t>
        </is>
      </c>
      <c r="E68" s="240" t="inlineStr">
        <is>
          <t>1. Click Reporting in the page header.
2. Click Customer Details.
3. Update the name of the group.
4. Validate the group name in the dropdown.</t>
        </is>
      </c>
      <c r="F68" s="240" t="inlineStr">
        <is>
          <t>1. Group name should be updated in the Group drop down.
2. Group name should be updated in the Group column of Customer report.</t>
        </is>
      </c>
      <c r="G68" s="366" t="inlineStr">
        <is>
          <t>Pending</t>
        </is>
      </c>
      <c r="H68" s="240" t="inlineStr">
        <is>
          <t xml:space="preserve"> </t>
        </is>
      </c>
      <c r="I68" s="366" t="inlineStr">
        <is>
          <t>Done</t>
        </is>
      </c>
      <c r="J68" s="240" t="inlineStr">
        <is>
          <t xml:space="preserve"> </t>
        </is>
      </c>
      <c r="K68" s="259" t="inlineStr">
        <is>
          <t xml:space="preserve"> </t>
        </is>
      </c>
    </row>
    <row r="69" ht="64.5" customHeight="1">
      <c r="B69" s="258" t="inlineStr">
        <is>
          <t>Report_060</t>
        </is>
      </c>
      <c r="C69" s="246" t="inlineStr">
        <is>
          <t>Reporting &gt; Spreading tab &gt; Customer Details</t>
        </is>
      </c>
      <c r="D69" s="240" t="inlineStr">
        <is>
          <t>Validate adding a "Group" in Group name Filter dropdown and Customer Details report.</t>
        </is>
      </c>
      <c r="E69" s="240" t="inlineStr">
        <is>
          <t>1. Click Reporting in the page header.
2. Click Customer Details.
3. Addd a group and give the access to logged in user.
4. Validate the group in the dropdown.</t>
        </is>
      </c>
      <c r="F69" s="240" t="inlineStr">
        <is>
          <t>1. Added group should be visible in the Group dropdown list.
2. Added group should be visible in the Group column of Customer report.</t>
        </is>
      </c>
      <c r="G69" s="366" t="inlineStr">
        <is>
          <t>Pending</t>
        </is>
      </c>
      <c r="H69" s="240" t="inlineStr">
        <is>
          <t xml:space="preserve"> </t>
        </is>
      </c>
      <c r="I69" s="366" t="inlineStr">
        <is>
          <t>Done</t>
        </is>
      </c>
      <c r="J69" s="240" t="inlineStr">
        <is>
          <t xml:space="preserve"> </t>
        </is>
      </c>
      <c r="K69" s="259" t="inlineStr">
        <is>
          <t xml:space="preserve"> </t>
        </is>
      </c>
    </row>
    <row r="70" ht="64.5" customHeight="1">
      <c r="B70" s="258" t="inlineStr">
        <is>
          <t>Report_061</t>
        </is>
      </c>
      <c r="C70" s="246" t="inlineStr">
        <is>
          <t>Reporting &gt; Spreading tab &gt; Customer Details</t>
        </is>
      </c>
      <c r="D70" s="240" t="inlineStr">
        <is>
          <t>Validate deleting a "Group" in Group name Filter dropdown and Customer Details report.</t>
        </is>
      </c>
      <c r="E70" s="240" t="inlineStr">
        <is>
          <t>1. Click Reporting in the page header.
2. Click Customer Details.
3. Delete a group having access to logged in user.
4. Validate the group in the dropdown.</t>
        </is>
      </c>
      <c r="F70" s="240" t="inlineStr">
        <is>
          <t>1. Deleted group should not be visible in the Group dropdown list.
2. Deleted group should not be visible in the Group column of Customer report.</t>
        </is>
      </c>
      <c r="G70" s="366" t="inlineStr">
        <is>
          <t>Pending</t>
        </is>
      </c>
      <c r="H70" s="240" t="inlineStr">
        <is>
          <t xml:space="preserve"> </t>
        </is>
      </c>
      <c r="I70" s="366" t="inlineStr">
        <is>
          <t>Done</t>
        </is>
      </c>
      <c r="J70" s="240" t="inlineStr">
        <is>
          <t xml:space="preserve"> </t>
        </is>
      </c>
      <c r="K70" s="259" t="inlineStr">
        <is>
          <t xml:space="preserve"> </t>
        </is>
      </c>
    </row>
    <row r="71" ht="102.75" customHeight="1">
      <c r="B71" s="258" t="inlineStr">
        <is>
          <t>Report_062</t>
        </is>
      </c>
      <c r="C71" s="246" t="inlineStr">
        <is>
          <t>Reporting &gt; Spreading tab &gt; Customer Details</t>
        </is>
      </c>
      <c r="D71" s="240" t="inlineStr">
        <is>
          <t>Validate the Group dropdown list on updating the access of logged in user to a group and Customer Details report.</t>
        </is>
      </c>
      <c r="E71" s="240" t="inlineStr">
        <is>
          <t>1. Click Reporting in the page header.
2. Click Customer Details.
3. Change the access of some groups to the logged in User, give access to one.
4. Remove access from a Group.
5. Validate the list of the group dropdown.</t>
        </is>
      </c>
      <c r="F71" s="240" t="inlineStr">
        <is>
          <t>1. Only groups should be visible in the dropdown list of Group, having access to the logged in user.
2. Only groups should be in Group column of Customer report, which are having access to the logged in use.</t>
        </is>
      </c>
      <c r="G71" s="366" t="inlineStr">
        <is>
          <t>Pending</t>
        </is>
      </c>
      <c r="H71" s="240" t="inlineStr">
        <is>
          <t xml:space="preserve"> </t>
        </is>
      </c>
      <c r="I71" s="366" t="inlineStr">
        <is>
          <t>Done</t>
        </is>
      </c>
      <c r="J71" s="240" t="inlineStr">
        <is>
          <t xml:space="preserve"> </t>
        </is>
      </c>
      <c r="K71" s="259" t="inlineStr">
        <is>
          <t xml:space="preserve"> </t>
        </is>
      </c>
    </row>
    <row r="72" ht="90" customHeight="1">
      <c r="B72" s="258" t="inlineStr">
        <is>
          <t>Report_063</t>
        </is>
      </c>
      <c r="C72" s="246" t="inlineStr">
        <is>
          <t>Reporting &gt; Spreading tab &gt; Customer Details</t>
        </is>
      </c>
      <c r="D72" s="240" t="inlineStr">
        <is>
          <t>Validate the functionality of "group" dropdown filters on Customer Details page.</t>
        </is>
      </c>
      <c r="E72" s="240" t="inlineStr">
        <is>
          <t>1. Click Reporting in the page header.
2. Click Customer Details.
3. Click Group dropdown filter.</t>
        </is>
      </c>
      <c r="F72" s="240" t="inlineStr">
        <is>
          <t>1. It should be single select dropdown filter.
2. Dropdown should have a search bar on top to search the group.
3. Dropdown should have a slider, if the list of the group is long.
4. A cross icon should appear against the selected group to unselect/clear the filter.</t>
        </is>
      </c>
      <c r="G72" s="366" t="inlineStr">
        <is>
          <t>Pending</t>
        </is>
      </c>
      <c r="H72" s="240" t="inlineStr">
        <is>
          <t xml:space="preserve"> </t>
        </is>
      </c>
      <c r="I72" s="366" t="inlineStr">
        <is>
          <t>Done</t>
        </is>
      </c>
      <c r="J72" s="240" t="inlineStr">
        <is>
          <t xml:space="preserve"> </t>
        </is>
      </c>
      <c r="K72" s="259" t="inlineStr">
        <is>
          <t xml:space="preserve"> </t>
        </is>
      </c>
    </row>
    <row r="73" ht="51.75" customHeight="1">
      <c r="B73" s="258" t="inlineStr">
        <is>
          <t>Report_064</t>
        </is>
      </c>
      <c r="C73" s="246" t="inlineStr">
        <is>
          <t>Reporting &gt; Spreading tab &gt; Customer Details</t>
        </is>
      </c>
      <c r="D73" s="240" t="inlineStr">
        <is>
          <t>Validate the data in the Model dropdown filter on Customer Details page.</t>
        </is>
      </c>
      <c r="E73" s="240" t="inlineStr">
        <is>
          <t>1. Click Reporting in the page header.
2. Click Customer Details.
3. Click Model dropdown filter.</t>
        </is>
      </c>
      <c r="F73" s="240" t="inlineStr">
        <is>
          <t>"Select Model" should be the default message on the dropdown filter.
Data should be visible as per the selection of the group assigned to the logged in user.</t>
        </is>
      </c>
      <c r="G73" s="366" t="inlineStr">
        <is>
          <t>Pending</t>
        </is>
      </c>
      <c r="H73" s="240" t="inlineStr">
        <is>
          <t xml:space="preserve"> </t>
        </is>
      </c>
      <c r="I73" s="366" t="inlineStr">
        <is>
          <t>Done</t>
        </is>
      </c>
      <c r="J73" s="240" t="inlineStr">
        <is>
          <t xml:space="preserve"> </t>
        </is>
      </c>
      <c r="K73" s="259" t="inlineStr">
        <is>
          <t xml:space="preserve"> </t>
        </is>
      </c>
    </row>
    <row r="74" ht="115.5" customHeight="1">
      <c r="B74" s="258" t="inlineStr">
        <is>
          <t>Report_065</t>
        </is>
      </c>
      <c r="C74" s="246" t="inlineStr">
        <is>
          <t>Reporting &gt; Spreading tab &gt; Customer Details</t>
        </is>
      </c>
      <c r="D74" s="240" t="inlineStr">
        <is>
          <t>Validate the functionality of model dropdown filters on Customer Details page.</t>
        </is>
      </c>
      <c r="E74" s="240" t="inlineStr">
        <is>
          <t>1. Click Reporting in the page header.
2. Click Customer Details.
3. Click Model dropdown filter after selecting group.</t>
        </is>
      </c>
      <c r="F74" s="240" t="inlineStr">
        <is>
          <t>1. It should be a Multi select dropdown filter.
2. Dropdown should have a search bar on top to search the model.
3. Dropdown should have a slider, if the list of the model is long.
4. Selection/un select can be done by checking/unchecking checkbox against all models.
5. All models can be selected by selecting the select all check box mentioned against search bar.</t>
        </is>
      </c>
      <c r="G74" s="366" t="inlineStr">
        <is>
          <t>Pending</t>
        </is>
      </c>
      <c r="H74" s="240" t="inlineStr">
        <is>
          <t xml:space="preserve"> </t>
        </is>
      </c>
      <c r="I74" s="366" t="inlineStr">
        <is>
          <t>Done</t>
        </is>
      </c>
      <c r="J74" s="240" t="inlineStr">
        <is>
          <t xml:space="preserve"> </t>
        </is>
      </c>
      <c r="K74" s="259" t="inlineStr">
        <is>
          <t xml:space="preserve"> </t>
        </is>
      </c>
    </row>
    <row r="75" ht="64.5" customHeight="1">
      <c r="B75" s="258" t="inlineStr">
        <is>
          <t>Report_066</t>
        </is>
      </c>
      <c r="C75" s="246" t="inlineStr">
        <is>
          <t>Reporting &gt; Spreading tab &gt; Customer Details</t>
        </is>
      </c>
      <c r="D75" s="240" t="inlineStr">
        <is>
          <t>Validate updating the "Model" name in Filter dropdown and Customer Details Report.</t>
        </is>
      </c>
      <c r="E75" s="240" t="inlineStr">
        <is>
          <t>1. Click Reporting in the page header.
2. Click Customer Details.
3. Update the name of the Model.
4. Validate the Model name in the dropdown.</t>
        </is>
      </c>
      <c r="F75" s="240" t="inlineStr">
        <is>
          <t>Model name should be updated in the Model drop down and should also be visible in Models mapped column of Customer Details report.</t>
        </is>
      </c>
      <c r="G75" s="366" t="inlineStr">
        <is>
          <t>Pending</t>
        </is>
      </c>
      <c r="H75" s="240" t="inlineStr">
        <is>
          <t xml:space="preserve"> </t>
        </is>
      </c>
      <c r="I75" s="366" t="inlineStr">
        <is>
          <t>Done</t>
        </is>
      </c>
      <c r="J75" s="240" t="inlineStr">
        <is>
          <t xml:space="preserve"> </t>
        </is>
      </c>
      <c r="K75" s="259" t="inlineStr">
        <is>
          <t xml:space="preserve"> </t>
        </is>
      </c>
    </row>
    <row r="76" ht="77.25" customHeight="1">
      <c r="B76" s="258" t="inlineStr">
        <is>
          <t>Report_067</t>
        </is>
      </c>
      <c r="C76" s="246" t="inlineStr">
        <is>
          <t>Reporting &gt; Spreading tab &gt; Customer Details</t>
        </is>
      </c>
      <c r="D76" s="240" t="inlineStr">
        <is>
          <t>Validate adding a "Model" in Filter dropdown and Customer Details Report.</t>
        </is>
      </c>
      <c r="E76" s="240" t="inlineStr">
        <is>
          <t>1. Click Reporting in the page header.
2. Click Customer Details.
3. Addd a Model and attach it to a group having access to logged in user.
4. Validate the Model in the dropdown.</t>
        </is>
      </c>
      <c r="F76" s="240" t="inlineStr">
        <is>
          <t>Added Model should be visible in the Model dropdown list with the corresponding Group and should also be visible in Models mapped column of Customer Details report.</t>
        </is>
      </c>
      <c r="G76" s="366" t="inlineStr">
        <is>
          <t>Pending</t>
        </is>
      </c>
      <c r="H76" s="240" t="inlineStr">
        <is>
          <t xml:space="preserve"> </t>
        </is>
      </c>
      <c r="I76" s="366" t="inlineStr">
        <is>
          <t>Done</t>
        </is>
      </c>
      <c r="J76" s="240" t="inlineStr">
        <is>
          <t xml:space="preserve"> </t>
        </is>
      </c>
      <c r="K76" s="259" t="inlineStr">
        <is>
          <t xml:space="preserve"> </t>
        </is>
      </c>
    </row>
    <row r="77" ht="77.25" customHeight="1">
      <c r="B77" s="258" t="inlineStr">
        <is>
          <t>Report_068</t>
        </is>
      </c>
      <c r="C77" s="246" t="inlineStr">
        <is>
          <t>Reporting &gt; Spreading tab &gt; Customer Details</t>
        </is>
      </c>
      <c r="D77" s="240" t="inlineStr">
        <is>
          <t>Validate deleting a "Model" in Filter dropdown and Customer Details Report.</t>
        </is>
      </c>
      <c r="E77" s="240" t="inlineStr">
        <is>
          <t>1. Click Reporting in the page header.
2. Click Customer Details.
3. Delete a Model from a Group having access to logged in user.
4. Validate the Model in the dropdown.</t>
        </is>
      </c>
      <c r="F77" s="240" t="inlineStr">
        <is>
          <t>Deleted Model should not be visible in the Model dropdown list with the corresponding Group and should not be visible in Models mapped column of Customer Details report.</t>
        </is>
      </c>
      <c r="G77" s="366" t="inlineStr">
        <is>
          <t>Pending</t>
        </is>
      </c>
      <c r="H77" s="240" t="inlineStr">
        <is>
          <t xml:space="preserve"> </t>
        </is>
      </c>
      <c r="I77" s="366" t="inlineStr">
        <is>
          <t>Done</t>
        </is>
      </c>
      <c r="J77" s="240" t="inlineStr">
        <is>
          <t xml:space="preserve"> </t>
        </is>
      </c>
      <c r="K77" s="259" t="inlineStr">
        <is>
          <t xml:space="preserve"> </t>
        </is>
      </c>
    </row>
    <row r="78" ht="128.25" customHeight="1">
      <c r="B78" s="258" t="inlineStr">
        <is>
          <t>Report_069</t>
        </is>
      </c>
      <c r="C78" s="246" t="inlineStr">
        <is>
          <t>Reporting &gt; Spreading tab &gt; Customer Details</t>
        </is>
      </c>
      <c r="D78" s="240" t="inlineStr">
        <is>
          <t>Validate the Model dropdown list on updating the access of logged in user to a Model and Customer Details Report.</t>
        </is>
      </c>
      <c r="E78" s="240" t="inlineStr">
        <is>
          <t>1. Click Reporting in the page header.
2. Click Customer Details.
3. Attach a model to a group which is accessed by the logged in user.
4. Remove a model from a Group which is accessed by the logged in user.
5. Validate the list of the Model dropdown.</t>
        </is>
      </c>
      <c r="F78" s="240" t="inlineStr">
        <is>
          <t>1. Only Models should be visible in the dropdown list of model, attached to a group having access to the logged in user and should also be visible in Models mapped column of Customer Details report.
2. Models should not be visible in the dropdown list of model if not attached to a group having access to the logged in user and should not be visible in Models mapped column of Customer Details report.</t>
        </is>
      </c>
      <c r="G78" s="366" t="inlineStr">
        <is>
          <t>Pending</t>
        </is>
      </c>
      <c r="H78" s="240" t="inlineStr">
        <is>
          <t xml:space="preserve"> </t>
        </is>
      </c>
      <c r="I78" s="366" t="inlineStr">
        <is>
          <t>Done</t>
        </is>
      </c>
      <c r="J78" s="240" t="inlineStr">
        <is>
          <t xml:space="preserve"> </t>
        </is>
      </c>
      <c r="K78" s="259" t="inlineStr">
        <is>
          <t xml:space="preserve"> </t>
        </is>
      </c>
    </row>
    <row r="79" ht="64.5" customHeight="1">
      <c r="B79" s="258" t="inlineStr">
        <is>
          <t>Report_070</t>
        </is>
      </c>
      <c r="C79" s="246" t="inlineStr">
        <is>
          <t>Reporting &gt; Spreading tab &gt; Customer Details</t>
        </is>
      </c>
      <c r="D79" s="240" t="inlineStr">
        <is>
          <t>Validate the data in the Status dropdown filters on Customer Details page.</t>
        </is>
      </c>
      <c r="E79" s="240" t="inlineStr">
        <is>
          <t>1. Click Reporting in the page header.
2. Click Customer Details.
3. Click Status dropdown filter.</t>
        </is>
      </c>
      <c r="F79" s="240" t="inlineStr">
        <is>
          <t>"Select status" should be the default message on the dropdown filter, data should contains the status:
1. Active.
2. Inactive.</t>
        </is>
      </c>
      <c r="G79" s="366" t="inlineStr">
        <is>
          <t>Pending</t>
        </is>
      </c>
      <c r="H79" s="240" t="inlineStr">
        <is>
          <t xml:space="preserve"> </t>
        </is>
      </c>
      <c r="I79" s="366" t="inlineStr">
        <is>
          <t>Done</t>
        </is>
      </c>
      <c r="J79" s="240" t="inlineStr">
        <is>
          <t xml:space="preserve"> </t>
        </is>
      </c>
      <c r="K79" s="259" t="inlineStr">
        <is>
          <t xml:space="preserve"> </t>
        </is>
      </c>
    </row>
    <row r="80" ht="64.5" customHeight="1">
      <c r="B80" s="258" t="inlineStr">
        <is>
          <t>Report_071</t>
        </is>
      </c>
      <c r="C80" s="246" t="inlineStr">
        <is>
          <t>Reporting &gt; Spreading tab &gt; Customer Details</t>
        </is>
      </c>
      <c r="D80" s="240" t="inlineStr">
        <is>
          <t>Validate the functionality of Status dropdown filters on Customer Details page.</t>
        </is>
      </c>
      <c r="E80" s="240" t="inlineStr">
        <is>
          <t>1. Click Reporting in the page header.
2. Click Customer Details.
3. Click Status dropdown filter.</t>
        </is>
      </c>
      <c r="F80" s="240" t="inlineStr">
        <is>
          <t>1. It should be a single select dropdown filter.
2. Dropdown should have a search bar to search the status.
3. A cross icon should appear against the selected status to unselect.</t>
        </is>
      </c>
      <c r="G80" s="366" t="inlineStr">
        <is>
          <t>Pending</t>
        </is>
      </c>
      <c r="H80" s="240" t="inlineStr">
        <is>
          <t xml:space="preserve"> </t>
        </is>
      </c>
      <c r="I80" s="366" t="inlineStr">
        <is>
          <t>Done</t>
        </is>
      </c>
      <c r="J80" s="240" t="inlineStr">
        <is>
          <t xml:space="preserve"> </t>
        </is>
      </c>
      <c r="K80" s="259" t="inlineStr">
        <is>
          <t xml:space="preserve"> </t>
        </is>
      </c>
    </row>
    <row r="81" ht="64.5" customHeight="1">
      <c r="B81" s="258" t="inlineStr">
        <is>
          <t>Report_072</t>
        </is>
      </c>
      <c r="C81" s="246" t="inlineStr">
        <is>
          <t>Reporting &gt; Spreading tab &gt; Customer Details</t>
        </is>
      </c>
      <c r="D81" s="240" t="inlineStr">
        <is>
          <t>Validate the Radio buttons on Customer Details page.</t>
        </is>
      </c>
      <c r="E81" s="240" t="inlineStr">
        <is>
          <t>1. Click Reporting in the page header.
2. Click Customer Details.
3. Select any export format radio button.</t>
        </is>
      </c>
      <c r="F81" s="240" t="inlineStr">
        <is>
          <t>The export format selector should allow only one option to be selected at a time:
1. Excel
2. PDF
3. HTML</t>
        </is>
      </c>
      <c r="G81" s="366" t="inlineStr">
        <is>
          <t>Pending</t>
        </is>
      </c>
      <c r="H81" s="240" t="inlineStr">
        <is>
          <t xml:space="preserve"> </t>
        </is>
      </c>
      <c r="I81" s="366" t="inlineStr">
        <is>
          <t>Done</t>
        </is>
      </c>
      <c r="J81" s="240" t="inlineStr">
        <is>
          <t xml:space="preserve"> </t>
        </is>
      </c>
      <c r="K81" s="259" t="inlineStr">
        <is>
          <t xml:space="preserve"> </t>
        </is>
      </c>
    </row>
    <row r="82" ht="64.5" customHeight="1">
      <c r="B82" s="258" t="inlineStr">
        <is>
          <t>Report_073</t>
        </is>
      </c>
      <c r="C82" s="246" t="inlineStr">
        <is>
          <t>Reporting &gt; Spreading tab &gt; Customer Details</t>
        </is>
      </c>
      <c r="D82" s="240" t="inlineStr">
        <is>
          <t>Validate the "Information" button on Customer Details page.</t>
        </is>
      </c>
      <c r="E82" s="240" t="inlineStr">
        <is>
          <t>1. Click Reporting in the page header.
2. Click Customer Details.
3. Click the Information button.</t>
        </is>
      </c>
      <c r="F82" s="240" t="inlineStr">
        <is>
          <t>1. The Information button should be clickable.
2. Clicking the Information button should open a pop-up message.
3. The pop-up should include a Close button.</t>
        </is>
      </c>
      <c r="G82" s="366" t="inlineStr">
        <is>
          <t>Pending</t>
        </is>
      </c>
      <c r="H82" s="240" t="inlineStr">
        <is>
          <t xml:space="preserve"> </t>
        </is>
      </c>
      <c r="I82" s="366" t="inlineStr">
        <is>
          <t>Done</t>
        </is>
      </c>
      <c r="J82" s="240" t="inlineStr">
        <is>
          <t xml:space="preserve"> </t>
        </is>
      </c>
      <c r="K82" s="259" t="inlineStr">
        <is>
          <t xml:space="preserve"> </t>
        </is>
      </c>
    </row>
    <row r="83" ht="39" customHeight="1">
      <c r="B83" s="258" t="inlineStr">
        <is>
          <t>Report_074</t>
        </is>
      </c>
      <c r="C83" s="246" t="inlineStr">
        <is>
          <t>Reporting &gt; Spreading tab &gt; Customer Details</t>
        </is>
      </c>
      <c r="D83" s="240" t="inlineStr">
        <is>
          <t>Validate the "Refresh" button on Customer Details page.</t>
        </is>
      </c>
      <c r="E83" s="240" t="inlineStr">
        <is>
          <t>1. Click Reporting in the page header.
2. Click Customer Details.
3. Click the Refresh button.</t>
        </is>
      </c>
      <c r="F83" s="240" t="inlineStr">
        <is>
          <t>1. The Refresh button should be clickable.
2. Clicking Refresh should clear all selected filters.</t>
        </is>
      </c>
      <c r="G83" s="366" t="inlineStr">
        <is>
          <t>Pending</t>
        </is>
      </c>
      <c r="H83" s="240" t="inlineStr">
        <is>
          <t xml:space="preserve"> </t>
        </is>
      </c>
      <c r="I83" s="366" t="inlineStr">
        <is>
          <t>Done</t>
        </is>
      </c>
      <c r="J83" s="240" t="inlineStr">
        <is>
          <t xml:space="preserve"> </t>
        </is>
      </c>
      <c r="K83" s="259" t="inlineStr">
        <is>
          <t xml:space="preserve"> </t>
        </is>
      </c>
    </row>
    <row r="84" ht="64.5" customHeight="1">
      <c r="B84" s="258" t="inlineStr">
        <is>
          <t>Report_075</t>
        </is>
      </c>
      <c r="C84" s="246" t="inlineStr">
        <is>
          <t>Reporting &gt; Spreading tab &gt; Customer Details</t>
        </is>
      </c>
      <c r="D84" s="245" t="inlineStr">
        <is>
          <t>Validate the "Refresh" button on Customer Details page.</t>
        </is>
      </c>
      <c r="E84" s="245" t="inlineStr">
        <is>
          <t>1. Click Reporting in the page header.
2. Click Customer Details.
3. Select any Group and model.
4. Click Refresh button.
5. Click model dropdown.</t>
        </is>
      </c>
      <c r="F84" s="245" t="inlineStr">
        <is>
          <t>Model list should not appear until user selects any group.</t>
        </is>
      </c>
      <c r="G84" s="366" t="inlineStr">
        <is>
          <t>Pending</t>
        </is>
      </c>
      <c r="H84" s="240" t="n"/>
      <c r="I84" s="366" t="inlineStr">
        <is>
          <t>Pending</t>
        </is>
      </c>
      <c r="J84" s="240" t="n"/>
      <c r="K84" s="259" t="n"/>
    </row>
    <row r="85" ht="39" customHeight="1">
      <c r="B85" s="258" t="inlineStr">
        <is>
          <t>Report_076</t>
        </is>
      </c>
      <c r="C85" s="246" t="inlineStr">
        <is>
          <t>Reporting &gt; Spreading tab &gt; Customer Details</t>
        </is>
      </c>
      <c r="D85" s="240" t="inlineStr">
        <is>
          <t>Validate the "Generate Report" button on vCustomer Details page.</t>
        </is>
      </c>
      <c r="E85" s="240" t="inlineStr">
        <is>
          <t>1. Click Reporting in the page header.
2. Click Customer Details.
3. Click the Generate Report button.</t>
        </is>
      </c>
      <c r="F85" s="240" t="inlineStr">
        <is>
          <t>1. The Generate Report button should be clickable.
2. Clicking Generate Report should generate the report in the selected format.</t>
        </is>
      </c>
      <c r="G85" s="366" t="inlineStr">
        <is>
          <t>Pending</t>
        </is>
      </c>
      <c r="H85" s="240" t="inlineStr">
        <is>
          <t xml:space="preserve"> </t>
        </is>
      </c>
      <c r="I85" s="366" t="inlineStr">
        <is>
          <t>Done</t>
        </is>
      </c>
      <c r="J85" s="240" t="inlineStr">
        <is>
          <t xml:space="preserve"> </t>
        </is>
      </c>
      <c r="K85" s="259" t="inlineStr">
        <is>
          <t xml:space="preserve"> </t>
        </is>
      </c>
    </row>
    <row r="86" ht="141" customHeight="1">
      <c r="B86" s="258" t="inlineStr">
        <is>
          <t>Report_077</t>
        </is>
      </c>
      <c r="C86" s="246" t="inlineStr">
        <is>
          <t>Reporting &gt; Spreading tab &gt; Customer Details</t>
        </is>
      </c>
      <c r="D86" s="240" t="inlineStr">
        <is>
          <t>Validate Customer Details report without making any selection in the filters.</t>
        </is>
      </c>
      <c r="E86" s="240" t="inlineStr">
        <is>
          <t>1. Click Reporting in the page header.
2. Click Customer Details under spreading.
2. Click Generate report.</t>
        </is>
      </c>
      <c r="F86" s="240" t="inlineStr">
        <is>
          <t>Customer Details report should be generated with the below mentioned columns:
Sr. No.
Company Name.
Customer ID.
Ticker.
Group.
FYE.
Models Mapped.
Status.
Comments.</t>
        </is>
      </c>
      <c r="G86" s="366" t="inlineStr">
        <is>
          <t>Pending</t>
        </is>
      </c>
      <c r="H86" s="240" t="inlineStr">
        <is>
          <t xml:space="preserve"> </t>
        </is>
      </c>
      <c r="I86" s="366" t="inlineStr">
        <is>
          <t>Done</t>
        </is>
      </c>
      <c r="J86" s="240" t="inlineStr">
        <is>
          <t xml:space="preserve"> </t>
        </is>
      </c>
      <c r="K86" s="259" t="inlineStr">
        <is>
          <t xml:space="preserve"> </t>
        </is>
      </c>
    </row>
    <row r="87" ht="51.75" customHeight="1">
      <c r="B87" s="258" t="inlineStr">
        <is>
          <t>Report_078</t>
        </is>
      </c>
      <c r="C87" s="246" t="inlineStr">
        <is>
          <t>Reporting &gt; Spreading tab &gt; Customer Details</t>
        </is>
      </c>
      <c r="D87" s="240" t="inlineStr">
        <is>
          <t>Validate Customer Details report after selecting all the filters.</t>
        </is>
      </c>
      <c r="E87" s="240" t="inlineStr">
        <is>
          <t>1. Click Customer Details under spreading.
2. Select all required filters.
3. Click Generate Report.</t>
        </is>
      </c>
      <c r="F87" s="240" t="inlineStr">
        <is>
          <t>The Customer Details report should be generated based on the selected filters.</t>
        </is>
      </c>
      <c r="G87" s="366" t="inlineStr">
        <is>
          <t>Pending</t>
        </is>
      </c>
      <c r="H87" s="240" t="inlineStr">
        <is>
          <t xml:space="preserve"> </t>
        </is>
      </c>
      <c r="I87" s="366" t="inlineStr">
        <is>
          <t>Done</t>
        </is>
      </c>
      <c r="J87" s="240" t="inlineStr">
        <is>
          <t xml:space="preserve"> </t>
        </is>
      </c>
      <c r="K87" s="259" t="inlineStr">
        <is>
          <t xml:space="preserve"> </t>
        </is>
      </c>
    </row>
    <row r="88" ht="64.5" customHeight="1">
      <c r="B88" s="258" t="inlineStr">
        <is>
          <t>Report_079</t>
        </is>
      </c>
      <c r="C88" s="246" t="inlineStr">
        <is>
          <t>Reporting &gt; Spreading tab &gt; Customer Details</t>
        </is>
      </c>
      <c r="D88" s="240" t="inlineStr">
        <is>
          <t>Validate Customer Details report after selecting a combination of filters.
1. Group.
2. Status.</t>
        </is>
      </c>
      <c r="E88" s="240" t="inlineStr">
        <is>
          <t>1. Click Customer Details under spreading.
2. Select the required filters.
3. Click Generate Report.</t>
        </is>
      </c>
      <c r="F88" s="240" t="inlineStr">
        <is>
          <t>The Customer Details report should be generated based on the selected filters.</t>
        </is>
      </c>
      <c r="G88" s="366" t="inlineStr">
        <is>
          <t>Pending</t>
        </is>
      </c>
      <c r="H88" s="240" t="inlineStr">
        <is>
          <t xml:space="preserve"> </t>
        </is>
      </c>
      <c r="I88" s="366" t="inlineStr">
        <is>
          <t>Pending</t>
        </is>
      </c>
      <c r="J88" s="240" t="n">
        <v>1</v>
      </c>
      <c r="K88" s="259" t="inlineStr">
        <is>
          <t xml:space="preserve"> </t>
        </is>
      </c>
    </row>
    <row r="89" ht="51.75" customHeight="1">
      <c r="B89" s="258" t="inlineStr">
        <is>
          <t>Report_080</t>
        </is>
      </c>
      <c r="C89" s="246" t="inlineStr">
        <is>
          <t>Reporting &gt; Spreading tab &gt; Customer Details</t>
        </is>
      </c>
      <c r="D89" s="240" t="inlineStr">
        <is>
          <t>Validate Spreading Details report after selecting a combination of filters.
1. Status.</t>
        </is>
      </c>
      <c r="E89" s="240" t="inlineStr">
        <is>
          <t>1. Click Customer Details under spreading.
2. Select the filter.
3. Click Generate Report.</t>
        </is>
      </c>
      <c r="F89" s="240" t="inlineStr">
        <is>
          <t>The Customer Details report should be generated based on the selected filters.</t>
        </is>
      </c>
      <c r="G89" s="366" t="inlineStr">
        <is>
          <t>Pending</t>
        </is>
      </c>
      <c r="H89" s="240" t="inlineStr">
        <is>
          <t xml:space="preserve"> </t>
        </is>
      </c>
      <c r="I89" s="366" t="inlineStr">
        <is>
          <t>Pending</t>
        </is>
      </c>
      <c r="J89" s="240" t="n">
        <v>1</v>
      </c>
      <c r="K89" s="259" t="inlineStr">
        <is>
          <t xml:space="preserve"> </t>
        </is>
      </c>
    </row>
    <row r="90" ht="64.5" customHeight="1">
      <c r="B90" s="258" t="inlineStr">
        <is>
          <t>Report_081</t>
        </is>
      </c>
      <c r="C90" s="246" t="inlineStr">
        <is>
          <t>Reporting &gt; Spreading tab &gt; Customer Details</t>
        </is>
      </c>
      <c r="D90" s="240" t="inlineStr">
        <is>
          <t>Validate Customer Details report after selecting a combination of filters.
1. Model.
2. Status.</t>
        </is>
      </c>
      <c r="E90" s="240" t="inlineStr">
        <is>
          <t>1. Click Customer Details under spreading.
2. Select the required filters.
3. Click Generate Report.</t>
        </is>
      </c>
      <c r="F90" s="240" t="inlineStr">
        <is>
          <t>The Customer Details report should be generated based on the selected filters.</t>
        </is>
      </c>
      <c r="G90" s="366" t="inlineStr">
        <is>
          <t>Pending</t>
        </is>
      </c>
      <c r="H90" s="240" t="inlineStr">
        <is>
          <t xml:space="preserve"> </t>
        </is>
      </c>
      <c r="I90" s="366" t="inlineStr">
        <is>
          <t>Pending</t>
        </is>
      </c>
      <c r="J90" s="240" t="n">
        <v>1</v>
      </c>
      <c r="K90" s="259" t="inlineStr">
        <is>
          <t xml:space="preserve"> </t>
        </is>
      </c>
    </row>
    <row r="91" ht="77.25" customHeight="1">
      <c r="B91" s="258" t="inlineStr">
        <is>
          <t>Report_082</t>
        </is>
      </c>
      <c r="C91" s="246" t="inlineStr">
        <is>
          <t>Reporting &gt; Spreading tab &gt; Customer Details</t>
        </is>
      </c>
      <c r="D91" s="240" t="inlineStr">
        <is>
          <t>Validate the Customer Details report in Excel format.</t>
        </is>
      </c>
      <c r="E91" s="240" t="inlineStr">
        <is>
          <t>1. Click Reporting in the page header.
2. Click Customer Details under spreading.
3. Select the Excel format radio button.
4. Click Generate Report.</t>
        </is>
      </c>
      <c r="F91" s="240" t="inlineStr">
        <is>
          <t>The report should be generated in Excel format.</t>
        </is>
      </c>
      <c r="G91" s="366" t="inlineStr">
        <is>
          <t>Pending</t>
        </is>
      </c>
      <c r="H91" s="240" t="inlineStr">
        <is>
          <t xml:space="preserve"> </t>
        </is>
      </c>
      <c r="I91" s="366" t="inlineStr">
        <is>
          <t>Done</t>
        </is>
      </c>
      <c r="J91" s="240" t="inlineStr">
        <is>
          <t xml:space="preserve"> </t>
        </is>
      </c>
      <c r="K91" s="259" t="inlineStr">
        <is>
          <t xml:space="preserve"> </t>
        </is>
      </c>
    </row>
    <row r="92" ht="77.25" customHeight="1">
      <c r="B92" s="258" t="inlineStr">
        <is>
          <t>Report_083</t>
        </is>
      </c>
      <c r="C92" s="246" t="inlineStr">
        <is>
          <t>Reporting &gt; Spreading tab &gt; Customer Details</t>
        </is>
      </c>
      <c r="D92" s="240" t="inlineStr">
        <is>
          <t>Validate the Customer Details report in PDF format.</t>
        </is>
      </c>
      <c r="E92" s="240" t="inlineStr">
        <is>
          <t>1. Click Reporting in the page header.
2. Click Customer Details under spreading.
3. Select the PDF format radio button.
4. Click Generate Report.</t>
        </is>
      </c>
      <c r="F92" s="240" t="inlineStr">
        <is>
          <t>The report should be generated in PDF format.</t>
        </is>
      </c>
      <c r="G92" s="366" t="inlineStr">
        <is>
          <t>Pending</t>
        </is>
      </c>
      <c r="H92" s="240" t="inlineStr">
        <is>
          <t xml:space="preserve"> </t>
        </is>
      </c>
      <c r="I92" s="366" t="inlineStr">
        <is>
          <t>Done</t>
        </is>
      </c>
      <c r="J92" s="240" t="inlineStr">
        <is>
          <t xml:space="preserve"> </t>
        </is>
      </c>
      <c r="K92" s="259" t="inlineStr">
        <is>
          <t xml:space="preserve"> </t>
        </is>
      </c>
    </row>
    <row r="93" ht="77.25" customHeight="1">
      <c r="B93" s="258" t="inlineStr">
        <is>
          <t>Report_084</t>
        </is>
      </c>
      <c r="C93" s="246" t="inlineStr">
        <is>
          <t>Reporting &gt; Spreading tab &gt; Customer Details</t>
        </is>
      </c>
      <c r="D93" s="240" t="inlineStr">
        <is>
          <t>Validate the Customer Details report in HTML format.</t>
        </is>
      </c>
      <c r="E93" s="240" t="inlineStr">
        <is>
          <t>1. Click Reporting in the page header.
2. Click Customer Details under spreading.
3. Select the HTML format radio button.
4. Click Generate Report.</t>
        </is>
      </c>
      <c r="F93" s="240" t="inlineStr">
        <is>
          <t>The report should be generated in HTML format.</t>
        </is>
      </c>
      <c r="G93" s="366" t="inlineStr">
        <is>
          <t>Pending</t>
        </is>
      </c>
      <c r="H93" s="240" t="inlineStr">
        <is>
          <t xml:space="preserve"> </t>
        </is>
      </c>
      <c r="I93" s="366" t="inlineStr">
        <is>
          <t>Done</t>
        </is>
      </c>
      <c r="J93" s="240" t="inlineStr">
        <is>
          <t xml:space="preserve"> </t>
        </is>
      </c>
      <c r="K93" s="259" t="inlineStr">
        <is>
          <t xml:space="preserve"> </t>
        </is>
      </c>
    </row>
    <row r="94" ht="115.5" customHeight="1">
      <c r="B94" s="258" t="inlineStr">
        <is>
          <t>Report_085</t>
        </is>
      </c>
      <c r="C94" s="247" t="inlineStr">
        <is>
          <t>Reporting &gt; Spreading tab &gt; User Details</t>
        </is>
      </c>
      <c r="D94" s="240" t="inlineStr">
        <is>
          <t>Validate the User Details page.</t>
        </is>
      </c>
      <c r="E94" s="240" t="inlineStr">
        <is>
          <t>1. Log in to the Spreadsmart application.
2. Click Reporting in the page header.
3. Click the User Details under Spreading.</t>
        </is>
      </c>
      <c r="F94" s="240" t="inlineStr">
        <is>
          <t>User Details page should have below mentioned components:
1. Access Group filter dropdown.
2. Analyst Name filter dropdown.
3. Role filter dropdown.
4. Format type radio buttons.
5. Information button.
6. Refresh button.
7. Generate Report button.</t>
        </is>
      </c>
      <c r="G94" s="366" t="inlineStr">
        <is>
          <t>Pending</t>
        </is>
      </c>
      <c r="H94" s="240" t="inlineStr">
        <is>
          <t xml:space="preserve"> </t>
        </is>
      </c>
      <c r="I94" s="366" t="inlineStr">
        <is>
          <t>Done</t>
        </is>
      </c>
      <c r="J94" s="240" t="inlineStr">
        <is>
          <t xml:space="preserve"> </t>
        </is>
      </c>
      <c r="K94" s="259" t="inlineStr">
        <is>
          <t xml:space="preserve"> </t>
        </is>
      </c>
    </row>
    <row r="95" ht="51.75" customHeight="1">
      <c r="B95" s="258" t="inlineStr">
        <is>
          <t>Report_086</t>
        </is>
      </c>
      <c r="C95" s="247" t="inlineStr">
        <is>
          <t>Reporting &gt; Spreading tab &gt; User Details</t>
        </is>
      </c>
      <c r="D95" s="240" t="inlineStr">
        <is>
          <t>Validate the data in the "Access group" filter dropdown on User Details page.</t>
        </is>
      </c>
      <c r="E95" s="240" t="inlineStr">
        <is>
          <t>1. Click Reporting in the page header.
2. Click User Details.
3. Click Access Group dropdown filter.</t>
        </is>
      </c>
      <c r="F95" s="240" t="inlineStr">
        <is>
          <t>"Select Group" should be the default message on the dropdown filter.
Data should be visible as per the groups assigned to logged in user.</t>
        </is>
      </c>
      <c r="G95" s="366" t="inlineStr">
        <is>
          <t>Pending</t>
        </is>
      </c>
      <c r="H95" s="240" t="inlineStr">
        <is>
          <t xml:space="preserve"> </t>
        </is>
      </c>
      <c r="I95" s="366" t="inlineStr">
        <is>
          <t>Done</t>
        </is>
      </c>
      <c r="J95" s="240" t="inlineStr">
        <is>
          <t xml:space="preserve"> </t>
        </is>
      </c>
      <c r="K95" s="259" t="inlineStr">
        <is>
          <t xml:space="preserve"> </t>
        </is>
      </c>
    </row>
    <row r="96" ht="90" customHeight="1">
      <c r="B96" s="258" t="inlineStr">
        <is>
          <t>Report_087</t>
        </is>
      </c>
      <c r="C96" s="247" t="inlineStr">
        <is>
          <t>Reporting &gt; Spreading tab &gt; User Details</t>
        </is>
      </c>
      <c r="D96" s="240" t="inlineStr">
        <is>
          <t>Validate the functionality of "Access group" dropdown filters on User Details page.</t>
        </is>
      </c>
      <c r="E96" s="240" t="inlineStr">
        <is>
          <t>1. Click Reporting in the page header.
2. Click User Details.
3. Click Access Group dropdown filter.</t>
        </is>
      </c>
      <c r="F96" s="240" t="inlineStr">
        <is>
          <t>1. It should be single select dropdown filter.
2. Dropdown should have a search bar on top to search the group.
3. Dropdown should have a slider, if the list of the group is long.
4. A cross icon should appear against the selected group to unselect/clear the filter.</t>
        </is>
      </c>
      <c r="G96" s="366" t="inlineStr">
        <is>
          <t>Pending</t>
        </is>
      </c>
      <c r="H96" s="240" t="inlineStr">
        <is>
          <t xml:space="preserve"> </t>
        </is>
      </c>
      <c r="I96" s="366" t="inlineStr">
        <is>
          <t>Done</t>
        </is>
      </c>
      <c r="J96" s="240" t="inlineStr">
        <is>
          <t xml:space="preserve"> </t>
        </is>
      </c>
      <c r="K96" s="259" t="inlineStr">
        <is>
          <t xml:space="preserve"> </t>
        </is>
      </c>
    </row>
    <row r="97" ht="51.75" customHeight="1">
      <c r="B97" s="258" t="inlineStr">
        <is>
          <t>Report_088</t>
        </is>
      </c>
      <c r="C97" s="247" t="inlineStr">
        <is>
          <t>Reporting &gt; Spreading tab &gt; User Details</t>
        </is>
      </c>
      <c r="D97" s="240" t="inlineStr">
        <is>
          <t>Validate the data in the Analyst Name dropdown filters on User Details page.</t>
        </is>
      </c>
      <c r="E97" s="240" t="inlineStr">
        <is>
          <t>1. Click Reporting in the page header.
2. Click User Details.
3. Click Analyst Name dropdown filter.</t>
        </is>
      </c>
      <c r="F97" s="240" t="inlineStr">
        <is>
          <t>"Select Analyst(s)" should be the default message on the dropdown filter, data should contains the list of all the analysts.</t>
        </is>
      </c>
      <c r="G97" s="366" t="inlineStr">
        <is>
          <t>Pending</t>
        </is>
      </c>
      <c r="H97" s="240" t="inlineStr">
        <is>
          <t xml:space="preserve"> </t>
        </is>
      </c>
      <c r="I97" s="366" t="inlineStr">
        <is>
          <t>Done</t>
        </is>
      </c>
      <c r="J97" s="240" t="inlineStr">
        <is>
          <t xml:space="preserve"> </t>
        </is>
      </c>
      <c r="K97" s="259" t="inlineStr">
        <is>
          <t xml:space="preserve"> </t>
        </is>
      </c>
    </row>
    <row r="98" ht="102.75" customHeight="1">
      <c r="B98" s="258" t="inlineStr">
        <is>
          <t>Report_089</t>
        </is>
      </c>
      <c r="C98" s="247" t="inlineStr">
        <is>
          <t>Reporting &gt; Spreading tab &gt; User Details</t>
        </is>
      </c>
      <c r="D98" s="240" t="inlineStr">
        <is>
          <t>Validate the functionality of Analyst Name dropdown filters on User Details page.</t>
        </is>
      </c>
      <c r="E98" s="240" t="inlineStr">
        <is>
          <t>1. Click Reporting in the page header.
2. Click User Details.
3. Click Analyst Name dropdown filter.</t>
        </is>
      </c>
      <c r="F98" s="240" t="inlineStr">
        <is>
          <t>1. It should be a Multi select dropdown filter.
2. Dropdown should have a search bar to search the Analyst Name.
3. Dropdown should have a slider, if the list of the Analyst is long.
4. Selection/un select can be done by checking/unchecking checkbox against all Analyst Names.</t>
        </is>
      </c>
      <c r="G98" s="366" t="inlineStr">
        <is>
          <t>Pending</t>
        </is>
      </c>
      <c r="H98" s="240" t="inlineStr">
        <is>
          <t xml:space="preserve"> </t>
        </is>
      </c>
      <c r="I98" s="366" t="inlineStr">
        <is>
          <t>Done</t>
        </is>
      </c>
      <c r="J98" s="240" t="inlineStr">
        <is>
          <t xml:space="preserve"> </t>
        </is>
      </c>
      <c r="K98" s="259" t="inlineStr">
        <is>
          <t xml:space="preserve"> </t>
        </is>
      </c>
    </row>
    <row r="99" ht="102.75" customHeight="1">
      <c r="B99" s="258" t="inlineStr">
        <is>
          <t>Report_090</t>
        </is>
      </c>
      <c r="C99" s="247" t="inlineStr">
        <is>
          <t>Reporting &gt; Spreading tab &gt; User Details</t>
        </is>
      </c>
      <c r="D99" s="240" t="inlineStr">
        <is>
          <t>Validate the data in the Role dropdown filters on User Details page.</t>
        </is>
      </c>
      <c r="E99" s="240" t="inlineStr">
        <is>
          <t>1. Click Reporting in the page header.
2. Click User Details.
3. Click Role dropdown filter.</t>
        </is>
      </c>
      <c r="F99" s="240" t="inlineStr">
        <is>
          <t>Select Role should be the default message on the dropdown filter, data should contains the list of all the Roles.
1. Admin.
2. Analyst.
3. Global Manager.
4. Manager.
5. Read Only.</t>
        </is>
      </c>
      <c r="G99" s="366" t="inlineStr">
        <is>
          <t>Pending</t>
        </is>
      </c>
      <c r="H99" s="240" t="inlineStr">
        <is>
          <t xml:space="preserve"> </t>
        </is>
      </c>
      <c r="I99" s="366" t="inlineStr">
        <is>
          <t>Done</t>
        </is>
      </c>
      <c r="J99" s="240" t="inlineStr">
        <is>
          <t xml:space="preserve"> </t>
        </is>
      </c>
      <c r="K99" s="259" t="inlineStr">
        <is>
          <t xml:space="preserve"> </t>
        </is>
      </c>
    </row>
    <row r="100" ht="90" customHeight="1">
      <c r="B100" s="258" t="inlineStr">
        <is>
          <t>Report_091</t>
        </is>
      </c>
      <c r="C100" s="247" t="inlineStr">
        <is>
          <t>Reporting &gt; Spreading tab &gt; User Details</t>
        </is>
      </c>
      <c r="D100" s="240" t="inlineStr">
        <is>
          <t>Validate the functionality of Role dropdown filters on User Details page.</t>
        </is>
      </c>
      <c r="E100" s="240" t="inlineStr">
        <is>
          <t>1. Click Reporting in the page header.
2. Click User Details.
3. Click Role dropdown filter.</t>
        </is>
      </c>
      <c r="F100" s="240" t="inlineStr">
        <is>
          <t>1. It should be a Multi select dropdown filter.
2. Dropdown should have a search bar to search the spread type.
3. Selection/un select can be done by checking/unchecking checkbox against all Roles.
4. All roles can be selected together by clicking a checkbox against the search bar.</t>
        </is>
      </c>
      <c r="G100" s="366" t="inlineStr">
        <is>
          <t>Pending</t>
        </is>
      </c>
      <c r="H100" s="240" t="inlineStr">
        <is>
          <t xml:space="preserve"> </t>
        </is>
      </c>
      <c r="I100" s="366" t="inlineStr">
        <is>
          <t>Done</t>
        </is>
      </c>
      <c r="J100" s="240" t="inlineStr">
        <is>
          <t xml:space="preserve"> </t>
        </is>
      </c>
      <c r="K100" s="259" t="inlineStr">
        <is>
          <t xml:space="preserve"> </t>
        </is>
      </c>
    </row>
    <row r="101" ht="115.5" customHeight="1">
      <c r="B101" s="258" t="inlineStr">
        <is>
          <t>Report_092</t>
        </is>
      </c>
      <c r="C101" s="247" t="inlineStr">
        <is>
          <t>Reporting &gt; Spreading tab &gt; User Details</t>
        </is>
      </c>
      <c r="D101" s="240" t="inlineStr">
        <is>
          <t>Validate User Details report without making any selection in the filters.</t>
        </is>
      </c>
      <c r="E101" s="240" t="inlineStr">
        <is>
          <t>1. Click Reporting in the page header.
2. Click User Details under spreading.
2. Click Generate report.</t>
        </is>
      </c>
      <c r="F101" s="240" t="inlineStr">
        <is>
          <t>User Details report should be generated with the below mentioned columns:
Sr. No.
Analyst Name.
Role.
Email ID.
Phone Number.
Status.
Access Group.</t>
        </is>
      </c>
      <c r="G101" s="366" t="inlineStr">
        <is>
          <t>Pending</t>
        </is>
      </c>
      <c r="H101" s="240" t="inlineStr">
        <is>
          <t xml:space="preserve"> </t>
        </is>
      </c>
      <c r="I101" s="366" t="inlineStr">
        <is>
          <t>Done</t>
        </is>
      </c>
      <c r="J101" s="240" t="inlineStr">
        <is>
          <t xml:space="preserve"> </t>
        </is>
      </c>
      <c r="K101" s="259" t="inlineStr">
        <is>
          <t xml:space="preserve"> </t>
        </is>
      </c>
    </row>
    <row r="102" ht="128.25" customHeight="1">
      <c r="B102" s="258" t="inlineStr">
        <is>
          <t>Report_093</t>
        </is>
      </c>
      <c r="C102" s="247" t="inlineStr">
        <is>
          <t>Reporting &gt; Spreading tab &gt; User Details</t>
        </is>
      </c>
      <c r="D102" s="240" t="inlineStr">
        <is>
          <t>Validate the User Details report when any of the following information of an user get updated.
1. Analyst Name.
2. Role.
3. Email ID.
4. Phone number.
5. Status.
6. Access Group.</t>
        </is>
      </c>
      <c r="E102" s="240" t="inlineStr">
        <is>
          <t>1. Click Reporting in the page header.
2. Click User Details under spreading.
2. Click Generate report.</t>
        </is>
      </c>
      <c r="F102" s="240" t="inlineStr">
        <is>
          <t>Updating any information for an user should reflect in the User Details Report.</t>
        </is>
      </c>
      <c r="G102" s="366" t="inlineStr">
        <is>
          <t>Pending</t>
        </is>
      </c>
      <c r="H102" s="240" t="inlineStr">
        <is>
          <t xml:space="preserve"> </t>
        </is>
      </c>
      <c r="I102" s="366" t="inlineStr">
        <is>
          <t>Pending</t>
        </is>
      </c>
      <c r="J102" s="240" t="n">
        <v>1</v>
      </c>
      <c r="K102" s="259" t="inlineStr">
        <is>
          <t xml:space="preserve"> </t>
        </is>
      </c>
    </row>
    <row r="103" ht="51.75" customHeight="1">
      <c r="B103" s="258" t="inlineStr">
        <is>
          <t>Report_094</t>
        </is>
      </c>
      <c r="C103" s="247" t="inlineStr">
        <is>
          <t>Reporting &gt; Spreading tab &gt; User Details</t>
        </is>
      </c>
      <c r="D103" s="240" t="inlineStr">
        <is>
          <t>Validate User Details report after selecting all the filters.</t>
        </is>
      </c>
      <c r="E103" s="240" t="inlineStr">
        <is>
          <t>1. Click User Details under spreading.
2. Select all required filters.
3. Click Generate Report.</t>
        </is>
      </c>
      <c r="F103" s="240" t="inlineStr">
        <is>
          <t>The User Details report should be generated based on the selected filters.</t>
        </is>
      </c>
      <c r="G103" s="366" t="inlineStr">
        <is>
          <t>Pending</t>
        </is>
      </c>
      <c r="H103" s="240" t="inlineStr">
        <is>
          <t xml:space="preserve"> </t>
        </is>
      </c>
      <c r="I103" s="366" t="inlineStr">
        <is>
          <t>Done</t>
        </is>
      </c>
      <c r="J103" s="240" t="inlineStr">
        <is>
          <t xml:space="preserve"> </t>
        </is>
      </c>
      <c r="K103" s="259" t="inlineStr">
        <is>
          <t xml:space="preserve"> </t>
        </is>
      </c>
    </row>
    <row r="104" ht="51.75" customHeight="1">
      <c r="B104" s="258" t="inlineStr">
        <is>
          <t>Report_095</t>
        </is>
      </c>
      <c r="C104" s="247" t="inlineStr">
        <is>
          <t>Reporting &gt; Spreading tab &gt; User Details</t>
        </is>
      </c>
      <c r="D104" s="240" t="inlineStr">
        <is>
          <t>Validate User Details report after selecting a combination of filters.
1. Access Group.
2. Analyst Name.</t>
        </is>
      </c>
      <c r="E104" s="240" t="inlineStr">
        <is>
          <t>1. Click User Details under spreading.
2. Select the required filters.
3. Click Generate Report.</t>
        </is>
      </c>
      <c r="F104" s="240" t="inlineStr">
        <is>
          <t>The User Details report should be generated based on the selected filters.</t>
        </is>
      </c>
      <c r="G104" s="366" t="inlineStr">
        <is>
          <t>Pending</t>
        </is>
      </c>
      <c r="H104" s="240" t="inlineStr">
        <is>
          <t xml:space="preserve"> </t>
        </is>
      </c>
      <c r="I104" s="366" t="inlineStr">
        <is>
          <t>Pending</t>
        </is>
      </c>
      <c r="J104" s="240" t="n">
        <v>1</v>
      </c>
      <c r="K104" s="259" t="inlineStr">
        <is>
          <t xml:space="preserve"> </t>
        </is>
      </c>
    </row>
    <row r="105" ht="51.75" customHeight="1">
      <c r="B105" s="258" t="inlineStr">
        <is>
          <t>Report_096</t>
        </is>
      </c>
      <c r="C105" s="247" t="inlineStr">
        <is>
          <t>Reporting &gt; Spreading tab &gt; User Details</t>
        </is>
      </c>
      <c r="D105" s="240" t="inlineStr">
        <is>
          <t>Validate User Details report after selecting a combination of filters.
1. Role.</t>
        </is>
      </c>
      <c r="E105" s="240" t="inlineStr">
        <is>
          <t>1. Click User Details under spreading.
2. Select the filter.
3. Click Generate Report.</t>
        </is>
      </c>
      <c r="F105" s="240" t="inlineStr">
        <is>
          <t>The User Details report should be generated based on the selected filters.</t>
        </is>
      </c>
      <c r="G105" s="366" t="inlineStr">
        <is>
          <t>Pending</t>
        </is>
      </c>
      <c r="H105" s="240" t="inlineStr">
        <is>
          <t xml:space="preserve"> </t>
        </is>
      </c>
      <c r="I105" s="366" t="inlineStr">
        <is>
          <t>Pending</t>
        </is>
      </c>
      <c r="J105" s="240" t="n">
        <v>1</v>
      </c>
      <c r="K105" s="259" t="inlineStr">
        <is>
          <t xml:space="preserve"> </t>
        </is>
      </c>
    </row>
    <row r="106" ht="51.75" customHeight="1">
      <c r="B106" s="258" t="inlineStr">
        <is>
          <t>Report_097</t>
        </is>
      </c>
      <c r="C106" s="247" t="inlineStr">
        <is>
          <t>Reporting &gt; Spreading tab &gt; User Details</t>
        </is>
      </c>
      <c r="D106" s="240" t="inlineStr">
        <is>
          <t>Validate User Details report after selecting a combination of filters.
1. Role.
2. Analyst Name.</t>
        </is>
      </c>
      <c r="E106" s="240" t="inlineStr">
        <is>
          <t>1. Click User Details under spreading.
2. Select the filter.
3. Click Generate Report.</t>
        </is>
      </c>
      <c r="F106" s="240" t="inlineStr">
        <is>
          <t>The User Details report should be generated based on the selected filters.</t>
        </is>
      </c>
      <c r="G106" s="366" t="inlineStr">
        <is>
          <t>Pending</t>
        </is>
      </c>
      <c r="H106" s="240" t="inlineStr">
        <is>
          <t xml:space="preserve"> </t>
        </is>
      </c>
      <c r="I106" s="366" t="inlineStr">
        <is>
          <t>Pending</t>
        </is>
      </c>
      <c r="J106" s="240" t="n">
        <v>1</v>
      </c>
      <c r="K106" s="259" t="inlineStr">
        <is>
          <t xml:space="preserve"> </t>
        </is>
      </c>
    </row>
    <row r="107" ht="64.5" customHeight="1">
      <c r="B107" s="258" t="inlineStr">
        <is>
          <t>Report_098</t>
        </is>
      </c>
      <c r="C107" s="247" t="inlineStr">
        <is>
          <t>Reporting &gt; Spreading tab &gt; User Details</t>
        </is>
      </c>
      <c r="D107" s="240" t="inlineStr">
        <is>
          <t>Validate the Radio buttons on User Details page.</t>
        </is>
      </c>
      <c r="E107" s="240" t="inlineStr">
        <is>
          <t>1. Click Reporting in the page header.
2. Click User Details.
3. Select any export format radio button.</t>
        </is>
      </c>
      <c r="F107" s="240" t="inlineStr">
        <is>
          <t>The export format selector should allow only one option to be selected at a time:
1. Excel
2. PDF
3. HTML</t>
        </is>
      </c>
      <c r="G107" s="366" t="inlineStr">
        <is>
          <t>Pending</t>
        </is>
      </c>
      <c r="H107" s="240" t="inlineStr">
        <is>
          <t xml:space="preserve"> </t>
        </is>
      </c>
      <c r="I107" s="366" t="inlineStr">
        <is>
          <t>Done</t>
        </is>
      </c>
      <c r="J107" s="240" t="inlineStr">
        <is>
          <t xml:space="preserve"> </t>
        </is>
      </c>
      <c r="K107" s="259" t="inlineStr">
        <is>
          <t xml:space="preserve"> </t>
        </is>
      </c>
    </row>
    <row r="108" ht="64.5" customHeight="1">
      <c r="B108" s="258" t="inlineStr">
        <is>
          <t>Report_099</t>
        </is>
      </c>
      <c r="C108" s="247" t="inlineStr">
        <is>
          <t>Reporting &gt; Spreading tab &gt; User Details</t>
        </is>
      </c>
      <c r="D108" s="240" t="inlineStr">
        <is>
          <t>Validate the "Information" button on User Details page.</t>
        </is>
      </c>
      <c r="E108" s="240" t="inlineStr">
        <is>
          <t>1. Click Reporting in the page header.
2. Click User Details.
3. Click the Information button.</t>
        </is>
      </c>
      <c r="F108" s="240" t="inlineStr">
        <is>
          <t>1. The Information button should be clickable.
2. Clicking the Information button should open a pop-up message.
3. The pop-up should include a Close button.</t>
        </is>
      </c>
      <c r="G108" s="366" t="inlineStr">
        <is>
          <t>Pending</t>
        </is>
      </c>
      <c r="H108" s="240" t="inlineStr">
        <is>
          <t xml:space="preserve"> </t>
        </is>
      </c>
      <c r="I108" s="366" t="inlineStr">
        <is>
          <t>Done</t>
        </is>
      </c>
      <c r="J108" s="240" t="inlineStr">
        <is>
          <t xml:space="preserve"> </t>
        </is>
      </c>
      <c r="K108" s="259" t="inlineStr">
        <is>
          <t xml:space="preserve"> </t>
        </is>
      </c>
    </row>
    <row r="109" ht="39" customHeight="1">
      <c r="B109" s="258" t="inlineStr">
        <is>
          <t>Report_100</t>
        </is>
      </c>
      <c r="C109" s="247" t="inlineStr">
        <is>
          <t>Reporting &gt; Spreading tab &gt; User Details</t>
        </is>
      </c>
      <c r="D109" s="240" t="inlineStr">
        <is>
          <t>Validate the "Refresh" button on User Details page.</t>
        </is>
      </c>
      <c r="E109" s="240" t="inlineStr">
        <is>
          <t>1. Click Reporting in the page header.
2. Click User Details.
3. Click the Refresh button.</t>
        </is>
      </c>
      <c r="F109" s="240" t="inlineStr">
        <is>
          <t>1. The Refresh button should be clickable.
2. Clicking Refresh should clear all selected filters.</t>
        </is>
      </c>
      <c r="G109" s="366" t="inlineStr">
        <is>
          <t>Pending</t>
        </is>
      </c>
      <c r="H109" s="240" t="inlineStr">
        <is>
          <t xml:space="preserve"> </t>
        </is>
      </c>
      <c r="I109" s="366" t="inlineStr">
        <is>
          <t>Done</t>
        </is>
      </c>
      <c r="J109" s="240" t="inlineStr">
        <is>
          <t xml:space="preserve"> </t>
        </is>
      </c>
      <c r="K109" s="259" t="inlineStr">
        <is>
          <t xml:space="preserve"> </t>
        </is>
      </c>
    </row>
    <row r="110" ht="39" customHeight="1">
      <c r="B110" s="258" t="inlineStr">
        <is>
          <t>Report_101</t>
        </is>
      </c>
      <c r="C110" s="247" t="inlineStr">
        <is>
          <t>Reporting &gt; Spreading tab &gt; User Details</t>
        </is>
      </c>
      <c r="D110" s="240" t="inlineStr">
        <is>
          <t>Validate the "Generate Report" button on User Details page.</t>
        </is>
      </c>
      <c r="E110" s="240" t="inlineStr">
        <is>
          <t>1. Click Reporting in the page header.
2. Click User Details.
3. Click the Generate Report button.</t>
        </is>
      </c>
      <c r="F110" s="240" t="inlineStr">
        <is>
          <t>1. The Generate Report button should be clickable.
2. Clicking Generate Report should generate the report in the selected format.</t>
        </is>
      </c>
      <c r="G110" s="366" t="inlineStr">
        <is>
          <t>Pending</t>
        </is>
      </c>
      <c r="H110" s="240" t="inlineStr">
        <is>
          <t xml:space="preserve"> </t>
        </is>
      </c>
      <c r="I110" s="366" t="inlineStr">
        <is>
          <t>Done</t>
        </is>
      </c>
      <c r="J110" s="240" t="inlineStr">
        <is>
          <t xml:space="preserve"> </t>
        </is>
      </c>
      <c r="K110" s="259" t="inlineStr">
        <is>
          <t xml:space="preserve"> </t>
        </is>
      </c>
    </row>
    <row r="111" ht="77.25" customHeight="1">
      <c r="B111" s="258" t="inlineStr">
        <is>
          <t>Report_102</t>
        </is>
      </c>
      <c r="C111" s="247" t="inlineStr">
        <is>
          <t>Reporting &gt; Spreading tab &gt; User Details</t>
        </is>
      </c>
      <c r="D111" s="240" t="inlineStr">
        <is>
          <t>Validate the User Details report in Excel format.</t>
        </is>
      </c>
      <c r="E111" s="240" t="inlineStr">
        <is>
          <t>1. Click Reporting in the page header.
2. Click User Details under spreading.
3. Select the Excel format radio button.
4. Click Generate Report.</t>
        </is>
      </c>
      <c r="F111" s="240" t="inlineStr">
        <is>
          <t>The report should be generated in Excel format.</t>
        </is>
      </c>
      <c r="G111" s="366" t="inlineStr">
        <is>
          <t>Pending</t>
        </is>
      </c>
      <c r="H111" s="240" t="inlineStr">
        <is>
          <t xml:space="preserve"> </t>
        </is>
      </c>
      <c r="I111" s="366" t="inlineStr">
        <is>
          <t>Done</t>
        </is>
      </c>
      <c r="J111" s="240" t="inlineStr">
        <is>
          <t xml:space="preserve"> </t>
        </is>
      </c>
      <c r="K111" s="259" t="inlineStr">
        <is>
          <t xml:space="preserve"> </t>
        </is>
      </c>
    </row>
    <row r="112" ht="77.25" customHeight="1">
      <c r="B112" s="258" t="inlineStr">
        <is>
          <t>Report_103</t>
        </is>
      </c>
      <c r="C112" s="247" t="inlineStr">
        <is>
          <t>Reporting &gt; Spreading tab &gt; User Details</t>
        </is>
      </c>
      <c r="D112" s="240" t="inlineStr">
        <is>
          <t>Validate the User Details report in PDF format.</t>
        </is>
      </c>
      <c r="E112" s="240" t="inlineStr">
        <is>
          <t>1. Click Reporting in the page header.
2. Click User Details under spreading.
3. Select the PDF format radio button.
4. Click Generate Report.</t>
        </is>
      </c>
      <c r="F112" s="240" t="inlineStr">
        <is>
          <t>The report should be generated in PDF format.</t>
        </is>
      </c>
      <c r="G112" s="366" t="inlineStr">
        <is>
          <t>Pending</t>
        </is>
      </c>
      <c r="H112" s="240" t="inlineStr">
        <is>
          <t xml:space="preserve"> </t>
        </is>
      </c>
      <c r="I112" s="366" t="inlineStr">
        <is>
          <t>Done</t>
        </is>
      </c>
      <c r="J112" s="240" t="inlineStr">
        <is>
          <t xml:space="preserve"> </t>
        </is>
      </c>
      <c r="K112" s="259" t="inlineStr">
        <is>
          <t xml:space="preserve"> </t>
        </is>
      </c>
    </row>
    <row r="113" ht="77.25" customHeight="1">
      <c r="B113" s="258" t="inlineStr">
        <is>
          <t>Report_104</t>
        </is>
      </c>
      <c r="C113" s="247" t="inlineStr">
        <is>
          <t>Reporting &gt; Spreading tab &gt; User Details</t>
        </is>
      </c>
      <c r="D113" s="240" t="inlineStr">
        <is>
          <t>Validate the User Details report in HTML format.</t>
        </is>
      </c>
      <c r="E113" s="240" t="inlineStr">
        <is>
          <t>1. Click Reporting in the page header.
2. Click User Details under spreading.
3. Select the HTML format radio button.
4. Click Generate Report.</t>
        </is>
      </c>
      <c r="F113" s="240" t="inlineStr">
        <is>
          <t>The report should be generated in HTML format.</t>
        </is>
      </c>
      <c r="G113" s="366" t="inlineStr">
        <is>
          <t>Pending</t>
        </is>
      </c>
      <c r="H113" s="240" t="inlineStr">
        <is>
          <t xml:space="preserve"> </t>
        </is>
      </c>
      <c r="I113" s="366" t="inlineStr">
        <is>
          <t>Done</t>
        </is>
      </c>
      <c r="J113" s="240" t="inlineStr">
        <is>
          <t xml:space="preserve"> </t>
        </is>
      </c>
      <c r="K113" s="259" t="inlineStr">
        <is>
          <t xml:space="preserve"> </t>
        </is>
      </c>
    </row>
    <row r="114" ht="115.5" customHeight="1">
      <c r="B114" s="258" t="inlineStr">
        <is>
          <t>Report_105</t>
        </is>
      </c>
      <c r="C114" s="248" t="inlineStr">
        <is>
          <t>Reporting &gt; Spreading tab &gt; OCR Usage</t>
        </is>
      </c>
      <c r="D114" s="240" t="inlineStr">
        <is>
          <t>Validate the OCR Usage page.</t>
        </is>
      </c>
      <c r="E114" s="240" t="inlineStr">
        <is>
          <t>1. Log in to the Spreadsmart application.
2. Click Reporting in the page header.
3. Click the OCR Usage under Spreading.</t>
        </is>
      </c>
      <c r="F114" s="240" t="inlineStr">
        <is>
          <t>OCR Usage page should have below mentioned components:
1. Group filter dropdown.
2. Analyst Name filter dropdown.
3. Month Calendar.
4. Format type radio buttons.
5. Information button.
6. Refresh button.
7. Generate Report button.</t>
        </is>
      </c>
      <c r="G114" s="366" t="inlineStr">
        <is>
          <t>Pending</t>
        </is>
      </c>
      <c r="H114" s="240" t="inlineStr">
        <is>
          <t xml:space="preserve"> </t>
        </is>
      </c>
      <c r="I114" s="366" t="inlineStr">
        <is>
          <t>Done</t>
        </is>
      </c>
      <c r="J114" s="240" t="inlineStr">
        <is>
          <t xml:space="preserve"> </t>
        </is>
      </c>
      <c r="K114" s="259" t="inlineStr">
        <is>
          <t xml:space="preserve"> </t>
        </is>
      </c>
    </row>
    <row r="115" ht="51.75" customHeight="1">
      <c r="B115" s="258" t="inlineStr">
        <is>
          <t>Report_106</t>
        </is>
      </c>
      <c r="C115" s="248" t="inlineStr">
        <is>
          <t>Reporting &gt; Spreading tab &gt; OCR Usage</t>
        </is>
      </c>
      <c r="D115" s="240" t="inlineStr">
        <is>
          <t>Validate the data in the "Group" filter dropdown on OCR Usage page.</t>
        </is>
      </c>
      <c r="E115" s="240" t="inlineStr">
        <is>
          <t>1. Click Reporting in the page header.
2. Click OCR Usage under Spreading.
3. Click Group dropdown filter.</t>
        </is>
      </c>
      <c r="F115" s="240" t="inlineStr">
        <is>
          <t>"Select Group" should be the default message on the dropdown filter.
Data should be visible as per the groups assigned to logged in user.</t>
        </is>
      </c>
      <c r="G115" s="366" t="inlineStr">
        <is>
          <t>Pending</t>
        </is>
      </c>
      <c r="H115" s="240" t="inlineStr">
        <is>
          <t xml:space="preserve"> </t>
        </is>
      </c>
      <c r="I115" s="366" t="inlineStr">
        <is>
          <t>Done</t>
        </is>
      </c>
      <c r="J115" s="240" t="inlineStr">
        <is>
          <t xml:space="preserve"> </t>
        </is>
      </c>
      <c r="K115" s="259" t="inlineStr">
        <is>
          <t xml:space="preserve"> </t>
        </is>
      </c>
    </row>
    <row r="116" ht="90" customHeight="1">
      <c r="B116" s="258" t="inlineStr">
        <is>
          <t>Report_107</t>
        </is>
      </c>
      <c r="C116" s="248" t="inlineStr">
        <is>
          <t>Reporting &gt; Spreading tab &gt; OCR Usage</t>
        </is>
      </c>
      <c r="D116" s="240" t="inlineStr">
        <is>
          <t>Validate the functionality of "Group" dropdown filters on OCR Usage page.</t>
        </is>
      </c>
      <c r="E116" s="240" t="inlineStr">
        <is>
          <t>1. Click Reporting in the page header.
2. Click OCR Usage under Spreading.
3. Click Access Group dropdown filter.</t>
        </is>
      </c>
      <c r="F116" s="240" t="inlineStr">
        <is>
          <t>1. It should be single select dropdown filter.
2. Dropdown should have a search bar on top to search the group.
3. Dropdown should have a slider, if the list of the group is long.
4. A cross icon should appear against the selected group to unselect/clear the filter.</t>
        </is>
      </c>
      <c r="G116" s="366" t="inlineStr">
        <is>
          <t>Pending</t>
        </is>
      </c>
      <c r="H116" s="240" t="inlineStr">
        <is>
          <t xml:space="preserve"> </t>
        </is>
      </c>
      <c r="I116" s="366" t="inlineStr">
        <is>
          <t>Done</t>
        </is>
      </c>
      <c r="J116" s="240" t="inlineStr">
        <is>
          <t xml:space="preserve"> </t>
        </is>
      </c>
      <c r="K116" s="259" t="inlineStr">
        <is>
          <t xml:space="preserve"> </t>
        </is>
      </c>
    </row>
    <row r="117" ht="64.5" customHeight="1">
      <c r="B117" s="258" t="inlineStr">
        <is>
          <t>Report_108</t>
        </is>
      </c>
      <c r="C117" s="248" t="inlineStr">
        <is>
          <t>Reporting &gt; Spreading tab &gt; OCR Usage</t>
        </is>
      </c>
      <c r="D117" s="240" t="inlineStr">
        <is>
          <t>Validate the data in the Analyst Name dropdown filters on OCR Usage page.</t>
        </is>
      </c>
      <c r="E117" s="240" t="inlineStr">
        <is>
          <t>1. Click Reporting in the page header.
2. Click OCR Usage under Spreading.
3. Click Analyst Name dropdown filter.</t>
        </is>
      </c>
      <c r="F117" s="240" t="inlineStr">
        <is>
          <t>"Select Analyst(s)" should be the default message on the dropdown filter, data should contains the list of all the analysts.</t>
        </is>
      </c>
      <c r="G117" s="366" t="inlineStr">
        <is>
          <t>Pending</t>
        </is>
      </c>
      <c r="H117" s="240" t="inlineStr">
        <is>
          <t xml:space="preserve"> </t>
        </is>
      </c>
      <c r="I117" s="366" t="inlineStr">
        <is>
          <t>Done</t>
        </is>
      </c>
      <c r="J117" s="240" t="inlineStr">
        <is>
          <t xml:space="preserve"> </t>
        </is>
      </c>
      <c r="K117" s="259" t="inlineStr">
        <is>
          <t xml:space="preserve"> </t>
        </is>
      </c>
    </row>
    <row r="118" ht="102.75" customHeight="1">
      <c r="B118" s="258" t="inlineStr">
        <is>
          <t>Report_109</t>
        </is>
      </c>
      <c r="C118" s="248" t="inlineStr">
        <is>
          <t>Reporting &gt; Spreading tab &gt; OCR Usage</t>
        </is>
      </c>
      <c r="D118" s="240" t="inlineStr">
        <is>
          <t>Validate the functionality of Analyst Name dropdown filters on OCR Usage page.</t>
        </is>
      </c>
      <c r="E118" s="240" t="inlineStr">
        <is>
          <t>1. Click Reporting in the page header.
2. Click OCR Usage under Spreading.
3. Click Analyst Name dropdown filter.</t>
        </is>
      </c>
      <c r="F118" s="240" t="inlineStr">
        <is>
          <t>1. It should be a Multi select dropdown filter.
2. Dropdown should have a search bar to search the Analyst Name.
3. Dropdown should have a slider, if the list of the Analyst is long.
4. Selection/un select can be done by checking/unchecking checkbox against all Analyst Names.</t>
        </is>
      </c>
      <c r="G118" s="366" t="inlineStr">
        <is>
          <t>Pending</t>
        </is>
      </c>
      <c r="H118" s="240" t="inlineStr">
        <is>
          <t xml:space="preserve"> </t>
        </is>
      </c>
      <c r="I118" s="366" t="inlineStr">
        <is>
          <t>Done</t>
        </is>
      </c>
      <c r="J118" s="240" t="inlineStr">
        <is>
          <t xml:space="preserve"> </t>
        </is>
      </c>
      <c r="K118" s="259" t="inlineStr">
        <is>
          <t xml:space="preserve"> </t>
        </is>
      </c>
    </row>
    <row r="119" ht="51.75" customHeight="1">
      <c r="B119" s="258" t="inlineStr">
        <is>
          <t>Report_110</t>
        </is>
      </c>
      <c r="C119" s="248" t="inlineStr">
        <is>
          <t>Reporting &gt; Spreading tab &gt; OCR Usage</t>
        </is>
      </c>
      <c r="D119" s="240" t="inlineStr">
        <is>
          <t>Validate the "Month" calendar on OCR Usage page.</t>
        </is>
      </c>
      <c r="E119" s="240" t="inlineStr">
        <is>
          <t>1. Click Reporting in the page header.
2. Click OCR Usage under Spreading.
3. Click the Month calendar.</t>
        </is>
      </c>
      <c r="F119" s="240" t="inlineStr">
        <is>
          <t>Month calendar should be clickable.
"Month Range" should be the default message on the calendar.</t>
        </is>
      </c>
      <c r="G119" s="366" t="inlineStr">
        <is>
          <t>Pending</t>
        </is>
      </c>
      <c r="H119" s="240" t="inlineStr">
        <is>
          <t xml:space="preserve"> </t>
        </is>
      </c>
      <c r="I119" s="366" t="inlineStr">
        <is>
          <t>Done</t>
        </is>
      </c>
      <c r="J119" s="240" t="inlineStr">
        <is>
          <t xml:space="preserve"> </t>
        </is>
      </c>
      <c r="K119" s="259" t="inlineStr">
        <is>
          <t xml:space="preserve"> </t>
        </is>
      </c>
    </row>
    <row r="120" ht="51.75" customHeight="1">
      <c r="B120" s="258" t="inlineStr">
        <is>
          <t>Report_111</t>
        </is>
      </c>
      <c r="C120" s="248" t="inlineStr">
        <is>
          <t>Reporting &gt; Spreading tab &gt; OCR Usage</t>
        </is>
      </c>
      <c r="D120" s="245" t="inlineStr">
        <is>
          <t>Validate the functionality of "Month" calendar on OCR Usage page.</t>
        </is>
      </c>
      <c r="E120" s="245" t="inlineStr">
        <is>
          <t>1. Click Reporting in the page header.
2. Click OCR Usage under Spreading.
3. Click the Action Date calendar.</t>
        </is>
      </c>
      <c r="F120" s="245" t="inlineStr">
        <is>
          <t>1. It should be a calendar on which a month can be selected.
2. The user should be able to re-select the month.</t>
        </is>
      </c>
      <c r="G120" s="366" t="n"/>
      <c r="H120" s="240" t="n"/>
      <c r="I120" s="366" t="n"/>
      <c r="J120" s="240" t="n"/>
      <c r="K120" s="259" t="n"/>
    </row>
    <row r="121" ht="51.75" customHeight="1">
      <c r="B121" s="258" t="inlineStr">
        <is>
          <t>Report_112</t>
        </is>
      </c>
      <c r="C121" s="248" t="inlineStr">
        <is>
          <t>Reporting &gt; Spreading tab &gt; OCR Usage</t>
        </is>
      </c>
      <c r="D121" s="240" t="inlineStr">
        <is>
          <t>Validate the functionality of "Month" calendar on OCR Usage page.</t>
        </is>
      </c>
      <c r="E121" s="240" t="inlineStr">
        <is>
          <t>1. Click Reporting in the page header.
2. Click OCR Usage under Spreading.
3. Click the Action Date calendar.</t>
        </is>
      </c>
      <c r="F121" s="240" t="inlineStr">
        <is>
          <t>1. It should be a calendar on which start date and end date range can be selected.
2. The user should be able to re-select the date range.</t>
        </is>
      </c>
      <c r="G121" s="366" t="inlineStr">
        <is>
          <t>Pending</t>
        </is>
      </c>
      <c r="H121" s="240" t="inlineStr">
        <is>
          <t xml:space="preserve"> </t>
        </is>
      </c>
      <c r="I121" s="366" t="inlineStr">
        <is>
          <t>Done</t>
        </is>
      </c>
      <c r="J121" s="240" t="inlineStr">
        <is>
          <t xml:space="preserve"> </t>
        </is>
      </c>
      <c r="K121" s="259" t="inlineStr">
        <is>
          <t xml:space="preserve"> </t>
        </is>
      </c>
    </row>
    <row r="122" ht="77.25" customHeight="1">
      <c r="B122" s="258" t="inlineStr">
        <is>
          <t>Report_113</t>
        </is>
      </c>
      <c r="C122" s="248" t="inlineStr">
        <is>
          <t>Reporting &gt; Spreading tab &gt; OCR Usage</t>
        </is>
      </c>
      <c r="D122" s="240" t="inlineStr">
        <is>
          <t>Validate OCR Usage report without making any selection in the filters.</t>
        </is>
      </c>
      <c r="E122" s="240" t="inlineStr">
        <is>
          <t>1. Click Reporting in the page header.
2. Click OCR Usage under Spreading.
2. Click Generate report.</t>
        </is>
      </c>
      <c r="F122" s="240" t="inlineStr">
        <is>
          <t>User Details report should be generated with the below mentioned columns:
Sr. No.
Analyst Name.
Groups.
Pages OCRd.</t>
        </is>
      </c>
      <c r="G122" s="366" t="inlineStr">
        <is>
          <t>Pending</t>
        </is>
      </c>
      <c r="H122" s="240" t="inlineStr">
        <is>
          <t xml:space="preserve"> </t>
        </is>
      </c>
      <c r="I122" s="366" t="inlineStr">
        <is>
          <t>Done</t>
        </is>
      </c>
      <c r="J122" s="240" t="inlineStr">
        <is>
          <t xml:space="preserve"> </t>
        </is>
      </c>
      <c r="K122" s="259" t="inlineStr">
        <is>
          <t xml:space="preserve"> </t>
        </is>
      </c>
    </row>
    <row r="123" ht="64.5" customHeight="1">
      <c r="B123" s="258" t="inlineStr">
        <is>
          <t>Report_114</t>
        </is>
      </c>
      <c r="C123" s="248" t="inlineStr">
        <is>
          <t>Reporting &gt; Spreading tab &gt; OCR Usage</t>
        </is>
      </c>
      <c r="D123" s="240" t="inlineStr">
        <is>
          <t>Validate OCR report on updating the values in.
1. Analyst Name.
2. Groups.
3. Pages OCRd.</t>
        </is>
      </c>
      <c r="E123" s="240" t="inlineStr">
        <is>
          <t>1. Click Reporting in the page header.
2. Click OCR Usage under Spreading.
2. Click Generate report.</t>
        </is>
      </c>
      <c r="F123" s="240" t="inlineStr">
        <is>
          <t>Updating any information should reflect in the OCR Details Report.</t>
        </is>
      </c>
      <c r="G123" s="366" t="inlineStr">
        <is>
          <t>Pending</t>
        </is>
      </c>
      <c r="H123" s="240" t="inlineStr">
        <is>
          <t xml:space="preserve"> </t>
        </is>
      </c>
      <c r="I123" s="366" t="inlineStr">
        <is>
          <t>Pending</t>
        </is>
      </c>
      <c r="J123" s="240" t="n">
        <v>1</v>
      </c>
      <c r="K123" s="259" t="inlineStr">
        <is>
          <t xml:space="preserve"> </t>
        </is>
      </c>
    </row>
    <row r="124" ht="51.75" customHeight="1">
      <c r="B124" s="258" t="inlineStr">
        <is>
          <t>Report_115</t>
        </is>
      </c>
      <c r="C124" s="248" t="inlineStr">
        <is>
          <t>Reporting &gt; Spreading tab &gt; OCR Usage</t>
        </is>
      </c>
      <c r="D124" s="240" t="inlineStr">
        <is>
          <t>Validate OCR Usage report after selecting all the filters.</t>
        </is>
      </c>
      <c r="E124" s="240" t="inlineStr">
        <is>
          <t>1. Click OCR Usage under spreading.
2. Select all required filters.
3. Click Generate Report.</t>
        </is>
      </c>
      <c r="F124" s="240" t="inlineStr">
        <is>
          <t>The User Details report should be generated based on the selected filters.</t>
        </is>
      </c>
      <c r="G124" s="366" t="inlineStr">
        <is>
          <t>Pending</t>
        </is>
      </c>
      <c r="H124" s="240" t="inlineStr">
        <is>
          <t xml:space="preserve"> </t>
        </is>
      </c>
      <c r="I124" s="366" t="inlineStr">
        <is>
          <t>Done</t>
        </is>
      </c>
      <c r="J124" s="240" t="inlineStr">
        <is>
          <t xml:space="preserve"> </t>
        </is>
      </c>
      <c r="K124" s="259" t="inlineStr">
        <is>
          <t xml:space="preserve"> </t>
        </is>
      </c>
    </row>
    <row r="125" ht="51.75" customHeight="1">
      <c r="B125" s="258" t="inlineStr">
        <is>
          <t>Report_116</t>
        </is>
      </c>
      <c r="C125" s="248" t="inlineStr">
        <is>
          <t>Reporting &gt; Spreading tab &gt; OCR Usage</t>
        </is>
      </c>
      <c r="D125" s="240" t="inlineStr">
        <is>
          <t>Validate OCR Usage report after selecting a combination of filters.
1. Group.
2. Analyst Name.</t>
        </is>
      </c>
      <c r="E125" s="240" t="inlineStr">
        <is>
          <t>1. Click OCR Usage under spreading.
2. Select the required filters.
3. Click Generate Report.</t>
        </is>
      </c>
      <c r="F125" s="240" t="inlineStr">
        <is>
          <t>The User Details report should be generated based on the selected filters.</t>
        </is>
      </c>
      <c r="G125" s="366" t="inlineStr">
        <is>
          <t>Pending</t>
        </is>
      </c>
      <c r="H125" s="240" t="inlineStr">
        <is>
          <t xml:space="preserve"> </t>
        </is>
      </c>
      <c r="I125" s="366" t="inlineStr">
        <is>
          <t>Pending</t>
        </is>
      </c>
      <c r="J125" s="240" t="n">
        <v>1</v>
      </c>
      <c r="K125" s="259" t="inlineStr">
        <is>
          <t xml:space="preserve"> </t>
        </is>
      </c>
    </row>
    <row r="126" ht="51.75" customHeight="1">
      <c r="B126" s="258" t="inlineStr">
        <is>
          <t>Report_117</t>
        </is>
      </c>
      <c r="C126" s="248" t="inlineStr">
        <is>
          <t>Reporting &gt; Spreading tab &gt; OCR Usage</t>
        </is>
      </c>
      <c r="D126" s="240" t="inlineStr">
        <is>
          <t>Validate OCR Usage report after selecting a combination.
1. Month.</t>
        </is>
      </c>
      <c r="E126" s="240" t="inlineStr">
        <is>
          <t>1. Click OCR Usage under spreading.
2. Select the filter.
3. Click Generate Report.</t>
        </is>
      </c>
      <c r="F126" s="240" t="inlineStr">
        <is>
          <t>The User Details report should be generated based on the selected filters.</t>
        </is>
      </c>
      <c r="G126" s="366" t="inlineStr">
        <is>
          <t>Pending</t>
        </is>
      </c>
      <c r="H126" s="240" t="inlineStr">
        <is>
          <t xml:space="preserve"> </t>
        </is>
      </c>
      <c r="I126" s="366" t="inlineStr">
        <is>
          <t>Pending</t>
        </is>
      </c>
      <c r="J126" s="240" t="n">
        <v>1</v>
      </c>
      <c r="K126" s="259" t="inlineStr">
        <is>
          <t xml:space="preserve"> </t>
        </is>
      </c>
    </row>
    <row r="127" ht="51.75" customHeight="1">
      <c r="B127" s="258" t="inlineStr">
        <is>
          <t>Report_118</t>
        </is>
      </c>
      <c r="C127" s="248" t="inlineStr">
        <is>
          <t>Reporting &gt; Spreading tab &gt; OCR Usage</t>
        </is>
      </c>
      <c r="D127" s="240" t="inlineStr">
        <is>
          <t>Validate OCR Usage report after selecting a combination of filters.
1. Month.
2. Analyst Name.</t>
        </is>
      </c>
      <c r="E127" s="240" t="inlineStr">
        <is>
          <t>1. Click OCR Usage under spreading.
2. Select the filter.
3. Click Generate Report.</t>
        </is>
      </c>
      <c r="F127" s="240" t="inlineStr">
        <is>
          <t>The User Details report should be generated based on the selected filters.</t>
        </is>
      </c>
      <c r="G127" s="366" t="inlineStr">
        <is>
          <t>Pending</t>
        </is>
      </c>
      <c r="H127" s="240" t="inlineStr">
        <is>
          <t xml:space="preserve"> </t>
        </is>
      </c>
      <c r="I127" s="366" t="inlineStr">
        <is>
          <t>Pending</t>
        </is>
      </c>
      <c r="J127" s="240" t="n">
        <v>1</v>
      </c>
      <c r="K127" s="259" t="inlineStr">
        <is>
          <t xml:space="preserve"> </t>
        </is>
      </c>
    </row>
    <row r="128" ht="64.5" customHeight="1">
      <c r="B128" s="258" t="inlineStr">
        <is>
          <t>Report_119</t>
        </is>
      </c>
      <c r="C128" s="248" t="inlineStr">
        <is>
          <t>Reporting &gt; Spreading tab &gt; OCR Usage</t>
        </is>
      </c>
      <c r="D128" s="240" t="inlineStr">
        <is>
          <t>Validate the Radio buttons on OCR Usage page.</t>
        </is>
      </c>
      <c r="E128" s="240" t="inlineStr">
        <is>
          <t>1. Click Reporting in the page header.
2. Click OCR Usage under Spreading.
3. Select any export format radio button.</t>
        </is>
      </c>
      <c r="F128" s="240" t="inlineStr">
        <is>
          <t>The export format selector should allow only one option to be selected at a time:
1. Excel
2. PDF
3. HTML</t>
        </is>
      </c>
      <c r="G128" s="366" t="inlineStr">
        <is>
          <t>Pending</t>
        </is>
      </c>
      <c r="H128" s="240" t="inlineStr">
        <is>
          <t xml:space="preserve"> </t>
        </is>
      </c>
      <c r="I128" s="366" t="inlineStr">
        <is>
          <t>Done</t>
        </is>
      </c>
      <c r="J128" s="240" t="inlineStr">
        <is>
          <t xml:space="preserve"> </t>
        </is>
      </c>
      <c r="K128" s="259" t="inlineStr">
        <is>
          <t xml:space="preserve"> </t>
        </is>
      </c>
    </row>
    <row r="129" ht="64.5" customHeight="1">
      <c r="B129" s="258" t="inlineStr">
        <is>
          <t>Report_120</t>
        </is>
      </c>
      <c r="C129" s="248" t="inlineStr">
        <is>
          <t>Reporting &gt; Spreading tab &gt; OCR Usage</t>
        </is>
      </c>
      <c r="D129" s="240" t="inlineStr">
        <is>
          <t>Validate the "Information" button on OCR Usage page.</t>
        </is>
      </c>
      <c r="E129" s="240" t="inlineStr">
        <is>
          <t>1. Click Reporting in the page header.
2. Click OCR Usage under Spreading.
3. Click the Information button.</t>
        </is>
      </c>
      <c r="F129" s="240" t="inlineStr">
        <is>
          <t>1. The Information button should be clickable.
2. Clicking the Information button should open a pop-up message.
3. The pop-up should include a Close button.</t>
        </is>
      </c>
      <c r="G129" s="366" t="inlineStr">
        <is>
          <t>Pending</t>
        </is>
      </c>
      <c r="H129" s="240" t="inlineStr">
        <is>
          <t xml:space="preserve"> </t>
        </is>
      </c>
      <c r="I129" s="366" t="inlineStr">
        <is>
          <t>Done</t>
        </is>
      </c>
      <c r="J129" s="240" t="inlineStr">
        <is>
          <t xml:space="preserve"> </t>
        </is>
      </c>
      <c r="K129" s="259" t="inlineStr">
        <is>
          <t xml:space="preserve"> </t>
        </is>
      </c>
    </row>
    <row r="130" ht="51.75" customHeight="1">
      <c r="B130" s="258" t="inlineStr">
        <is>
          <t>Report_121</t>
        </is>
      </c>
      <c r="C130" s="248" t="inlineStr">
        <is>
          <t>Reporting &gt; Spreading tab &gt; OCR Usage</t>
        </is>
      </c>
      <c r="D130" s="240" t="inlineStr">
        <is>
          <t>Validate the "Refresh" button on OCR Usage page.</t>
        </is>
      </c>
      <c r="E130" s="240" t="inlineStr">
        <is>
          <t>1. Click Reporting in the page header.
2. Click OCR Usage under Spreading.
3. Click the Refresh button.</t>
        </is>
      </c>
      <c r="F130" s="240" t="inlineStr">
        <is>
          <t>1. The Refresh button should be clickable.
2. Clicking Refresh should clear all selected filters.</t>
        </is>
      </c>
      <c r="G130" s="366" t="inlineStr">
        <is>
          <t>Pending</t>
        </is>
      </c>
      <c r="H130" s="240" t="inlineStr">
        <is>
          <t xml:space="preserve"> </t>
        </is>
      </c>
      <c r="I130" s="366" t="inlineStr">
        <is>
          <t>Done</t>
        </is>
      </c>
      <c r="J130" s="240" t="inlineStr">
        <is>
          <t xml:space="preserve"> </t>
        </is>
      </c>
      <c r="K130" s="259" t="inlineStr">
        <is>
          <t xml:space="preserve"> </t>
        </is>
      </c>
    </row>
    <row r="131" ht="51.75" customHeight="1">
      <c r="B131" s="258" t="inlineStr">
        <is>
          <t>Report_122</t>
        </is>
      </c>
      <c r="C131" s="248" t="inlineStr">
        <is>
          <t>Reporting &gt; Spreading tab &gt; OCR Usage</t>
        </is>
      </c>
      <c r="D131" s="240" t="inlineStr">
        <is>
          <t>Validate the "Generate Report" button on OCR Usage page.</t>
        </is>
      </c>
      <c r="E131" s="240" t="inlineStr">
        <is>
          <t>1. Click Reporting in the page header.
2. Click OCR Usage under Spreading.
3. Click the Generate Report button.</t>
        </is>
      </c>
      <c r="F131" s="240" t="inlineStr">
        <is>
          <t>1. The Generate Report button should be clickable.
2. Clicking Generate Report should generate the report in the selected format.</t>
        </is>
      </c>
      <c r="G131" s="366" t="inlineStr">
        <is>
          <t>Pending</t>
        </is>
      </c>
      <c r="H131" s="240" t="inlineStr">
        <is>
          <t xml:space="preserve"> </t>
        </is>
      </c>
      <c r="I131" s="366" t="inlineStr">
        <is>
          <t>Done</t>
        </is>
      </c>
      <c r="J131" s="240" t="inlineStr">
        <is>
          <t xml:space="preserve"> </t>
        </is>
      </c>
      <c r="K131" s="259" t="inlineStr">
        <is>
          <t xml:space="preserve"> </t>
        </is>
      </c>
    </row>
    <row r="132" ht="77.25" customHeight="1">
      <c r="B132" s="258" t="inlineStr">
        <is>
          <t>Report_123</t>
        </is>
      </c>
      <c r="C132" s="248" t="inlineStr">
        <is>
          <t>Reporting &gt; Spreading tab &gt; OCR Usage</t>
        </is>
      </c>
      <c r="D132" s="240" t="inlineStr">
        <is>
          <t>Validate the OCR Usage report in Excel format.</t>
        </is>
      </c>
      <c r="E132" s="240" t="inlineStr">
        <is>
          <t>1. Click Reporting in the page header.
2. Click OCR Usage under Spreading.
3. Select the Excel format radio button.
4. Click Generate Report.</t>
        </is>
      </c>
      <c r="F132" s="240" t="inlineStr">
        <is>
          <t>The report should be generated in Excel format.</t>
        </is>
      </c>
      <c r="G132" s="366" t="inlineStr">
        <is>
          <t>Pending</t>
        </is>
      </c>
      <c r="H132" s="240" t="inlineStr">
        <is>
          <t xml:space="preserve"> </t>
        </is>
      </c>
      <c r="I132" s="366" t="inlineStr">
        <is>
          <t>Done</t>
        </is>
      </c>
      <c r="J132" s="240" t="inlineStr">
        <is>
          <t xml:space="preserve"> </t>
        </is>
      </c>
      <c r="K132" s="259" t="inlineStr">
        <is>
          <t xml:space="preserve"> </t>
        </is>
      </c>
    </row>
    <row r="133" ht="77.25" customHeight="1">
      <c r="B133" s="258" t="inlineStr">
        <is>
          <t>Report_124</t>
        </is>
      </c>
      <c r="C133" s="248" t="inlineStr">
        <is>
          <t>Reporting &gt; Spreading tab &gt; OCR Usage</t>
        </is>
      </c>
      <c r="D133" s="240" t="inlineStr">
        <is>
          <t>Validate the OCR Usage report in PDF format.</t>
        </is>
      </c>
      <c r="E133" s="240" t="inlineStr">
        <is>
          <t>1. Click Reporting in the page header.
2. Click OCR Usage under Spreading.
3. Select the PDF format radio button.
4. Click Generate Report.</t>
        </is>
      </c>
      <c r="F133" s="240" t="inlineStr">
        <is>
          <t>The report should be generated in PDF format.</t>
        </is>
      </c>
      <c r="G133" s="366" t="inlineStr">
        <is>
          <t>Pending</t>
        </is>
      </c>
      <c r="H133" s="240" t="inlineStr">
        <is>
          <t xml:space="preserve"> </t>
        </is>
      </c>
      <c r="I133" s="366" t="inlineStr">
        <is>
          <t>Done</t>
        </is>
      </c>
      <c r="J133" s="240" t="inlineStr">
        <is>
          <t xml:space="preserve"> </t>
        </is>
      </c>
      <c r="K133" s="259" t="inlineStr">
        <is>
          <t xml:space="preserve"> </t>
        </is>
      </c>
    </row>
    <row r="134" ht="77.25" customHeight="1">
      <c r="B134" s="258" t="inlineStr">
        <is>
          <t>Report_125</t>
        </is>
      </c>
      <c r="C134" s="248" t="inlineStr">
        <is>
          <t>Reporting &gt; Spreading tab &gt; OCR Usage</t>
        </is>
      </c>
      <c r="D134" s="240" t="inlineStr">
        <is>
          <t>Validate the OCR Usage report in HTML format.</t>
        </is>
      </c>
      <c r="E134" s="240" t="inlineStr">
        <is>
          <t>1. Click Reporting in the page header.
2. Click OCR Usage under Spreading.
3. Select the HTML format radio button.
4. Click Generate Report.</t>
        </is>
      </c>
      <c r="F134" s="240" t="inlineStr">
        <is>
          <t>The report should be generated in HTML format.</t>
        </is>
      </c>
      <c r="G134" s="366" t="inlineStr">
        <is>
          <t>Pending</t>
        </is>
      </c>
      <c r="H134" s="240" t="inlineStr">
        <is>
          <t xml:space="preserve"> </t>
        </is>
      </c>
      <c r="I134" s="366" t="inlineStr">
        <is>
          <t>Done</t>
        </is>
      </c>
      <c r="J134" s="240" t="inlineStr">
        <is>
          <t xml:space="preserve"> </t>
        </is>
      </c>
      <c r="K134" s="259" t="inlineStr">
        <is>
          <t xml:space="preserve"> </t>
        </is>
      </c>
    </row>
    <row r="135" ht="102.75" customHeight="1">
      <c r="B135" s="258" t="inlineStr">
        <is>
          <t>Report_126</t>
        </is>
      </c>
      <c r="C135" s="249" t="inlineStr">
        <is>
          <t>Reporting &gt; Spreading tab &gt; Global Taxonomy Download</t>
        </is>
      </c>
      <c r="D135" s="240" t="inlineStr">
        <is>
          <t>Validate the Global Taxonomy page.</t>
        </is>
      </c>
      <c r="E135" s="240" t="inlineStr">
        <is>
          <t>1. Log in to the Spreadsmart application.
2. Click Reporting in the page header.
3. Click the Global Taxonomy download sub tab under Spreading tab.</t>
        </is>
      </c>
      <c r="F135" s="240" t="inlineStr">
        <is>
          <t>Global Taxonomy page should have below mentioned components:
1. Taxonomy Group filter dropdown.
2. Language filter dropdown.
3. Format type radio buttons.
4. Information button.
5. Refresh button.
6. Generate Report button.</t>
        </is>
      </c>
      <c r="G135" s="366" t="inlineStr">
        <is>
          <t>Pending</t>
        </is>
      </c>
      <c r="H135" s="240" t="inlineStr">
        <is>
          <t xml:space="preserve"> </t>
        </is>
      </c>
      <c r="I135" s="366" t="inlineStr">
        <is>
          <t>Done</t>
        </is>
      </c>
      <c r="J135" s="240" t="inlineStr">
        <is>
          <t xml:space="preserve"> </t>
        </is>
      </c>
      <c r="K135" s="259" t="inlineStr">
        <is>
          <t xml:space="preserve"> </t>
        </is>
      </c>
    </row>
    <row r="136" ht="51.75" customHeight="1">
      <c r="B136" s="258" t="inlineStr">
        <is>
          <t>Report_127</t>
        </is>
      </c>
      <c r="C136" s="249" t="inlineStr">
        <is>
          <t>Reporting &gt; Spreading tab &gt; Global Taxonomy Download</t>
        </is>
      </c>
      <c r="D136" s="240" t="inlineStr">
        <is>
          <t>Validate the data in the Taxonomy Group dropdown on Global Taxonomy page.</t>
        </is>
      </c>
      <c r="E136" s="240" t="inlineStr">
        <is>
          <t>1. Click Reporting in the page header.
2. Click Global Taxonomy download under spreading.
3. Click Taxonomy Group filter.</t>
        </is>
      </c>
      <c r="F136" s="240" t="inlineStr">
        <is>
          <t>"Select Taxonomy Group" should be the default message on the dropdown filter.
Data should be visible as per the Taxonomy groups assigned to logged in user.</t>
        </is>
      </c>
      <c r="G136" s="366" t="inlineStr">
        <is>
          <t>Pending</t>
        </is>
      </c>
      <c r="H136" s="240" t="inlineStr">
        <is>
          <t xml:space="preserve"> </t>
        </is>
      </c>
      <c r="I136" s="366" t="inlineStr">
        <is>
          <t>Done</t>
        </is>
      </c>
      <c r="J136" s="240" t="inlineStr">
        <is>
          <t xml:space="preserve"> </t>
        </is>
      </c>
      <c r="K136" s="259" t="inlineStr">
        <is>
          <t xml:space="preserve"> </t>
        </is>
      </c>
    </row>
    <row r="137" ht="102.75" customHeight="1">
      <c r="B137" s="258" t="inlineStr">
        <is>
          <t>Report_128</t>
        </is>
      </c>
      <c r="C137" s="249" t="inlineStr">
        <is>
          <t>Reporting &gt; Spreading tab &gt; Global Taxonomy Download</t>
        </is>
      </c>
      <c r="D137" s="240" t="inlineStr">
        <is>
          <t>Validate the functionality of Taxonomy Group dropdown on Global Taxonomy page.</t>
        </is>
      </c>
      <c r="E137" s="240" t="inlineStr">
        <is>
          <t>1. Click Reporting in the page header.
2. Click Global Taxonomy download under spreading.
3. Click Taxonomy Group filter.</t>
        </is>
      </c>
      <c r="F137" s="240" t="inlineStr">
        <is>
          <t>1. It should be Multi select dropdown filter.
2. Dropdown should have a search bar on top to search the group.
3. Dropdown should have a checkbox in front of search bar to select Taxonomy group all together.
4. A cross icon should appear against the selected taxonomy group to unselect/clear the filter.</t>
        </is>
      </c>
      <c r="G137" s="366" t="inlineStr">
        <is>
          <t>Pending</t>
        </is>
      </c>
      <c r="H137" s="240" t="inlineStr">
        <is>
          <t xml:space="preserve"> </t>
        </is>
      </c>
      <c r="I137" s="366" t="inlineStr">
        <is>
          <t>Done</t>
        </is>
      </c>
      <c r="J137" s="240" t="inlineStr">
        <is>
          <t xml:space="preserve"> </t>
        </is>
      </c>
      <c r="K137" s="259" t="inlineStr">
        <is>
          <t xml:space="preserve"> </t>
        </is>
      </c>
    </row>
    <row r="138" ht="51.75" customHeight="1">
      <c r="B138" s="258" t="inlineStr">
        <is>
          <t>Report_129</t>
        </is>
      </c>
      <c r="C138" s="249" t="inlineStr">
        <is>
          <t>Reporting &gt; Spreading tab &gt; Global Taxonomy Download</t>
        </is>
      </c>
      <c r="D138" s="240" t="inlineStr">
        <is>
          <t>Validate the data in the Language dropdown filter on Global Taxonomy page.</t>
        </is>
      </c>
      <c r="E138" s="240" t="inlineStr">
        <is>
          <t>1. Click Reporting in the page header.
2. Click Spreading Details.
3. Click Language dropdown filter.</t>
        </is>
      </c>
      <c r="F138" s="240" t="inlineStr">
        <is>
          <t>"Select Language" should be the default message on the dropdown filter.
Data should be the list of all the language in the system.</t>
        </is>
      </c>
      <c r="G138" s="366" t="inlineStr">
        <is>
          <t>Pending</t>
        </is>
      </c>
      <c r="H138" s="240" t="inlineStr">
        <is>
          <t xml:space="preserve"> </t>
        </is>
      </c>
      <c r="I138" s="366" t="inlineStr">
        <is>
          <t>Done</t>
        </is>
      </c>
      <c r="J138" s="240" t="inlineStr">
        <is>
          <t xml:space="preserve"> </t>
        </is>
      </c>
      <c r="K138" s="259" t="inlineStr">
        <is>
          <t xml:space="preserve"> </t>
        </is>
      </c>
    </row>
    <row r="139" ht="115.5" customHeight="1">
      <c r="B139" s="258" t="inlineStr">
        <is>
          <t>Report_130</t>
        </is>
      </c>
      <c r="C139" s="249" t="inlineStr">
        <is>
          <t>Reporting &gt; Spreading tab &gt; Global Taxonomy Download</t>
        </is>
      </c>
      <c r="D139" s="240" t="inlineStr">
        <is>
          <t>Validate the functionality of Language dropdown filters on Global Taxonomy page.</t>
        </is>
      </c>
      <c r="E139" s="240" t="inlineStr">
        <is>
          <t>1. Click Reporting in the page header.
2. Click Spreading Details.
3. Click Language dropdown filter.</t>
        </is>
      </c>
      <c r="F139" s="240" t="inlineStr">
        <is>
          <t>1. It should be a Multi select dropdown filter.
2. Dropdown should have a search bar on top to search the model.
3. Dropdown should have a slider, if the list of the language is long.
4. Selection/un select can be done by checking/unchecking checkbox against all models.
5. All models can be selected by selecting the select all check box mentioned against search bar.</t>
        </is>
      </c>
      <c r="G139" s="366" t="inlineStr">
        <is>
          <t>Pending</t>
        </is>
      </c>
      <c r="H139" s="240" t="inlineStr">
        <is>
          <t xml:space="preserve"> </t>
        </is>
      </c>
      <c r="I139" s="366" t="inlineStr">
        <is>
          <t>Done</t>
        </is>
      </c>
      <c r="J139" s="240" t="inlineStr">
        <is>
          <t xml:space="preserve"> </t>
        </is>
      </c>
      <c r="K139" s="259" t="inlineStr">
        <is>
          <t xml:space="preserve"> </t>
        </is>
      </c>
    </row>
    <row r="140" ht="90" customHeight="1">
      <c r="B140" s="258" t="inlineStr">
        <is>
          <t>Report_131</t>
        </is>
      </c>
      <c r="C140" s="249" t="inlineStr">
        <is>
          <t>Reporting &gt; Spreading tab &gt; Global Taxonomy Download</t>
        </is>
      </c>
      <c r="D140" s="240" t="inlineStr">
        <is>
          <t>Validate Global Taxonomy report without making any selection in the filters.</t>
        </is>
      </c>
      <c r="E140" s="240" t="inlineStr">
        <is>
          <t>1. Click Reporting in the page header.
2. Click Global Taxonomy under spreading.
2. Click Generate report.</t>
        </is>
      </c>
      <c r="F140" s="240" t="inlineStr">
        <is>
          <t>User Details report should be generated with the below mentioned columns:
Sr. No.
Taxonomy Group.
Language.
Taxonomy Keywords.
Synonyms.</t>
        </is>
      </c>
      <c r="G140" s="366" t="inlineStr">
        <is>
          <t>Pending</t>
        </is>
      </c>
      <c r="H140" s="240" t="inlineStr">
        <is>
          <t xml:space="preserve"> </t>
        </is>
      </c>
      <c r="I140" s="366" t="inlineStr">
        <is>
          <t>Done</t>
        </is>
      </c>
      <c r="J140" s="240" t="inlineStr">
        <is>
          <t xml:space="preserve"> </t>
        </is>
      </c>
      <c r="K140" s="259" t="inlineStr">
        <is>
          <t xml:space="preserve"> </t>
        </is>
      </c>
    </row>
    <row r="141" ht="90" customHeight="1">
      <c r="B141" s="258" t="inlineStr">
        <is>
          <t>Report_132</t>
        </is>
      </c>
      <c r="C141" s="249" t="inlineStr">
        <is>
          <t>Reporting &gt; Spreading tab &gt; Global Taxonomy Download</t>
        </is>
      </c>
      <c r="D141" s="240" t="inlineStr">
        <is>
          <t>Validate the Global Taxonomy Detail Report on updating values like.
1. Taxonomy Group.
2. Language.
3. Taxonomy Keywords.
4. Synonms.</t>
        </is>
      </c>
      <c r="E141" s="240" t="inlineStr">
        <is>
          <t>1. Click Reporting in the page header.
2. Click Global Taxonomy under spreading.
2. Click Generate report.</t>
        </is>
      </c>
      <c r="F141" s="240" t="inlineStr">
        <is>
          <t>Updated values should be reflected in the respective columns of Global Taxonomy Detail Report.</t>
        </is>
      </c>
      <c r="G141" s="366" t="inlineStr">
        <is>
          <t>Pending</t>
        </is>
      </c>
      <c r="H141" s="240" t="inlineStr">
        <is>
          <t xml:space="preserve"> </t>
        </is>
      </c>
      <c r="I141" s="366" t="inlineStr">
        <is>
          <t>Pending</t>
        </is>
      </c>
      <c r="J141" s="240" t="n">
        <v>1</v>
      </c>
      <c r="K141" s="259" t="inlineStr">
        <is>
          <t xml:space="preserve"> </t>
        </is>
      </c>
    </row>
    <row r="142" ht="51.75" customHeight="1">
      <c r="B142" s="258" t="inlineStr">
        <is>
          <t>Report_133</t>
        </is>
      </c>
      <c r="C142" s="249" t="inlineStr">
        <is>
          <t>Reporting &gt; Spreading tab &gt; Global Taxonomy Download</t>
        </is>
      </c>
      <c r="D142" s="240" t="inlineStr">
        <is>
          <t>Validate Global Taxonomy report after selecting all the filters.</t>
        </is>
      </c>
      <c r="E142" s="240" t="inlineStr">
        <is>
          <t>1. Click Global Taxonomy under spreading.
2. Select all required filters.
3. Click Generate Report.</t>
        </is>
      </c>
      <c r="F142" s="240" t="inlineStr">
        <is>
          <t>Global Taxonomy report should be generated with the data as per the selection in the filters.</t>
        </is>
      </c>
      <c r="G142" s="366" t="inlineStr">
        <is>
          <t>Pending</t>
        </is>
      </c>
      <c r="H142" s="240" t="inlineStr">
        <is>
          <t xml:space="preserve"> </t>
        </is>
      </c>
      <c r="I142" s="366" t="inlineStr">
        <is>
          <t>Done</t>
        </is>
      </c>
      <c r="J142" s="240" t="inlineStr">
        <is>
          <t xml:space="preserve"> </t>
        </is>
      </c>
      <c r="K142" s="259" t="inlineStr">
        <is>
          <t xml:space="preserve"> </t>
        </is>
      </c>
    </row>
    <row r="143" ht="51.75" customHeight="1">
      <c r="B143" s="258" t="inlineStr">
        <is>
          <t>Report_134</t>
        </is>
      </c>
      <c r="C143" s="249" t="inlineStr">
        <is>
          <t>Reporting &gt; Spreading tab &gt; Global Taxonomy Download</t>
        </is>
      </c>
      <c r="D143" s="240" t="inlineStr">
        <is>
          <t>Validate Global Taxonomy report after selecting a combination of filters.
1. Taxonomy Group.</t>
        </is>
      </c>
      <c r="E143" s="240" t="inlineStr">
        <is>
          <t>1. Click Global Taxonomy under spreading.
2. Select the filter.
3. Click Generate Report.</t>
        </is>
      </c>
      <c r="F143" s="240" t="inlineStr">
        <is>
          <t>Global Taxonomy report should be generated with the data as per the selection in the filters.</t>
        </is>
      </c>
      <c r="G143" s="366" t="inlineStr">
        <is>
          <t>Pending</t>
        </is>
      </c>
      <c r="H143" s="240" t="inlineStr">
        <is>
          <t xml:space="preserve"> </t>
        </is>
      </c>
      <c r="I143" s="366" t="inlineStr">
        <is>
          <t>Pending</t>
        </is>
      </c>
      <c r="J143" s="240" t="n">
        <v>1</v>
      </c>
      <c r="K143" s="259" t="inlineStr">
        <is>
          <t xml:space="preserve"> </t>
        </is>
      </c>
    </row>
    <row r="144" ht="51.75" customHeight="1">
      <c r="B144" s="258" t="inlineStr">
        <is>
          <t>Report_135</t>
        </is>
      </c>
      <c r="C144" s="249" t="inlineStr">
        <is>
          <t>Reporting &gt; Spreading tab &gt; Global Taxonomy Download</t>
        </is>
      </c>
      <c r="D144" s="240" t="inlineStr">
        <is>
          <t>Validate Global Taxonomy report after selecting a combination of filters.
1. Language.</t>
        </is>
      </c>
      <c r="E144" s="240" t="inlineStr">
        <is>
          <t>1. Click Global Taxonomy under spreading.
2. Select the filter.
3. Click Generate Report.</t>
        </is>
      </c>
      <c r="F144" s="240" t="inlineStr">
        <is>
          <t>Global Taxonomy report should be generated with the data as per the selection in the filters.</t>
        </is>
      </c>
      <c r="G144" s="366" t="inlineStr">
        <is>
          <t>Pending</t>
        </is>
      </c>
      <c r="H144" s="240" t="inlineStr">
        <is>
          <t xml:space="preserve"> </t>
        </is>
      </c>
      <c r="I144" s="366" t="inlineStr">
        <is>
          <t>Pending</t>
        </is>
      </c>
      <c r="J144" s="240" t="n">
        <v>1</v>
      </c>
      <c r="K144" s="259" t="inlineStr">
        <is>
          <t xml:space="preserve"> </t>
        </is>
      </c>
    </row>
    <row r="145" ht="64.5" customHeight="1">
      <c r="B145" s="258" t="inlineStr">
        <is>
          <t>Report_136</t>
        </is>
      </c>
      <c r="C145" s="249" t="inlineStr">
        <is>
          <t>Reporting &gt; Spreading tab &gt; Global Taxonomy Download</t>
        </is>
      </c>
      <c r="D145" s="240" t="inlineStr">
        <is>
          <t>Validate the Radio buttons on Global Taxonomy page.</t>
        </is>
      </c>
      <c r="E145" s="240" t="inlineStr">
        <is>
          <t>1. Click Reporting in the page header.
2. Click Global Taxonomy.
3. Select any export format radio button.</t>
        </is>
      </c>
      <c r="F145" s="240" t="inlineStr">
        <is>
          <t>The export format selector should allow only one option to be selected at a time:
1. Excel
2. PDF
3. HTML</t>
        </is>
      </c>
      <c r="G145" s="366" t="inlineStr">
        <is>
          <t>Pending</t>
        </is>
      </c>
      <c r="H145" s="240" t="inlineStr">
        <is>
          <t xml:space="preserve"> </t>
        </is>
      </c>
      <c r="I145" s="366" t="inlineStr">
        <is>
          <t>Done</t>
        </is>
      </c>
      <c r="J145" s="240" t="inlineStr">
        <is>
          <t xml:space="preserve"> </t>
        </is>
      </c>
      <c r="K145" s="259" t="inlineStr">
        <is>
          <t xml:space="preserve"> </t>
        </is>
      </c>
    </row>
    <row r="146" ht="64.5" customHeight="1">
      <c r="B146" s="258" t="inlineStr">
        <is>
          <t>Report_137</t>
        </is>
      </c>
      <c r="C146" s="249" t="inlineStr">
        <is>
          <t>Reporting &gt; Spreading tab &gt; Global Taxonomy Download</t>
        </is>
      </c>
      <c r="D146" s="240" t="inlineStr">
        <is>
          <t>Validate the "Information" button on Global Taxonomy page.</t>
        </is>
      </c>
      <c r="E146" s="240" t="inlineStr">
        <is>
          <t>1. Click Reporting in the page header.
2. Click Global Taxonomy.
3. Click the Information button.</t>
        </is>
      </c>
      <c r="F146" s="240" t="inlineStr">
        <is>
          <t>1. The Information button should be clickable.
2. Clicking the Information button should open a pop-up message.
3. The pop-up should include a Close button.</t>
        </is>
      </c>
      <c r="G146" s="366" t="inlineStr">
        <is>
          <t>Pending</t>
        </is>
      </c>
      <c r="H146" s="240" t="inlineStr">
        <is>
          <t xml:space="preserve"> </t>
        </is>
      </c>
      <c r="I146" s="366" t="inlineStr">
        <is>
          <t>Done</t>
        </is>
      </c>
      <c r="J146" s="240" t="inlineStr">
        <is>
          <t xml:space="preserve"> </t>
        </is>
      </c>
      <c r="K146" s="259" t="inlineStr">
        <is>
          <t xml:space="preserve"> </t>
        </is>
      </c>
    </row>
    <row r="147" ht="39" customHeight="1">
      <c r="B147" s="258" t="inlineStr">
        <is>
          <t>Report_138</t>
        </is>
      </c>
      <c r="C147" s="249" t="inlineStr">
        <is>
          <t>Reporting &gt; Spreading tab &gt; Global Taxonomy Download</t>
        </is>
      </c>
      <c r="D147" s="240" t="inlineStr">
        <is>
          <t>Validate the "Refresh" button on Global Taxonomy page.</t>
        </is>
      </c>
      <c r="E147" s="240" t="inlineStr">
        <is>
          <t>1. Click Reporting in the page header.
2. Click Global Taxonomy.
3. Click the Refresh button.</t>
        </is>
      </c>
      <c r="F147" s="240" t="inlineStr">
        <is>
          <t>1. The Refresh button should be clickable.
2. Clicking Refresh should clear all selected filters.</t>
        </is>
      </c>
      <c r="G147" s="366" t="inlineStr">
        <is>
          <t>Pending</t>
        </is>
      </c>
      <c r="H147" s="240" t="inlineStr">
        <is>
          <t xml:space="preserve"> </t>
        </is>
      </c>
      <c r="I147" s="366" t="inlineStr">
        <is>
          <t>Done</t>
        </is>
      </c>
      <c r="J147" s="240" t="inlineStr">
        <is>
          <t xml:space="preserve"> </t>
        </is>
      </c>
      <c r="K147" s="259" t="inlineStr">
        <is>
          <t xml:space="preserve"> </t>
        </is>
      </c>
    </row>
    <row r="148" ht="39" customHeight="1">
      <c r="B148" s="258" t="inlineStr">
        <is>
          <t>Report_139</t>
        </is>
      </c>
      <c r="C148" s="249" t="inlineStr">
        <is>
          <t>Reporting &gt; Spreading tab &gt; Global Taxonomy Download</t>
        </is>
      </c>
      <c r="D148" s="240" t="inlineStr">
        <is>
          <t>Validate the "Generate Report" button on Global Taxonomy page.</t>
        </is>
      </c>
      <c r="E148" s="240" t="inlineStr">
        <is>
          <t>1. Click Reporting in the page header.
2. Click Global Taxonomy.
3. Click the Generate Report button.</t>
        </is>
      </c>
      <c r="F148" s="240" t="inlineStr">
        <is>
          <t>1. The Generate Report button should be clickable.
2. Clicking Generate Report should generate the report in the selected format.</t>
        </is>
      </c>
      <c r="G148" s="366" t="inlineStr">
        <is>
          <t>Pending</t>
        </is>
      </c>
      <c r="H148" s="240" t="inlineStr">
        <is>
          <t xml:space="preserve"> </t>
        </is>
      </c>
      <c r="I148" s="366" t="inlineStr">
        <is>
          <t>Done</t>
        </is>
      </c>
      <c r="J148" s="240" t="inlineStr">
        <is>
          <t xml:space="preserve"> </t>
        </is>
      </c>
      <c r="K148" s="259" t="inlineStr">
        <is>
          <t xml:space="preserve"> </t>
        </is>
      </c>
    </row>
    <row r="149" ht="77.25" customHeight="1">
      <c r="B149" s="258" t="inlineStr">
        <is>
          <t>Report_140</t>
        </is>
      </c>
      <c r="C149" s="249" t="inlineStr">
        <is>
          <t>Reporting &gt; Spreading tab &gt; Global Taxonomy Download</t>
        </is>
      </c>
      <c r="D149" s="240" t="inlineStr">
        <is>
          <t>Validate the Global Taxonomy report in Excel format.</t>
        </is>
      </c>
      <c r="E149" s="240" t="inlineStr">
        <is>
          <t>1. Click Reporting in the page header.
2. Click Global Taxonomy under spreading.
3. Select the Excel format radio button.
4. Click Generate Report.</t>
        </is>
      </c>
      <c r="F149" s="240" t="inlineStr">
        <is>
          <t>The report should be generated in Excel format.</t>
        </is>
      </c>
      <c r="G149" s="366" t="inlineStr">
        <is>
          <t>Pending</t>
        </is>
      </c>
      <c r="H149" s="240" t="inlineStr">
        <is>
          <t xml:space="preserve"> </t>
        </is>
      </c>
      <c r="I149" s="366" t="inlineStr">
        <is>
          <t>Done</t>
        </is>
      </c>
      <c r="J149" s="240" t="inlineStr">
        <is>
          <t xml:space="preserve"> </t>
        </is>
      </c>
      <c r="K149" s="259" t="inlineStr">
        <is>
          <t xml:space="preserve"> </t>
        </is>
      </c>
    </row>
    <row r="150" ht="77.25" customHeight="1">
      <c r="B150" s="258" t="inlineStr">
        <is>
          <t>Report_141</t>
        </is>
      </c>
      <c r="C150" s="249" t="inlineStr">
        <is>
          <t>Reporting &gt; Spreading tab &gt; Global Taxonomy Download</t>
        </is>
      </c>
      <c r="D150" s="240" t="inlineStr">
        <is>
          <t>Validate the Global Taxonomy report in PDF format.</t>
        </is>
      </c>
      <c r="E150" s="240" t="inlineStr">
        <is>
          <t>1. Click Reporting in the page header.
2. Click Global Taxonomy under spreading.
3. Select the PDF format radio button.
4. Click Generate Report.</t>
        </is>
      </c>
      <c r="F150" s="240" t="inlineStr">
        <is>
          <t>The report should be generated in PDF format.</t>
        </is>
      </c>
      <c r="G150" s="366" t="inlineStr">
        <is>
          <t>Pending</t>
        </is>
      </c>
      <c r="H150" s="240" t="inlineStr">
        <is>
          <t xml:space="preserve"> </t>
        </is>
      </c>
      <c r="I150" s="366" t="inlineStr">
        <is>
          <t>Done</t>
        </is>
      </c>
      <c r="J150" s="240" t="inlineStr">
        <is>
          <t xml:space="preserve"> </t>
        </is>
      </c>
      <c r="K150" s="259" t="inlineStr">
        <is>
          <t xml:space="preserve"> </t>
        </is>
      </c>
    </row>
    <row r="151" ht="77.25" customHeight="1">
      <c r="B151" s="258" t="inlineStr">
        <is>
          <t>Report_142</t>
        </is>
      </c>
      <c r="C151" s="249" t="inlineStr">
        <is>
          <t>Reporting &gt; Spreading tab &gt; Global Taxonomy Download</t>
        </is>
      </c>
      <c r="D151" s="240" t="inlineStr">
        <is>
          <t>Validate the Global Taxonomy report in HTML format.</t>
        </is>
      </c>
      <c r="E151" s="240" t="inlineStr">
        <is>
          <t>1. Click Reporting in the page header.
2. Click Global Taxonomy under spreading.
3. Select the HTML format radio button.
4. Click Generate Report.</t>
        </is>
      </c>
      <c r="F151" s="240" t="inlineStr">
        <is>
          <t>The report should be generated in HTML format.</t>
        </is>
      </c>
      <c r="G151" s="366" t="inlineStr">
        <is>
          <t>Pending</t>
        </is>
      </c>
      <c r="H151" s="240" t="inlineStr">
        <is>
          <t xml:space="preserve"> </t>
        </is>
      </c>
      <c r="I151" s="366" t="inlineStr">
        <is>
          <t>Done</t>
        </is>
      </c>
      <c r="J151" s="240" t="inlineStr">
        <is>
          <t xml:space="preserve"> </t>
        </is>
      </c>
      <c r="K151" s="259" t="inlineStr">
        <is>
          <t xml:space="preserve"> </t>
        </is>
      </c>
    </row>
    <row r="152" ht="102.75" customHeight="1">
      <c r="B152" s="258" t="inlineStr">
        <is>
          <t>Report_143</t>
        </is>
      </c>
      <c r="C152" s="248" t="inlineStr">
        <is>
          <t>Reporting &gt; Spreading tab &gt; Customer Taxonomy Download</t>
        </is>
      </c>
      <c r="D152" s="240" t="inlineStr">
        <is>
          <t>Validate the Customer Taxonomy page.</t>
        </is>
      </c>
      <c r="E152" s="240" t="inlineStr">
        <is>
          <t>1. Log in to the Spreadsmart application.
2. Click Reporting in the page header.
3. Click the Customer Taxonomy download sub tab under Spreading tab.</t>
        </is>
      </c>
      <c r="F152" s="240" t="inlineStr">
        <is>
          <t>Customer Taxonomy page should have below mentioned components:
1. Customer Name filter dropdown.
2. Period Calendar.
3. Format type radio buttons.
4. Information button.
5. Refresh button.
6. Generate Report button.</t>
        </is>
      </c>
      <c r="G152" s="366" t="inlineStr">
        <is>
          <t>Pending</t>
        </is>
      </c>
      <c r="H152" s="240" t="inlineStr">
        <is>
          <t xml:space="preserve"> </t>
        </is>
      </c>
      <c r="I152" s="366" t="inlineStr">
        <is>
          <t>Done</t>
        </is>
      </c>
      <c r="J152" s="240" t="inlineStr">
        <is>
          <t xml:space="preserve"> </t>
        </is>
      </c>
      <c r="K152" s="259" t="inlineStr">
        <is>
          <t xml:space="preserve"> </t>
        </is>
      </c>
    </row>
    <row r="153" ht="64.5" customHeight="1">
      <c r="B153" s="258" t="inlineStr">
        <is>
          <t>Report_144</t>
        </is>
      </c>
      <c r="C153" s="248" t="inlineStr">
        <is>
          <t>Reporting &gt; Spreading tab &gt; Customer Taxonomy Download</t>
        </is>
      </c>
      <c r="D153" s="240" t="inlineStr">
        <is>
          <t>Validate the data in the Customer Name dropdown filter on Global Taxonomy page.</t>
        </is>
      </c>
      <c r="E153" s="240" t="inlineStr">
        <is>
          <t>1. Click Reporting in the page header.
2. Click Customer Taxonomy Download under Spreading.
3. Click Customer Name Group filter.</t>
        </is>
      </c>
      <c r="F153" s="240" t="inlineStr">
        <is>
          <t>"Select Customer Name" should be the default message on the dropdown filter.
All the customers having Customer Taxonomy and access to the logged in user should be visible in the list.</t>
        </is>
      </c>
      <c r="G153" s="366" t="inlineStr">
        <is>
          <t>Pending</t>
        </is>
      </c>
      <c r="H153" s="240" t="inlineStr">
        <is>
          <t xml:space="preserve"> </t>
        </is>
      </c>
      <c r="I153" s="366" t="inlineStr">
        <is>
          <t>Done</t>
        </is>
      </c>
      <c r="J153" s="240" t="inlineStr">
        <is>
          <t xml:space="preserve"> </t>
        </is>
      </c>
      <c r="K153" s="259" t="inlineStr">
        <is>
          <t xml:space="preserve"> </t>
        </is>
      </c>
    </row>
    <row r="154" ht="102.75" customHeight="1">
      <c r="B154" s="258" t="inlineStr">
        <is>
          <t>Report_145</t>
        </is>
      </c>
      <c r="C154" s="248" t="inlineStr">
        <is>
          <t>Reporting &gt; Spreading tab &gt; Customer Taxonomy Download</t>
        </is>
      </c>
      <c r="D154" s="240" t="inlineStr">
        <is>
          <t>Validate the functionality of Customer Name dropdown on Global Taxonomy page.</t>
        </is>
      </c>
      <c r="E154" s="240" t="inlineStr">
        <is>
          <t>1. Click Reporting in the page header.
2. Click Customer Taxonomy Download under Spreading.
3. Click Customer Name Group filter.</t>
        </is>
      </c>
      <c r="F154" s="240" t="inlineStr">
        <is>
          <t>1. It should be Multi select dropdown filter.
2. Dropdown should have a search bar on top to search the group.
3. Dropdown should have a checkbox in front of search bar to select Taxonomy group all together.
4. A cross icon should appear against the selected taxonomy group to unselect/clear the filter.</t>
        </is>
      </c>
      <c r="G154" s="366" t="inlineStr">
        <is>
          <t>Pending</t>
        </is>
      </c>
      <c r="H154" s="240" t="inlineStr">
        <is>
          <t xml:space="preserve"> </t>
        </is>
      </c>
      <c r="I154" s="366" t="inlineStr">
        <is>
          <t>Done</t>
        </is>
      </c>
      <c r="J154" s="240" t="inlineStr">
        <is>
          <t xml:space="preserve"> </t>
        </is>
      </c>
      <c r="K154" s="259" t="inlineStr">
        <is>
          <t xml:space="preserve"> </t>
        </is>
      </c>
    </row>
    <row r="155" ht="51.75" customHeight="1">
      <c r="B155" s="258" t="inlineStr">
        <is>
          <t>Report_146</t>
        </is>
      </c>
      <c r="C155" s="248" t="inlineStr">
        <is>
          <t>Reporting &gt; Spreading tab &gt; Customer Taxonomy Download</t>
        </is>
      </c>
      <c r="D155" s="240" t="inlineStr">
        <is>
          <t>Validate the "Period" calendar on Customer Taxonomy page.</t>
        </is>
      </c>
      <c r="E155" s="240" t="inlineStr">
        <is>
          <t>1. Click Reporting in the page header.
2. Click Customer Taxonomy Download under Spreading.
3. Click the Period calendar.</t>
        </is>
      </c>
      <c r="F155" s="240" t="inlineStr">
        <is>
          <t>Period calendar should be clickable.
"Statement Date Range" should be the default message on the calendar.</t>
        </is>
      </c>
      <c r="G155" s="366" t="inlineStr">
        <is>
          <t>Pending</t>
        </is>
      </c>
      <c r="H155" s="240" t="inlineStr">
        <is>
          <t xml:space="preserve"> </t>
        </is>
      </c>
      <c r="I155" s="366" t="inlineStr">
        <is>
          <t>Done</t>
        </is>
      </c>
      <c r="J155" s="240" t="inlineStr">
        <is>
          <t xml:space="preserve"> </t>
        </is>
      </c>
      <c r="K155" s="259" t="inlineStr">
        <is>
          <t xml:space="preserve"> </t>
        </is>
      </c>
    </row>
    <row r="156" ht="51.75" customHeight="1">
      <c r="B156" s="258" t="inlineStr">
        <is>
          <t>Report_147</t>
        </is>
      </c>
      <c r="C156" s="248" t="inlineStr">
        <is>
          <t>Reporting &gt; Spreading tab &gt; Customer Taxonomy Download</t>
        </is>
      </c>
      <c r="D156" s="240" t="inlineStr">
        <is>
          <t>Validate the functionality of "Period" calendar on Customer Taxonomy page.</t>
        </is>
      </c>
      <c r="E156" s="240" t="inlineStr">
        <is>
          <t>1. Click Reporting in the page header.
2. Click Customer Taxonomy Download under Spreading.
3. Click the Period calendar.</t>
        </is>
      </c>
      <c r="F156" s="240" t="inlineStr">
        <is>
          <t>1. It should be a calendar on which start date and end date range can be selected.
2. The user should be able to re-select the date range.</t>
        </is>
      </c>
      <c r="G156" s="366" t="inlineStr">
        <is>
          <t>Pending</t>
        </is>
      </c>
      <c r="H156" s="240" t="inlineStr">
        <is>
          <t xml:space="preserve"> </t>
        </is>
      </c>
      <c r="I156" s="366" t="inlineStr">
        <is>
          <t>Done</t>
        </is>
      </c>
      <c r="J156" s="240" t="inlineStr">
        <is>
          <t xml:space="preserve"> </t>
        </is>
      </c>
      <c r="K156" s="259" t="inlineStr">
        <is>
          <t xml:space="preserve"> </t>
        </is>
      </c>
    </row>
    <row r="157" ht="90" customHeight="1">
      <c r="B157" s="258" t="inlineStr">
        <is>
          <t>Report_148</t>
        </is>
      </c>
      <c r="C157" s="248" t="inlineStr">
        <is>
          <t>Reporting &gt; Spreading tab &gt; Customer Taxonomy Download</t>
        </is>
      </c>
      <c r="D157" s="240" t="inlineStr">
        <is>
          <t>Validate Customer Taxonomy report without making any selection in the filters.</t>
        </is>
      </c>
      <c r="E157" s="240" t="inlineStr">
        <is>
          <t>1. Click Reporting in the page header.
2. Click Customer Taxonomy Download under Spreading.
2. Click Generate report.</t>
        </is>
      </c>
      <c r="F157" s="240" t="inlineStr">
        <is>
          <t>Customer Taxonomy report should be generated with the below mentioned columns:
Sr. No.
Taxonomy Group.
Language.
Taxonomy Keywords.
Synonyms.</t>
        </is>
      </c>
      <c r="G157" s="366" t="inlineStr">
        <is>
          <t>Pending</t>
        </is>
      </c>
      <c r="H157" s="240" t="inlineStr">
        <is>
          <t xml:space="preserve"> </t>
        </is>
      </c>
      <c r="I157" s="366" t="inlineStr">
        <is>
          <t>Done</t>
        </is>
      </c>
      <c r="J157" s="240" t="inlineStr">
        <is>
          <t xml:space="preserve"> </t>
        </is>
      </c>
      <c r="K157" s="259" t="inlineStr">
        <is>
          <t xml:space="preserve"> </t>
        </is>
      </c>
    </row>
    <row r="158" ht="90" customHeight="1">
      <c r="B158" s="258" t="inlineStr">
        <is>
          <t>Report_149</t>
        </is>
      </c>
      <c r="C158" s="248" t="inlineStr">
        <is>
          <t>Reporting &gt; Spreading tab &gt; Customer Taxonomy Download</t>
        </is>
      </c>
      <c r="D158" s="240" t="inlineStr">
        <is>
          <t>Validate the changes in Customer Taxonomy report on updating any values.
1. Taxonomy group.
2. Language.
3. Taxonomy Keywords.
4. Synonyms.</t>
        </is>
      </c>
      <c r="E158" s="240" t="inlineStr">
        <is>
          <t>1. Click Reporting in the page header.
2. Click Customer Taxonomy Download under Spreading.
2. Click Generate report.</t>
        </is>
      </c>
      <c r="F158" s="240" t="inlineStr">
        <is>
          <t>Updating any values should be reflected in Customer Taxonomy Report.</t>
        </is>
      </c>
      <c r="G158" s="366" t="inlineStr">
        <is>
          <t>Pending</t>
        </is>
      </c>
      <c r="H158" s="240" t="inlineStr">
        <is>
          <t xml:space="preserve"> </t>
        </is>
      </c>
      <c r="I158" s="366" t="inlineStr">
        <is>
          <t>Pending</t>
        </is>
      </c>
      <c r="J158" s="240" t="n">
        <v>1</v>
      </c>
      <c r="K158" s="259" t="inlineStr">
        <is>
          <t xml:space="preserve"> </t>
        </is>
      </c>
    </row>
    <row r="159" ht="51.75" customHeight="1">
      <c r="B159" s="258" t="inlineStr">
        <is>
          <t>Report_150</t>
        </is>
      </c>
      <c r="C159" s="248" t="inlineStr">
        <is>
          <t>Reporting &gt; Spreading tab &gt; Customer Taxonomy Download</t>
        </is>
      </c>
      <c r="D159" s="240" t="inlineStr">
        <is>
          <t>Validate Customer Taxonomy report after selecting all the filters.</t>
        </is>
      </c>
      <c r="E159" s="240" t="inlineStr">
        <is>
          <t>1. Click Customer Taxonomy download under spreading.
2. Select all required filters.
3. Click Generate Report.</t>
        </is>
      </c>
      <c r="F159" s="240" t="inlineStr">
        <is>
          <t>Customer Taxonomy report should be generated with the data as per the selection in the filters.</t>
        </is>
      </c>
      <c r="G159" s="366" t="inlineStr">
        <is>
          <t>Pending</t>
        </is>
      </c>
      <c r="H159" s="240" t="inlineStr">
        <is>
          <t xml:space="preserve"> </t>
        </is>
      </c>
      <c r="I159" s="366" t="inlineStr">
        <is>
          <t>Done</t>
        </is>
      </c>
      <c r="J159" s="240" t="inlineStr">
        <is>
          <t xml:space="preserve"> </t>
        </is>
      </c>
      <c r="K159" s="259" t="inlineStr">
        <is>
          <t xml:space="preserve"> </t>
        </is>
      </c>
    </row>
    <row r="160" ht="51.75" customHeight="1">
      <c r="B160" s="258" t="inlineStr">
        <is>
          <t>Report_151</t>
        </is>
      </c>
      <c r="C160" s="248" t="inlineStr">
        <is>
          <t>Reporting &gt; Spreading tab &gt; Customer Taxonomy Download</t>
        </is>
      </c>
      <c r="D160" s="240" t="inlineStr">
        <is>
          <t>Validate Customer Taxonomy report after selecting a combination of filters.
1. Customer Name.</t>
        </is>
      </c>
      <c r="E160" s="240" t="inlineStr">
        <is>
          <t>1. Click Customer Taxonomy download under spreading.
2. Select the filter.
3. Click Generate Report.</t>
        </is>
      </c>
      <c r="F160" s="240" t="inlineStr">
        <is>
          <t>Customer Taxonomy report should be generated with the data as per the selection in the filters.</t>
        </is>
      </c>
      <c r="G160" s="366" t="inlineStr">
        <is>
          <t>Pending</t>
        </is>
      </c>
      <c r="H160" s="240" t="inlineStr">
        <is>
          <t xml:space="preserve"> </t>
        </is>
      </c>
      <c r="I160" s="366" t="inlineStr">
        <is>
          <t>Pending</t>
        </is>
      </c>
      <c r="J160" s="240" t="n">
        <v>1</v>
      </c>
      <c r="K160" s="259" t="inlineStr">
        <is>
          <t xml:space="preserve"> </t>
        </is>
      </c>
    </row>
    <row r="161" ht="51.75" customHeight="1">
      <c r="B161" s="258" t="inlineStr">
        <is>
          <t>Report_152</t>
        </is>
      </c>
      <c r="C161" s="248" t="inlineStr">
        <is>
          <t>Reporting &gt; Spreading tab &gt; Customer Taxonomy Download</t>
        </is>
      </c>
      <c r="D161" s="240" t="inlineStr">
        <is>
          <t>Validate Customer Taxonomy report after selecting a combination of filters.
1. Period.</t>
        </is>
      </c>
      <c r="E161" s="240" t="inlineStr">
        <is>
          <t>1. Click Global Taxonomy download under spreading.
2. Select the filter.
3. Click Generate Report.</t>
        </is>
      </c>
      <c r="F161" s="240" t="inlineStr">
        <is>
          <t>Global Taxonomy report should be generated with the data as per the selection in the filters.</t>
        </is>
      </c>
      <c r="G161" s="366" t="inlineStr">
        <is>
          <t>Pending</t>
        </is>
      </c>
      <c r="H161" s="240" t="inlineStr">
        <is>
          <t xml:space="preserve"> </t>
        </is>
      </c>
      <c r="I161" s="366" t="inlineStr">
        <is>
          <t>Pending</t>
        </is>
      </c>
      <c r="J161" s="240" t="n">
        <v>1</v>
      </c>
      <c r="K161" s="259" t="inlineStr">
        <is>
          <t xml:space="preserve"> </t>
        </is>
      </c>
    </row>
    <row r="162" ht="64.5" customHeight="1">
      <c r="B162" s="258" t="inlineStr">
        <is>
          <t>Report_153</t>
        </is>
      </c>
      <c r="C162" s="248" t="inlineStr">
        <is>
          <t>Reporting &gt; Spreading tab &gt; Customer Taxonomy Download</t>
        </is>
      </c>
      <c r="D162" s="240" t="inlineStr">
        <is>
          <t>Validate the Radio buttons on Customer Taxonomy page.</t>
        </is>
      </c>
      <c r="E162" s="240" t="inlineStr">
        <is>
          <t>1. Click Reporting in the page header.
2. Click Customer Taxonomy download.
3. Select any export format radio button.</t>
        </is>
      </c>
      <c r="F162" s="240" t="inlineStr">
        <is>
          <t>The export format selector should allow only one option to be selected at a time:
1. Excel
2. PDF
3. HTML</t>
        </is>
      </c>
      <c r="G162" s="366" t="inlineStr">
        <is>
          <t>Pending</t>
        </is>
      </c>
      <c r="H162" s="240" t="inlineStr">
        <is>
          <t xml:space="preserve"> </t>
        </is>
      </c>
      <c r="I162" s="366" t="inlineStr">
        <is>
          <t>Done</t>
        </is>
      </c>
      <c r="J162" s="240" t="inlineStr">
        <is>
          <t xml:space="preserve"> </t>
        </is>
      </c>
      <c r="K162" s="259" t="inlineStr">
        <is>
          <t xml:space="preserve"> </t>
        </is>
      </c>
    </row>
    <row r="163" ht="64.5" customHeight="1">
      <c r="B163" s="258" t="inlineStr">
        <is>
          <t>Report_154</t>
        </is>
      </c>
      <c r="C163" s="248" t="inlineStr">
        <is>
          <t>Reporting &gt; Spreading tab &gt; Customer Taxonomy Download</t>
        </is>
      </c>
      <c r="D163" s="240" t="inlineStr">
        <is>
          <t>Validate the "Information" button on Customer Taxonomy page.</t>
        </is>
      </c>
      <c r="E163" s="240" t="inlineStr">
        <is>
          <t>1. Click Reporting in the page header.
2. Click Customer Taxonomy download.
3. Click the Information button.</t>
        </is>
      </c>
      <c r="F163" s="240" t="inlineStr">
        <is>
          <t>1. The Information button should be clickable.
2. Clicking the Information button should open a pop-up message.
3. The pop-up should include a Close button.</t>
        </is>
      </c>
      <c r="G163" s="366" t="inlineStr">
        <is>
          <t>Pending</t>
        </is>
      </c>
      <c r="H163" s="240" t="inlineStr">
        <is>
          <t xml:space="preserve"> </t>
        </is>
      </c>
      <c r="I163" s="366" t="inlineStr">
        <is>
          <t>Done</t>
        </is>
      </c>
      <c r="J163" s="240" t="inlineStr">
        <is>
          <t xml:space="preserve"> </t>
        </is>
      </c>
      <c r="K163" s="259" t="inlineStr">
        <is>
          <t xml:space="preserve"> </t>
        </is>
      </c>
    </row>
    <row r="164" ht="51.75" customHeight="1">
      <c r="B164" s="258" t="inlineStr">
        <is>
          <t>Report_155</t>
        </is>
      </c>
      <c r="C164" s="248" t="inlineStr">
        <is>
          <t>Reporting &gt; Spreading tab &gt; Customer Taxonomy Download</t>
        </is>
      </c>
      <c r="D164" s="240" t="inlineStr">
        <is>
          <t>Validate the "Refresh" button on Customer Taxonomy page.</t>
        </is>
      </c>
      <c r="E164" s="240" t="inlineStr">
        <is>
          <t>1. Click Reporting in the page header.
2. Click Customer Taxonomy download.
3. Click the Refresh button.</t>
        </is>
      </c>
      <c r="F164" s="240" t="inlineStr">
        <is>
          <t>1. The Refresh button should be clickable.
2. Clicking Refresh should clear all selected filters.</t>
        </is>
      </c>
      <c r="G164" s="366" t="inlineStr">
        <is>
          <t>Pending</t>
        </is>
      </c>
      <c r="H164" s="240" t="inlineStr">
        <is>
          <t xml:space="preserve"> </t>
        </is>
      </c>
      <c r="I164" s="366" t="inlineStr">
        <is>
          <t>Done</t>
        </is>
      </c>
      <c r="J164" s="240" t="inlineStr">
        <is>
          <t xml:space="preserve"> </t>
        </is>
      </c>
      <c r="K164" s="259" t="inlineStr">
        <is>
          <t xml:space="preserve"> </t>
        </is>
      </c>
    </row>
    <row r="165" ht="51.75" customHeight="1">
      <c r="B165" s="258" t="inlineStr">
        <is>
          <t>Report_156</t>
        </is>
      </c>
      <c r="C165" s="248" t="inlineStr">
        <is>
          <t>Reporting &gt; Spreading tab &gt; Customer Taxonomy Download</t>
        </is>
      </c>
      <c r="D165" s="240" t="inlineStr">
        <is>
          <t>Validate the "Generate Report" button on Customer Taxonomy page.</t>
        </is>
      </c>
      <c r="E165" s="240" t="inlineStr">
        <is>
          <t>1. Click Reporting in the page header.
2. Click Customer Taxonomy download.
3. Click the Generate Report button.</t>
        </is>
      </c>
      <c r="F165" s="240" t="inlineStr">
        <is>
          <t>1. The Generate Report button should be clickable.
2. Clicking Generate Report should generate the report in the selected format.</t>
        </is>
      </c>
      <c r="G165" s="366" t="inlineStr">
        <is>
          <t>Pending</t>
        </is>
      </c>
      <c r="H165" s="240" t="inlineStr">
        <is>
          <t xml:space="preserve"> </t>
        </is>
      </c>
      <c r="I165" s="366" t="inlineStr">
        <is>
          <t>Done</t>
        </is>
      </c>
      <c r="J165" s="240" t="inlineStr">
        <is>
          <t xml:space="preserve"> </t>
        </is>
      </c>
      <c r="K165" s="259" t="inlineStr">
        <is>
          <t xml:space="preserve"> </t>
        </is>
      </c>
    </row>
    <row r="166" ht="77.25" customHeight="1">
      <c r="B166" s="258" t="inlineStr">
        <is>
          <t>Report_157</t>
        </is>
      </c>
      <c r="C166" s="248" t="inlineStr">
        <is>
          <t>Reporting &gt; Spreading tab &gt; Customer Taxonomy Download</t>
        </is>
      </c>
      <c r="D166" s="240" t="inlineStr">
        <is>
          <t>Validate the Customer Taxonomy report in Excel format.</t>
        </is>
      </c>
      <c r="E166" s="240" t="inlineStr">
        <is>
          <t>1. Click Reporting in the page header.
2. Click Customer Taxonomy Download under Spreading.
3. Select the Excel format radio button.
4. Click Generate Report.</t>
        </is>
      </c>
      <c r="F166" s="240" t="inlineStr">
        <is>
          <t>The report should be generated in Excel format.</t>
        </is>
      </c>
      <c r="G166" s="366" t="inlineStr">
        <is>
          <t>Pending</t>
        </is>
      </c>
      <c r="H166" s="240" t="inlineStr">
        <is>
          <t xml:space="preserve"> </t>
        </is>
      </c>
      <c r="I166" s="366" t="inlineStr">
        <is>
          <t>Done</t>
        </is>
      </c>
      <c r="J166" s="240" t="inlineStr">
        <is>
          <t xml:space="preserve"> </t>
        </is>
      </c>
      <c r="K166" s="259" t="inlineStr">
        <is>
          <t xml:space="preserve"> </t>
        </is>
      </c>
    </row>
    <row r="167" ht="77.25" customHeight="1">
      <c r="B167" s="258" t="inlineStr">
        <is>
          <t>Report_158</t>
        </is>
      </c>
      <c r="C167" s="248" t="inlineStr">
        <is>
          <t>Reporting &gt; Spreading tab &gt; Customer Taxonomy Download</t>
        </is>
      </c>
      <c r="D167" s="240" t="inlineStr">
        <is>
          <t>Validate the Customer Taxonomy report in PDF format.</t>
        </is>
      </c>
      <c r="E167" s="240" t="inlineStr">
        <is>
          <t>1. Click Reporting in the page header.
2. Click Customer Taxonomy Download under Spreading.
3. Select the PDF format radio button.
4. Click Generate Report.</t>
        </is>
      </c>
      <c r="F167" s="240" t="inlineStr">
        <is>
          <t>The report should be generated in PDF format.</t>
        </is>
      </c>
      <c r="G167" s="366" t="inlineStr">
        <is>
          <t>Pending</t>
        </is>
      </c>
      <c r="H167" s="240" t="inlineStr">
        <is>
          <t xml:space="preserve"> </t>
        </is>
      </c>
      <c r="I167" s="366" t="inlineStr">
        <is>
          <t>Done</t>
        </is>
      </c>
      <c r="J167" s="240" t="inlineStr">
        <is>
          <t xml:space="preserve"> </t>
        </is>
      </c>
      <c r="K167" s="259" t="inlineStr">
        <is>
          <t xml:space="preserve"> </t>
        </is>
      </c>
    </row>
    <row r="168" ht="77.25" customHeight="1">
      <c r="B168" s="258" t="inlineStr">
        <is>
          <t>Report_159</t>
        </is>
      </c>
      <c r="C168" s="248" t="inlineStr">
        <is>
          <t>Reporting &gt; Spreading tab &gt; Customer Taxonomy Download</t>
        </is>
      </c>
      <c r="D168" s="240" t="inlineStr">
        <is>
          <t>Validate the Customer Taxonomy report in HTML format.</t>
        </is>
      </c>
      <c r="E168" s="240" t="inlineStr">
        <is>
          <t>1. Click Reporting in the page header.
2. Click Customer Taxonomy Download under Spreading.
3. Select the HTML format radio button.
4. Click Generate Report.</t>
        </is>
      </c>
      <c r="F168" s="240" t="inlineStr">
        <is>
          <t>The report should be generated in HTML format.</t>
        </is>
      </c>
      <c r="G168" s="366" t="inlineStr">
        <is>
          <t>Pending</t>
        </is>
      </c>
      <c r="H168" s="240" t="inlineStr">
        <is>
          <t xml:space="preserve"> </t>
        </is>
      </c>
      <c r="I168" s="366" t="inlineStr">
        <is>
          <t>Done</t>
        </is>
      </c>
      <c r="J168" s="240" t="inlineStr">
        <is>
          <t xml:space="preserve"> </t>
        </is>
      </c>
      <c r="K168" s="259" t="inlineStr">
        <is>
          <t xml:space="preserve"> </t>
        </is>
      </c>
    </row>
    <row r="169" ht="153.75" customHeight="1">
      <c r="B169" s="258" t="inlineStr">
        <is>
          <t>Report_160</t>
        </is>
      </c>
      <c r="C169" s="250" t="inlineStr">
        <is>
          <t>Reporting &gt; Spreading tab &gt; Document Quality</t>
        </is>
      </c>
      <c r="D169" s="240" t="inlineStr">
        <is>
          <t>Validate the Document Quality page.</t>
        </is>
      </c>
      <c r="E169" s="240" t="inlineStr">
        <is>
          <t>1. Log in to the Spreadsmart application.
2. Click Reporting in the page header.
3. Click the "Document Quality" sub tab under Spreading tab.</t>
        </is>
      </c>
      <c r="F169" s="240" t="inlineStr">
        <is>
          <t>Spreading Details page should have below mentioned components:
1. Quality of Report filter dropdown.
2. Customer Name filter dropdown.
3. Action Date Calendar.
4. Financial Report text box field.
5. Statement Date calendar.
6. Access Group filter dropdown.
7. Format type radio buttons.
8. Information button.
9. Refresh button.
10. Generate Report button.</t>
        </is>
      </c>
      <c r="G169" s="366" t="inlineStr">
        <is>
          <t>Pending</t>
        </is>
      </c>
      <c r="H169" s="240" t="inlineStr">
        <is>
          <t xml:space="preserve"> </t>
        </is>
      </c>
      <c r="I169" s="366" t="inlineStr">
        <is>
          <t>Done</t>
        </is>
      </c>
      <c r="J169" s="240" t="inlineStr">
        <is>
          <t xml:space="preserve"> </t>
        </is>
      </c>
      <c r="K169" s="259" t="inlineStr">
        <is>
          <t xml:space="preserve"> </t>
        </is>
      </c>
    </row>
    <row r="170" ht="64.5" customHeight="1">
      <c r="B170" s="258" t="inlineStr">
        <is>
          <t>Report_161</t>
        </is>
      </c>
      <c r="C170" s="250" t="inlineStr">
        <is>
          <t>Reporting &gt; Spreading tab &gt; Document Quality</t>
        </is>
      </c>
      <c r="D170" s="240" t="inlineStr">
        <is>
          <t>Validate the data in the Quality of Report filter dropdown on Document Quality details page.</t>
        </is>
      </c>
      <c r="E170" s="240" t="inlineStr">
        <is>
          <t>1. Click Reporting in the page header.
2. Click Document Quality under Spreading.
3. Click Quality of Report dropdown filter.</t>
        </is>
      </c>
      <c r="F170" s="240" t="inlineStr">
        <is>
          <t>"Select Report Quality" should be the default message on the dropdown filter.
Value of Quality of Report should be.
1. Good.
2. Bad.</t>
        </is>
      </c>
      <c r="G170" s="366" t="inlineStr">
        <is>
          <t>Pending</t>
        </is>
      </c>
      <c r="H170" s="240" t="inlineStr">
        <is>
          <t xml:space="preserve"> </t>
        </is>
      </c>
      <c r="I170" s="366" t="inlineStr">
        <is>
          <t>Done</t>
        </is>
      </c>
      <c r="J170" s="240" t="inlineStr">
        <is>
          <t xml:space="preserve"> </t>
        </is>
      </c>
      <c r="K170" s="259" t="inlineStr">
        <is>
          <t xml:space="preserve"> </t>
        </is>
      </c>
    </row>
    <row r="171" ht="64.5" customHeight="1">
      <c r="B171" s="258" t="inlineStr">
        <is>
          <t>Report_162</t>
        </is>
      </c>
      <c r="C171" s="250" t="inlineStr">
        <is>
          <t>Reporting &gt; Spreading tab &gt; Document Quality</t>
        </is>
      </c>
      <c r="D171" s="240" t="inlineStr">
        <is>
          <t>Validate the functionality in the Quality of Report filter dropdown on Document Quality Details page.</t>
        </is>
      </c>
      <c r="E171" s="240" t="inlineStr">
        <is>
          <t>1. Click Reporting in the page header.
2. Click Document Quality under Spreading.
3. Click Quality of Report dropdown filter.</t>
        </is>
      </c>
      <c r="F171" s="240" t="inlineStr">
        <is>
          <t>1. It should be single select dropdown filter.
2. Dropdown should have a search bar on top to search.
3. A cross icon should appear against the selected group to unselect/clear the filter.</t>
        </is>
      </c>
      <c r="G171" s="366" t="inlineStr">
        <is>
          <t>Pending</t>
        </is>
      </c>
      <c r="H171" s="240" t="inlineStr">
        <is>
          <t xml:space="preserve"> </t>
        </is>
      </c>
      <c r="I171" s="366" t="inlineStr">
        <is>
          <t>Done</t>
        </is>
      </c>
      <c r="J171" s="240" t="inlineStr">
        <is>
          <t xml:space="preserve"> </t>
        </is>
      </c>
      <c r="K171" s="259" t="inlineStr">
        <is>
          <t xml:space="preserve"> </t>
        </is>
      </c>
    </row>
    <row r="172" ht="64.5" customHeight="1">
      <c r="B172" s="258" t="inlineStr">
        <is>
          <t>Report_163</t>
        </is>
      </c>
      <c r="C172" s="250" t="inlineStr">
        <is>
          <t>Reporting &gt; Spreading tab &gt; Document Quality</t>
        </is>
      </c>
      <c r="D172" s="240" t="inlineStr">
        <is>
          <t>Validate the data in the Customer Name dropdown filter on Document Quality Details page.</t>
        </is>
      </c>
      <c r="E172" s="240" t="inlineStr">
        <is>
          <t>1. Click Reporting in the page header.
2. Click Document Quality under Spreading.
3. Click Customer Name dropdown filter.</t>
        </is>
      </c>
      <c r="F172" s="240" t="inlineStr">
        <is>
          <t>"Select Customer Name" should be the default message on the dropdown filter.
Data of all the customer accessed by logged in used should be visible in dropdown.</t>
        </is>
      </c>
      <c r="G172" s="366" t="inlineStr">
        <is>
          <t>Pending</t>
        </is>
      </c>
      <c r="H172" s="240" t="inlineStr">
        <is>
          <t xml:space="preserve"> </t>
        </is>
      </c>
      <c r="I172" s="366" t="inlineStr">
        <is>
          <t>Done</t>
        </is>
      </c>
      <c r="J172" s="240" t="inlineStr">
        <is>
          <t xml:space="preserve"> </t>
        </is>
      </c>
      <c r="K172" s="259" t="inlineStr">
        <is>
          <t xml:space="preserve"> </t>
        </is>
      </c>
    </row>
    <row r="173" ht="90" customHeight="1">
      <c r="B173" s="258" t="inlineStr">
        <is>
          <t>Report_164</t>
        </is>
      </c>
      <c r="C173" s="250" t="inlineStr">
        <is>
          <t>Reporting &gt; Spreading tab &gt; Document Quality</t>
        </is>
      </c>
      <c r="D173" s="240" t="inlineStr">
        <is>
          <t>Validate the functionality of Customer Name dropdown filter on Document Quality Details page.</t>
        </is>
      </c>
      <c r="E173" s="240" t="inlineStr">
        <is>
          <t>1. Click Reporting in the page header.
2. Click Document Quality under Spreading.
3. Click Model dropdown filter after selecting group.</t>
        </is>
      </c>
      <c r="F173" s="240" t="inlineStr">
        <is>
          <t>1. It should be a Multi select dropdown filter.
2. Dropdown should have a search bar on top to search the model.
3. Dropdown should have a slider, if the list of the model is long.
4. Selection/un select can be done by checking/unchecking checkbox against all models.</t>
        </is>
      </c>
      <c r="G173" s="366" t="inlineStr">
        <is>
          <t>Pending</t>
        </is>
      </c>
      <c r="H173" s="240" t="inlineStr">
        <is>
          <t xml:space="preserve"> </t>
        </is>
      </c>
      <c r="I173" s="366" t="inlineStr">
        <is>
          <t>Done</t>
        </is>
      </c>
      <c r="J173" s="240" t="inlineStr">
        <is>
          <t xml:space="preserve"> </t>
        </is>
      </c>
      <c r="K173" s="259" t="inlineStr">
        <is>
          <t xml:space="preserve"> </t>
        </is>
      </c>
    </row>
    <row r="174" ht="51.75" customHeight="1">
      <c r="B174" s="258" t="inlineStr">
        <is>
          <t>Report_165</t>
        </is>
      </c>
      <c r="C174" s="250" t="inlineStr">
        <is>
          <t>Reporting &gt; Spreading tab &gt; Document Quality</t>
        </is>
      </c>
      <c r="D174" s="240" t="inlineStr">
        <is>
          <t>Validate the "Action Date" calendar on Document Quality Details page.</t>
        </is>
      </c>
      <c r="E174" s="240" t="inlineStr">
        <is>
          <t>1. Click Reporting in the page header.
2. Click Document Quality under Spreading.
3. Click the Action Date calendar.</t>
        </is>
      </c>
      <c r="F174" s="240" t="inlineStr">
        <is>
          <t>Action Date calendar should be clickable.
"Action Date Range" should be the default message on the calendar.</t>
        </is>
      </c>
      <c r="G174" s="366" t="inlineStr">
        <is>
          <t>Pending</t>
        </is>
      </c>
      <c r="H174" s="240" t="inlineStr">
        <is>
          <t xml:space="preserve"> </t>
        </is>
      </c>
      <c r="I174" s="366" t="inlineStr">
        <is>
          <t>Done</t>
        </is>
      </c>
      <c r="J174" s="240" t="inlineStr">
        <is>
          <t xml:space="preserve"> </t>
        </is>
      </c>
      <c r="K174" s="259" t="inlineStr">
        <is>
          <t xml:space="preserve"> </t>
        </is>
      </c>
    </row>
    <row r="175" ht="51.75" customHeight="1">
      <c r="B175" s="258" t="inlineStr">
        <is>
          <t>Report_166</t>
        </is>
      </c>
      <c r="C175" s="250" t="inlineStr">
        <is>
          <t>Reporting &gt; Spreading tab &gt; Document Quality</t>
        </is>
      </c>
      <c r="D175" s="240" t="inlineStr">
        <is>
          <t>Validate the functionality of "Action Date" calendar on Document Quality Details page.</t>
        </is>
      </c>
      <c r="E175" s="240" t="inlineStr">
        <is>
          <t>1. Click Reporting in the page header.
2. Click Document Quality under Spreading.
3. Click the Action Date calendar.</t>
        </is>
      </c>
      <c r="F175" s="240" t="inlineStr">
        <is>
          <t>1. It should be a calendar on which start date and end date range can be selected.
2. The user should be able to re-select the date range.</t>
        </is>
      </c>
      <c r="G175" s="366" t="inlineStr">
        <is>
          <t>Pending</t>
        </is>
      </c>
      <c r="H175" s="240" t="inlineStr">
        <is>
          <t xml:space="preserve"> </t>
        </is>
      </c>
      <c r="I175" s="366" t="inlineStr">
        <is>
          <t>Done</t>
        </is>
      </c>
      <c r="J175" s="240" t="inlineStr">
        <is>
          <t xml:space="preserve"> </t>
        </is>
      </c>
      <c r="K175" s="259" t="inlineStr">
        <is>
          <t xml:space="preserve"> </t>
        </is>
      </c>
    </row>
    <row r="176" ht="51.75" customHeight="1">
      <c r="B176" s="258" t="inlineStr">
        <is>
          <t>Report_167</t>
        </is>
      </c>
      <c r="C176" s="250" t="inlineStr">
        <is>
          <t>Reporting &gt; Spreading tab &gt; Document Quality</t>
        </is>
      </c>
      <c r="D176" s="240" t="inlineStr">
        <is>
          <t>Validate the Financial Report Text Box on Document Quality Detail page.</t>
        </is>
      </c>
      <c r="E176" s="240" t="inlineStr">
        <is>
          <t>1. Click Reporting in the page header.
2. Click Document Quality under Spreading.
3. Click Financial Report Text Box.</t>
        </is>
      </c>
      <c r="F176" s="240" t="inlineStr">
        <is>
          <t>"Search by report" should be the default message on the textbox field.
The user should be able to write/delete text in the field.</t>
        </is>
      </c>
      <c r="G176" s="366" t="inlineStr">
        <is>
          <t>Pending</t>
        </is>
      </c>
      <c r="H176" s="240" t="inlineStr">
        <is>
          <t xml:space="preserve"> </t>
        </is>
      </c>
      <c r="I176" s="366" t="inlineStr">
        <is>
          <t>Done</t>
        </is>
      </c>
      <c r="J176" s="240" t="inlineStr">
        <is>
          <t xml:space="preserve"> </t>
        </is>
      </c>
      <c r="K176" s="259" t="inlineStr">
        <is>
          <t xml:space="preserve"> </t>
        </is>
      </c>
    </row>
    <row r="177" ht="64.5" customHeight="1">
      <c r="B177" s="258" t="inlineStr">
        <is>
          <t>Report_168</t>
        </is>
      </c>
      <c r="C177" s="250" t="inlineStr">
        <is>
          <t>Reporting &gt; Spreading tab &gt; Document Quality</t>
        </is>
      </c>
      <c r="D177" s="240" t="inlineStr">
        <is>
          <t>Validate the "Statement Date" calendar on Document Quality Detail page.</t>
        </is>
      </c>
      <c r="E177" s="240" t="inlineStr">
        <is>
          <t>1. Click Reporting in the page header.
2. Click Document Quality under Spreading.
3. Click the Statement Date calendar.</t>
        </is>
      </c>
      <c r="F177" s="240" t="inlineStr">
        <is>
          <t>Statement Date calendar should be clickable.
"Statement Date Range" should be the default message on the calendar.</t>
        </is>
      </c>
      <c r="G177" s="366" t="inlineStr">
        <is>
          <t>Pending</t>
        </is>
      </c>
      <c r="H177" s="240" t="inlineStr">
        <is>
          <t xml:space="preserve"> </t>
        </is>
      </c>
      <c r="I177" s="366" t="inlineStr">
        <is>
          <t>Done</t>
        </is>
      </c>
      <c r="J177" s="240" t="inlineStr">
        <is>
          <t xml:space="preserve"> </t>
        </is>
      </c>
      <c r="K177" s="259" t="inlineStr">
        <is>
          <t xml:space="preserve"> </t>
        </is>
      </c>
    </row>
    <row r="178" ht="51.75" customHeight="1">
      <c r="B178" s="258" t="inlineStr">
        <is>
          <t>Report_169</t>
        </is>
      </c>
      <c r="C178" s="250" t="inlineStr">
        <is>
          <t>Reporting &gt; Spreading tab &gt; Document Quality</t>
        </is>
      </c>
      <c r="D178" s="240" t="inlineStr">
        <is>
          <t>Validate the functionality of "Statement Date" calendar on Document Quality Detail page.</t>
        </is>
      </c>
      <c r="E178" s="240" t="inlineStr">
        <is>
          <t>1. Click Reporting in the page header.
2. Click Document Quality under Spreading.
3. Click the Action Date calendar.</t>
        </is>
      </c>
      <c r="F178" s="240" t="inlineStr">
        <is>
          <t>1. It should be a calendar on which start date and end date range can be selected.
2. The user should be able to re-select the date range.</t>
        </is>
      </c>
      <c r="G178" s="366" t="inlineStr">
        <is>
          <t>Pending</t>
        </is>
      </c>
      <c r="H178" s="240" t="inlineStr">
        <is>
          <t xml:space="preserve"> </t>
        </is>
      </c>
      <c r="I178" s="366" t="inlineStr">
        <is>
          <t>Done</t>
        </is>
      </c>
      <c r="J178" s="240" t="inlineStr">
        <is>
          <t xml:space="preserve"> </t>
        </is>
      </c>
      <c r="K178" s="259" t="inlineStr">
        <is>
          <t xml:space="preserve"> </t>
        </is>
      </c>
    </row>
    <row r="179" ht="64.5" customHeight="1">
      <c r="B179" s="258" t="inlineStr">
        <is>
          <t>Report_170</t>
        </is>
      </c>
      <c r="C179" s="250" t="inlineStr">
        <is>
          <t>Reporting &gt; Spreading tab &gt; Document Quality</t>
        </is>
      </c>
      <c r="D179" s="240" t="inlineStr">
        <is>
          <t>Validate the data in the "Access group" dropdown filters on Document Quality Detail page.</t>
        </is>
      </c>
      <c r="E179" s="240" t="inlineStr">
        <is>
          <t>1. Click Reporting in the page header.
2. Click Document Quality under Spreading.
3. Click Access group dropdown filter.</t>
        </is>
      </c>
      <c r="F179" s="240" t="inlineStr">
        <is>
          <t>"Select Group" should be the default message on the dropdown filter.
Data should be visible as per the groups assigned to logged in user.</t>
        </is>
      </c>
      <c r="G179" s="366" t="inlineStr">
        <is>
          <t>Pending</t>
        </is>
      </c>
      <c r="H179" s="240" t="inlineStr">
        <is>
          <t xml:space="preserve"> </t>
        </is>
      </c>
      <c r="I179" s="366" t="inlineStr">
        <is>
          <t>Done</t>
        </is>
      </c>
      <c r="J179" s="240" t="inlineStr">
        <is>
          <t xml:space="preserve"> </t>
        </is>
      </c>
      <c r="K179" s="259" t="inlineStr">
        <is>
          <t xml:space="preserve"> </t>
        </is>
      </c>
    </row>
    <row r="180" ht="90" customHeight="1">
      <c r="B180" s="258" t="inlineStr">
        <is>
          <t>Report_171</t>
        </is>
      </c>
      <c r="C180" s="250" t="inlineStr">
        <is>
          <t>Reporting &gt; Spreading tab &gt; Document Quality</t>
        </is>
      </c>
      <c r="D180" s="240" t="inlineStr">
        <is>
          <t>Validate the functionality of "Spread status" dropdown filters Document Quality Detail page.</t>
        </is>
      </c>
      <c r="E180" s="240" t="inlineStr">
        <is>
          <t>1. Click Reporting in the page header.
2. Click Document Quality under Spreading.
3. Click Access group dropdown filter.</t>
        </is>
      </c>
      <c r="F180" s="240" t="inlineStr">
        <is>
          <t>1. It should be single select dropdown filter.
2. Dropdown should have a search bar on top to search the group.
3. Dropdown should have a slider, if the list of the group is long.
4. A cross icon should appear against the selected group to unselect/clear the filter.</t>
        </is>
      </c>
      <c r="G180" s="366" t="inlineStr">
        <is>
          <t>Pending</t>
        </is>
      </c>
      <c r="H180" s="240" t="inlineStr">
        <is>
          <t xml:space="preserve"> </t>
        </is>
      </c>
      <c r="I180" s="366" t="inlineStr">
        <is>
          <t>Done</t>
        </is>
      </c>
      <c r="J180" s="240" t="inlineStr">
        <is>
          <t xml:space="preserve"> </t>
        </is>
      </c>
      <c r="K180" s="259" t="inlineStr">
        <is>
          <t xml:space="preserve"> </t>
        </is>
      </c>
    </row>
    <row r="181" ht="64.5" customHeight="1">
      <c r="B181" s="258" t="inlineStr">
        <is>
          <t>Report_172</t>
        </is>
      </c>
      <c r="C181" s="250" t="inlineStr">
        <is>
          <t>Reporting &gt; Spreading tab &gt; Document Quality</t>
        </is>
      </c>
      <c r="D181" s="240" t="inlineStr">
        <is>
          <t>Validate the Radio buttons on Document Quality Details page.</t>
        </is>
      </c>
      <c r="E181" s="240" t="inlineStr">
        <is>
          <t>1. Click Reporting in the page header.
2. Click Document Quality under Spreading.
3. Select any export format radio button.</t>
        </is>
      </c>
      <c r="F181" s="240" t="inlineStr">
        <is>
          <t>The export format selector should allow only one option to be selected at a time:
1. Excel
2. PDF
3. HTML</t>
        </is>
      </c>
      <c r="G181" s="366" t="inlineStr">
        <is>
          <t>Pending</t>
        </is>
      </c>
      <c r="H181" s="240" t="inlineStr">
        <is>
          <t xml:space="preserve"> </t>
        </is>
      </c>
      <c r="I181" s="366" t="inlineStr">
        <is>
          <t>Done</t>
        </is>
      </c>
      <c r="J181" s="240" t="inlineStr">
        <is>
          <t xml:space="preserve"> </t>
        </is>
      </c>
      <c r="K181" s="259" t="inlineStr">
        <is>
          <t xml:space="preserve"> </t>
        </is>
      </c>
    </row>
    <row r="182" ht="64.5" customHeight="1">
      <c r="B182" s="258" t="inlineStr">
        <is>
          <t>Report_173</t>
        </is>
      </c>
      <c r="C182" s="250" t="inlineStr">
        <is>
          <t>Reporting &gt; Spreading tab &gt; Document Quality</t>
        </is>
      </c>
      <c r="D182" s="240" t="inlineStr">
        <is>
          <t>Validate the "Information" button on Document Quality Details page.</t>
        </is>
      </c>
      <c r="E182" s="240" t="inlineStr">
        <is>
          <t>1. Click Reporting in the page header.
2. Click Document Quality under Spreading.
3. Click the Information button.</t>
        </is>
      </c>
      <c r="F182" s="240" t="inlineStr">
        <is>
          <t>1. The Information button should be clickable.
2. Clicking the Information button should open a pop-up message.
3. The pop-up should include a Close button.</t>
        </is>
      </c>
      <c r="G182" s="366" t="inlineStr">
        <is>
          <t>Pending</t>
        </is>
      </c>
      <c r="H182" s="240" t="inlineStr">
        <is>
          <t xml:space="preserve"> </t>
        </is>
      </c>
      <c r="I182" s="366" t="inlineStr">
        <is>
          <t>Done</t>
        </is>
      </c>
      <c r="J182" s="240" t="inlineStr">
        <is>
          <t xml:space="preserve"> </t>
        </is>
      </c>
      <c r="K182" s="259" t="inlineStr">
        <is>
          <t xml:space="preserve"> </t>
        </is>
      </c>
    </row>
    <row r="183" ht="51.75" customHeight="1">
      <c r="B183" s="258" t="inlineStr">
        <is>
          <t>Report_174</t>
        </is>
      </c>
      <c r="C183" s="250" t="inlineStr">
        <is>
          <t>Reporting &gt; Spreading tab &gt; Document Quality</t>
        </is>
      </c>
      <c r="D183" s="240" t="inlineStr">
        <is>
          <t>Validate the "Refresh" button on Document Quality Details page.</t>
        </is>
      </c>
      <c r="E183" s="240" t="inlineStr">
        <is>
          <t>1. Click Reporting in the page header.
2. Click Document Quality under Spreading.
3. Click the Refresh button.</t>
        </is>
      </c>
      <c r="F183" s="240" t="inlineStr">
        <is>
          <t>1. The Refresh button should be clickable.
2. Clicking Refresh should clear all selected filters.</t>
        </is>
      </c>
      <c r="G183" s="366" t="inlineStr">
        <is>
          <t>Pending</t>
        </is>
      </c>
      <c r="H183" s="240" t="inlineStr">
        <is>
          <t xml:space="preserve"> </t>
        </is>
      </c>
      <c r="I183" s="366" t="inlineStr">
        <is>
          <t>Done</t>
        </is>
      </c>
      <c r="J183" s="240" t="inlineStr">
        <is>
          <t xml:space="preserve"> </t>
        </is>
      </c>
      <c r="K183" s="259" t="inlineStr">
        <is>
          <t xml:space="preserve"> </t>
        </is>
      </c>
    </row>
    <row r="184" ht="51.75" customHeight="1">
      <c r="B184" s="258" t="inlineStr">
        <is>
          <t>Report_175</t>
        </is>
      </c>
      <c r="C184" s="250" t="inlineStr">
        <is>
          <t>Reporting &gt; Spreading tab &gt; Document Quality</t>
        </is>
      </c>
      <c r="D184" s="240" t="inlineStr">
        <is>
          <t>Validate the "Generate Report" button on Document Quality Details page.</t>
        </is>
      </c>
      <c r="E184" s="240" t="inlineStr">
        <is>
          <t>1. Click Reporting in the page header.
2. Click Document Quality under Spreading.
3. Click the Generate Report button.</t>
        </is>
      </c>
      <c r="F184" s="240" t="inlineStr">
        <is>
          <t>1. The Generate Report button should be clickable.
2. Clicking Generate Report should generate the report in the selected format.</t>
        </is>
      </c>
      <c r="G184" s="366" t="inlineStr">
        <is>
          <t>Pending</t>
        </is>
      </c>
      <c r="H184" s="240" t="inlineStr">
        <is>
          <t xml:space="preserve"> </t>
        </is>
      </c>
      <c r="I184" s="366" t="inlineStr">
        <is>
          <t>Done</t>
        </is>
      </c>
      <c r="J184" s="240" t="inlineStr">
        <is>
          <t xml:space="preserve"> </t>
        </is>
      </c>
      <c r="K184" s="259" t="inlineStr">
        <is>
          <t xml:space="preserve"> </t>
        </is>
      </c>
    </row>
    <row r="185" ht="141" customHeight="1">
      <c r="B185" s="258" t="inlineStr">
        <is>
          <t>Report_176</t>
        </is>
      </c>
      <c r="C185" s="250" t="inlineStr">
        <is>
          <t>Reporting &gt; Spreading tab &gt; Document Quality</t>
        </is>
      </c>
      <c r="D185" s="240" t="inlineStr">
        <is>
          <t>Validate "Document Quality Details" report without making any selection in the filters.</t>
        </is>
      </c>
      <c r="E185" s="240" t="inlineStr">
        <is>
          <t>1. Click Reporting in the page header.
2. Document Quality under spreading.
3. Click Generate Report.</t>
        </is>
      </c>
      <c r="F185" s="240" t="inlineStr">
        <is>
          <t>Spreading Details report should be generated with the below mentioned columns:
Sr. No.
Financial Statement Name.
Access Group.
Customer Name.
Statement Date.
Quality of Report.
DPI Value.
Time Taken.
Action Date/time.</t>
        </is>
      </c>
      <c r="G185" s="366" t="inlineStr">
        <is>
          <t>Pending</t>
        </is>
      </c>
      <c r="H185" s="240" t="inlineStr">
        <is>
          <t xml:space="preserve"> </t>
        </is>
      </c>
      <c r="I185" s="366" t="inlineStr">
        <is>
          <t>Done</t>
        </is>
      </c>
      <c r="J185" s="240" t="inlineStr">
        <is>
          <t xml:space="preserve"> </t>
        </is>
      </c>
      <c r="K185" s="259" t="inlineStr">
        <is>
          <t xml:space="preserve"> </t>
        </is>
      </c>
    </row>
    <row r="186" ht="64.5" customHeight="1">
      <c r="B186" s="258" t="inlineStr">
        <is>
          <t>Report_177</t>
        </is>
      </c>
      <c r="C186" s="250" t="inlineStr">
        <is>
          <t>Reporting &gt; Spreading tab &gt; Document Quality</t>
        </is>
      </c>
      <c r="D186" s="240" t="inlineStr">
        <is>
          <t>Validate the report on updating the following values in system.
1. Financial Statement name.
2. Access Group.
3. Customer Name.</t>
        </is>
      </c>
      <c r="E186" s="240" t="inlineStr">
        <is>
          <t>1. Click Reporting in the page header.
2. Document Quality under spreading.
3. Click Generate Report.</t>
        </is>
      </c>
      <c r="F186" s="240" t="inlineStr">
        <is>
          <t>Updated values should be reflected in the respective columns of DPI Detail Report.</t>
        </is>
      </c>
      <c r="G186" s="366" t="inlineStr">
        <is>
          <t>Pending</t>
        </is>
      </c>
      <c r="H186" s="240" t="inlineStr">
        <is>
          <t xml:space="preserve"> </t>
        </is>
      </c>
      <c r="I186" s="366" t="inlineStr">
        <is>
          <t>Pending</t>
        </is>
      </c>
      <c r="J186" s="240" t="n">
        <v>1</v>
      </c>
      <c r="K186" s="259" t="inlineStr">
        <is>
          <t xml:space="preserve"> </t>
        </is>
      </c>
    </row>
    <row r="187" ht="77.25" customHeight="1">
      <c r="B187" s="258" t="inlineStr">
        <is>
          <t>Report_178</t>
        </is>
      </c>
      <c r="C187" s="250" t="inlineStr">
        <is>
          <t>Reporting &gt; Spreading tab &gt; Document Quality</t>
        </is>
      </c>
      <c r="D187" s="240" t="inlineStr">
        <is>
          <t>Validate "Document Quality Details" report after selecting all the filters.</t>
        </is>
      </c>
      <c r="E187" s="240" t="inlineStr">
        <is>
          <t>1. Click reporting on the page header.
2. Click Document Quality under Spreading.
3. Select all required filters.
4. Click Generate Report.</t>
        </is>
      </c>
      <c r="F187" s="240" t="inlineStr">
        <is>
          <t>The Spreading Details report should be generated based on the selected filters.</t>
        </is>
      </c>
      <c r="G187" s="366" t="inlineStr">
        <is>
          <t>Pending</t>
        </is>
      </c>
      <c r="H187" s="240" t="inlineStr">
        <is>
          <t xml:space="preserve"> </t>
        </is>
      </c>
      <c r="I187" s="366" t="inlineStr">
        <is>
          <t>Done</t>
        </is>
      </c>
      <c r="J187" s="240" t="inlineStr">
        <is>
          <t xml:space="preserve"> </t>
        </is>
      </c>
      <c r="K187" s="259" t="inlineStr">
        <is>
          <t xml:space="preserve"> </t>
        </is>
      </c>
    </row>
    <row r="188" ht="77.25" customHeight="1">
      <c r="B188" s="258" t="inlineStr">
        <is>
          <t>Report_179</t>
        </is>
      </c>
      <c r="C188" s="250" t="inlineStr">
        <is>
          <t>Reporting &gt; Spreading tab &gt; Document Quality</t>
        </is>
      </c>
      <c r="D188" s="240" t="inlineStr">
        <is>
          <t>Validate "Document Quality Details" report after selecting a combination of filters.
1. Group.
2. Analyst Name.</t>
        </is>
      </c>
      <c r="E188" s="240" t="inlineStr">
        <is>
          <t>1. Click reporting on the page header.
2. Click Document Quality under Spreading.
3. Select all required filters.
4. Click Generate Report.</t>
        </is>
      </c>
      <c r="F188" s="240" t="inlineStr">
        <is>
          <t>The Spreading Details report should be generated based on the selected filters.</t>
        </is>
      </c>
      <c r="G188" s="366" t="inlineStr">
        <is>
          <t>Pending</t>
        </is>
      </c>
      <c r="H188" s="240" t="inlineStr">
        <is>
          <t xml:space="preserve"> </t>
        </is>
      </c>
      <c r="I188" s="366" t="inlineStr">
        <is>
          <t>Pending</t>
        </is>
      </c>
      <c r="J188" s="240" t="n">
        <v>1</v>
      </c>
      <c r="K188" s="259" t="inlineStr">
        <is>
          <t xml:space="preserve"> </t>
        </is>
      </c>
    </row>
    <row r="189" ht="77.25" customHeight="1">
      <c r="B189" s="258" t="inlineStr">
        <is>
          <t>Report_180</t>
        </is>
      </c>
      <c r="C189" s="250" t="inlineStr">
        <is>
          <t>Reporting &gt; Spreading tab &gt; Document Quality</t>
        </is>
      </c>
      <c r="D189" s="240" t="inlineStr">
        <is>
          <t>Validate "Document Quality Details" report after selecting a combination of filters.
1. Group.
2. Customer Name.</t>
        </is>
      </c>
      <c r="E189" s="240" t="inlineStr">
        <is>
          <t>1. Click reporting on the page header.
2. Click Document Quality under Spreading.
3. Select all required filters.
4. Click Generate Report.</t>
        </is>
      </c>
      <c r="F189" s="240" t="inlineStr">
        <is>
          <t>The Spreading Details report should be generated based on the selected filters.</t>
        </is>
      </c>
      <c r="G189" s="366" t="inlineStr">
        <is>
          <t>Pending</t>
        </is>
      </c>
      <c r="H189" s="240" t="inlineStr">
        <is>
          <t xml:space="preserve"> </t>
        </is>
      </c>
      <c r="I189" s="366" t="inlineStr">
        <is>
          <t>Pending</t>
        </is>
      </c>
      <c r="J189" s="240" t="n">
        <v>1</v>
      </c>
      <c r="K189" s="259" t="inlineStr">
        <is>
          <t xml:space="preserve"> </t>
        </is>
      </c>
    </row>
    <row r="190" ht="77.25" customHeight="1">
      <c r="B190" s="258" t="inlineStr">
        <is>
          <t>Report_181</t>
        </is>
      </c>
      <c r="C190" s="250" t="inlineStr">
        <is>
          <t>Reporting &gt; Spreading tab &gt; Document Quality</t>
        </is>
      </c>
      <c r="D190" s="240" t="inlineStr">
        <is>
          <t>Validate "Document Quality Details" report after selecting a combination of filters.
1. Group.
2. Model.
3. Action Date.</t>
        </is>
      </c>
      <c r="E190" s="240" t="inlineStr">
        <is>
          <t>1. Click reporting on the page header.
2. Click Document Quality under Spreading.
3. Select all required filters.
4. Click Generate Report.</t>
        </is>
      </c>
      <c r="F190" s="240" t="inlineStr">
        <is>
          <t>The Spreading Details report should be generated based on the selected filters.</t>
        </is>
      </c>
      <c r="G190" s="366" t="inlineStr">
        <is>
          <t>Pending</t>
        </is>
      </c>
      <c r="H190" s="240" t="inlineStr">
        <is>
          <t xml:space="preserve"> </t>
        </is>
      </c>
      <c r="I190" s="366" t="inlineStr">
        <is>
          <t>Pending</t>
        </is>
      </c>
      <c r="J190" s="240" t="n">
        <v>1</v>
      </c>
      <c r="K190" s="259" t="inlineStr">
        <is>
          <t xml:space="preserve"> </t>
        </is>
      </c>
    </row>
    <row r="191" ht="77.25" customHeight="1">
      <c r="B191" s="258" t="inlineStr">
        <is>
          <t>Report_182</t>
        </is>
      </c>
      <c r="C191" s="250" t="inlineStr">
        <is>
          <t>Reporting &gt; Spreading tab &gt; Document Quality</t>
        </is>
      </c>
      <c r="D191" s="240" t="inlineStr">
        <is>
          <t>Validate "Document Quality Details" report after selecting a combination of filters.
1. Spread status.
2. Spread type.</t>
        </is>
      </c>
      <c r="E191" s="240" t="inlineStr">
        <is>
          <t>1. Click reporting on the page header.
2. Click Document Quality under Spreading.
3. Select all required filters.
4. Click Generate Report.</t>
        </is>
      </c>
      <c r="F191" s="240" t="inlineStr">
        <is>
          <t>The Spreading Details report should be generated based on the selected filters.</t>
        </is>
      </c>
      <c r="G191" s="366" t="inlineStr">
        <is>
          <t>Pending</t>
        </is>
      </c>
      <c r="H191" s="240" t="inlineStr">
        <is>
          <t xml:space="preserve"> </t>
        </is>
      </c>
      <c r="I191" s="366" t="inlineStr">
        <is>
          <t>Pending</t>
        </is>
      </c>
      <c r="J191" s="240" t="n">
        <v>1</v>
      </c>
      <c r="K191" s="259" t="inlineStr">
        <is>
          <t xml:space="preserve"> </t>
        </is>
      </c>
    </row>
    <row r="192" ht="77.25" customHeight="1">
      <c r="B192" s="258" t="inlineStr">
        <is>
          <t>Report_183</t>
        </is>
      </c>
      <c r="C192" s="250" t="inlineStr">
        <is>
          <t>Reporting &gt; Spreading tab &gt; Document Quality</t>
        </is>
      </c>
      <c r="D192" s="240" t="inlineStr">
        <is>
          <t>Validate "Document Quality Details" report after selecting a combination of filters.
1. Spread status.
2. Spread type.
3. Customer Name.</t>
        </is>
      </c>
      <c r="E192" s="240" t="inlineStr">
        <is>
          <t>1. Click reporting on the page header.
2. Click Document Quality under Spreading.
3. Select all required filters.
4. Click Generate Report.</t>
        </is>
      </c>
      <c r="F192" s="240" t="inlineStr">
        <is>
          <t>The Spreading Details report should be generated based on the selected filters.</t>
        </is>
      </c>
      <c r="G192" s="366" t="inlineStr">
        <is>
          <t>Pending</t>
        </is>
      </c>
      <c r="H192" s="240" t="inlineStr">
        <is>
          <t xml:space="preserve"> </t>
        </is>
      </c>
      <c r="I192" s="366" t="inlineStr">
        <is>
          <t>Pending</t>
        </is>
      </c>
      <c r="J192" s="240" t="n">
        <v>1</v>
      </c>
      <c r="K192" s="259" t="inlineStr">
        <is>
          <t xml:space="preserve"> </t>
        </is>
      </c>
    </row>
    <row r="193" ht="77.25" customHeight="1">
      <c r="B193" s="258" t="inlineStr">
        <is>
          <t>Report_184</t>
        </is>
      </c>
      <c r="C193" s="250" t="inlineStr">
        <is>
          <t>Reporting &gt; Spreading tab &gt; Document Quality</t>
        </is>
      </c>
      <c r="D193" s="244" t="inlineStr">
        <is>
          <t>Validate "Document Quality Details" report after selecting a combination of filters.
1. Group.
2. Customer Name.
3. Statement Date.</t>
        </is>
      </c>
      <c r="E193" s="244" t="inlineStr">
        <is>
          <t>1. Click reporting on the page header.
2. Click Document Quality under Spreading.
3. Select all required filters.
4. Click Generate Report.</t>
        </is>
      </c>
      <c r="F193" s="244" t="inlineStr">
        <is>
          <t>The Spreading Details report should be generated based on the selected filters.</t>
        </is>
      </c>
      <c r="G193" s="366" t="inlineStr">
        <is>
          <t>Pending</t>
        </is>
      </c>
      <c r="H193" s="240" t="inlineStr">
        <is>
          <t xml:space="preserve"> 138914</t>
        </is>
      </c>
      <c r="I193" s="366" t="inlineStr">
        <is>
          <t>Pending</t>
        </is>
      </c>
      <c r="J193" s="240" t="n"/>
      <c r="K193" s="259" t="n"/>
    </row>
    <row r="194" ht="77.25" customHeight="1">
      <c r="B194" s="258" t="inlineStr">
        <is>
          <t>Report_185</t>
        </is>
      </c>
      <c r="C194" s="250" t="inlineStr">
        <is>
          <t>Reporting &gt; Spreading tab &gt; Document Quality</t>
        </is>
      </c>
      <c r="D194" s="244" t="inlineStr">
        <is>
          <t>Validate "Document Quality Details" report after selecting a combination of filters.
1. Group.
2. Financial Report.
3. Customer Name.</t>
        </is>
      </c>
      <c r="E194" s="244" t="inlineStr">
        <is>
          <t>1. Click reporting on the page header.
2. Click Document Quality under Spreading.
3. Select all required filters.
4. Click Generate Report.</t>
        </is>
      </c>
      <c r="F194" s="244" t="inlineStr">
        <is>
          <t>The Spreading Details report should be generated based on the selected filters.</t>
        </is>
      </c>
      <c r="G194" s="366" t="inlineStr">
        <is>
          <t>Pending</t>
        </is>
      </c>
      <c r="H194" s="240" t="n"/>
      <c r="I194" s="366" t="inlineStr">
        <is>
          <t>Pending</t>
        </is>
      </c>
      <c r="J194" s="240" t="n"/>
      <c r="K194" s="259" t="n"/>
    </row>
    <row r="195" ht="90" customHeight="1">
      <c r="B195" s="258" t="inlineStr">
        <is>
          <t>Report_186</t>
        </is>
      </c>
      <c r="C195" s="250" t="inlineStr">
        <is>
          <t>Reporting &gt; Spreading tab &gt; Document Quality</t>
        </is>
      </c>
      <c r="D195" s="240" t="inlineStr">
        <is>
          <t>Validate the "Document Quality Details" report in "Excel" format.</t>
        </is>
      </c>
      <c r="E195" s="240" t="inlineStr">
        <is>
          <t>1. Click reporting on the page header.
2. Click Document Quality under Spreading.
3. Select all required filters.
4. Select excel type radio button.
5. Click Generate Report.</t>
        </is>
      </c>
      <c r="F195" s="240" t="inlineStr">
        <is>
          <t>The report should be generated in Excel format.</t>
        </is>
      </c>
      <c r="G195" s="366" t="inlineStr">
        <is>
          <t>Pending</t>
        </is>
      </c>
      <c r="H195" s="240" t="inlineStr">
        <is>
          <t xml:space="preserve"> </t>
        </is>
      </c>
      <c r="I195" s="366" t="inlineStr">
        <is>
          <t>Done</t>
        </is>
      </c>
      <c r="J195" s="240" t="inlineStr">
        <is>
          <t xml:space="preserve"> </t>
        </is>
      </c>
      <c r="K195" s="259" t="inlineStr">
        <is>
          <t xml:space="preserve"> </t>
        </is>
      </c>
    </row>
    <row r="196" ht="90" customHeight="1">
      <c r="B196" s="258" t="inlineStr">
        <is>
          <t>Report_187</t>
        </is>
      </c>
      <c r="C196" s="250" t="inlineStr">
        <is>
          <t>Reporting &gt; Spreading tab &gt; Document Quality</t>
        </is>
      </c>
      <c r="D196" s="240" t="inlineStr">
        <is>
          <t>Validate the "Document Quality Details" report in "PDF" format.</t>
        </is>
      </c>
      <c r="E196" s="240" t="inlineStr">
        <is>
          <t>1. Click reporting on the page header.
2. Click Document Quality under Spreading.
3. Select all required filters.
4. Select PDF type radio button.
5. Click Generate Report.</t>
        </is>
      </c>
      <c r="F196" s="240" t="inlineStr">
        <is>
          <t>The report should be generated in PDF format.</t>
        </is>
      </c>
      <c r="G196" s="366" t="inlineStr">
        <is>
          <t>Pending</t>
        </is>
      </c>
      <c r="H196" s="240" t="inlineStr">
        <is>
          <t xml:space="preserve"> </t>
        </is>
      </c>
      <c r="I196" s="366" t="inlineStr">
        <is>
          <t>Done</t>
        </is>
      </c>
      <c r="J196" s="240" t="inlineStr">
        <is>
          <t xml:space="preserve"> </t>
        </is>
      </c>
      <c r="K196" s="259" t="inlineStr">
        <is>
          <t xml:space="preserve"> </t>
        </is>
      </c>
    </row>
    <row r="197" ht="90" customHeight="1">
      <c r="B197" s="258" t="inlineStr">
        <is>
          <t>Report_188</t>
        </is>
      </c>
      <c r="C197" s="250" t="inlineStr">
        <is>
          <t>Reporting &gt; Spreading tab &gt; Document Quality</t>
        </is>
      </c>
      <c r="D197" s="240" t="inlineStr">
        <is>
          <t>Validate the "Document Quality Details" report in "HTML" format.</t>
        </is>
      </c>
      <c r="E197" s="240" t="inlineStr">
        <is>
          <t>1. Click reporting on the page header.
2. Click Document Quality under Spreading.
3. Select all required filters.
4. Select HTML type radio button.
5. Click Generate Report.</t>
        </is>
      </c>
      <c r="F197" s="240" t="inlineStr">
        <is>
          <t>The report should be generated in HTML format.</t>
        </is>
      </c>
      <c r="G197" s="366" t="inlineStr">
        <is>
          <t>Pending</t>
        </is>
      </c>
      <c r="H197" s="240" t="inlineStr">
        <is>
          <t xml:space="preserve"> </t>
        </is>
      </c>
      <c r="I197" s="366" t="inlineStr">
        <is>
          <t>Done</t>
        </is>
      </c>
      <c r="J197" s="240" t="inlineStr">
        <is>
          <t xml:space="preserve"> </t>
        </is>
      </c>
      <c r="K197" s="259" t="inlineStr">
        <is>
          <t xml:space="preserve"> </t>
        </is>
      </c>
    </row>
    <row r="198" ht="153.75" customHeight="1">
      <c r="B198" s="258" t="inlineStr">
        <is>
          <t>Report_175</t>
        </is>
      </c>
      <c r="C198" s="251" t="inlineStr">
        <is>
          <t>Reporting &gt; Audit Log Tab &gt; Audit Log for Customer Item</t>
        </is>
      </c>
      <c r="D198" s="235" t="inlineStr">
        <is>
          <t>Validate the Audit Log for Customer Item page.</t>
        </is>
      </c>
      <c r="E198" s="235" t="inlineStr">
        <is>
          <t>1. Log in to the Spreadsmart application.
2. Click Reporting in the page header.
3. Click the Audit Log for Customer Item sub-tab under the Audit Log tab.</t>
        </is>
      </c>
      <c r="F198" s="235" t="inlineStr">
        <is>
          <t>Audit Log for Customer Item page should have below mentioned components:
1. Customer Name filter dropdown.
2. Frequency filter dropdown.
3. Analyst Name filter dropdown.
4. Statement Date Calendar.
5. Audit Method filter dropdown.
6. Customer ID filter dropdown.
7. Format type radio buttons.
8. Information button.
9. Refresh button.
10. Generate Report button.</t>
        </is>
      </c>
      <c r="G198" s="366" t="inlineStr">
        <is>
          <t>Passed</t>
        </is>
      </c>
      <c r="H198" s="240" t="inlineStr">
        <is>
          <t xml:space="preserve"> </t>
        </is>
      </c>
      <c r="I198" s="366" t="inlineStr">
        <is>
          <t>Pending</t>
        </is>
      </c>
      <c r="J198" s="240" t="n">
        <v>1</v>
      </c>
      <c r="K198" s="259" t="inlineStr">
        <is>
          <t xml:space="preserve"> </t>
        </is>
      </c>
    </row>
    <row r="199" ht="105" customHeight="1">
      <c r="B199" s="258" t="inlineStr">
        <is>
          <t>Report_176</t>
        </is>
      </c>
      <c r="C199" s="251" t="inlineStr">
        <is>
          <t>Reporting &gt; Audit Log Tab &gt; Audit Log for Customer Item</t>
        </is>
      </c>
      <c r="D199" s="212" t="inlineStr">
        <is>
          <t>Validate the data in the Customer Name dropdown filters on "Audit Log for Customer Item" page.</t>
        </is>
      </c>
      <c r="E199" s="212" t="inlineStr">
        <is>
          <t>1. Log in to the Spreadsmart application.
2. Click Reporting in the page header.
3. Click the Audit Log for Customer Item sub-tab under the Audit Log tab.</t>
        </is>
      </c>
      <c r="F199" s="212" t="inlineStr">
        <is>
          <t>"Select customer" name should be the default message on the dropdown filter.
Data should contains the list of all the customers as per the logged in user.</t>
        </is>
      </c>
      <c r="G199" s="366" t="inlineStr">
        <is>
          <t>Pending</t>
        </is>
      </c>
      <c r="H199" s="240" t="n"/>
      <c r="I199" s="366" t="inlineStr">
        <is>
          <t>Pending</t>
        </is>
      </c>
      <c r="J199" s="3" t="n"/>
      <c r="K199" s="55" t="n"/>
    </row>
    <row r="200" ht="105" customHeight="1">
      <c r="B200" s="258" t="inlineStr">
        <is>
          <t>Report_177</t>
        </is>
      </c>
      <c r="C200" s="251" t="inlineStr">
        <is>
          <t>Reporting &gt; Audit Log Tab &gt; Audit Log for Customer Item</t>
        </is>
      </c>
      <c r="D200" s="212" t="inlineStr">
        <is>
          <t>Validate a Customer in Customer Name dropdown filters on "Audit Log for Customer Item" page and "Audit Log for Customer Item" report on giving access to logged in user.</t>
        </is>
      </c>
      <c r="E200" s="212" t="inlineStr">
        <is>
          <t>1. Log in to the Spreadsmart application.
2. Click Reporting in the page header.
3. Click the Audit Log for Customer Item sub-tab under the Audit Log tab.</t>
        </is>
      </c>
      <c r="F200" s="212" t="inlineStr">
        <is>
          <t>When giving access to logged in user, Customer should be visible in.
1. Customer Name dropdown filter.
2. Customer Name column on "Audit Log for Customer Item" report.</t>
        </is>
      </c>
      <c r="G200" s="366" t="inlineStr">
        <is>
          <t>Pending</t>
        </is>
      </c>
      <c r="H200" s="240" t="n"/>
      <c r="I200" s="366" t="inlineStr">
        <is>
          <t>Pending</t>
        </is>
      </c>
      <c r="J200" s="3" t="n"/>
      <c r="K200" s="55" t="n"/>
    </row>
    <row r="201" ht="105" customHeight="1">
      <c r="B201" s="258" t="inlineStr">
        <is>
          <t>Report_178</t>
        </is>
      </c>
      <c r="C201" s="251" t="inlineStr">
        <is>
          <t>Reporting &gt; Audit Log Tab &gt; Audit Log for Customer Item</t>
        </is>
      </c>
      <c r="D201" s="212" t="inlineStr">
        <is>
          <t>Validate Customer in Customer Name dropdown filters on "Audit Log for Customer Item" page and "Audit Log for Customer Item" report on revoking access from logged in user.</t>
        </is>
      </c>
      <c r="E201" s="212" t="inlineStr">
        <is>
          <t>1. Log in to the Spreadsmart application.
2. Click Reporting in the page header.
3. Click the Audit Log for Customer Item sub-tab under the Audit Log tab.</t>
        </is>
      </c>
      <c r="F201" s="212" t="inlineStr">
        <is>
          <t>When revoking access from logged in user, Customer should not be visible in.
1. Customer Name dropdown filter.
2. Customer Name column on "Audit Log for Customer Item" report.</t>
        </is>
      </c>
      <c r="G201" s="366" t="inlineStr">
        <is>
          <t>Pending</t>
        </is>
      </c>
      <c r="H201" s="240" t="n"/>
      <c r="I201" s="366" t="inlineStr">
        <is>
          <t>Pending</t>
        </is>
      </c>
      <c r="J201" s="3" t="n"/>
      <c r="K201" s="55" t="n"/>
    </row>
    <row r="202" ht="150" customHeight="1">
      <c r="B202" s="258" t="inlineStr">
        <is>
          <t>Report_179</t>
        </is>
      </c>
      <c r="C202" s="251" t="inlineStr">
        <is>
          <t>Reporting &gt; Audit Log Tab &gt; Audit Log for Customer Item</t>
        </is>
      </c>
      <c r="D202" s="212" t="inlineStr">
        <is>
          <t>Validate the functionality of Customer Name dropdown filters on "Audit Log for Customer Item" page.</t>
        </is>
      </c>
      <c r="E202" s="212" t="inlineStr">
        <is>
          <t>1. Log in to the Spreadsmart application.
2. Click Reporting in the page header.
3. Click the Audit Log for Customer Item sub-tab under the Audit Log tab.</t>
        </is>
      </c>
      <c r="F202" s="212" t="inlineStr">
        <is>
          <t>1. It should be a Multi select dropdown filter.
2. Dropdown should have a search bar to search the customer.
3. Dropdown should have a slider, if the list of the customer is long.
4. Selection/un select can be done by checking/unchecking checkbox against all Customer Names.
5. Complete selection can be de-selected by clicking on "Clear Selection".</t>
        </is>
      </c>
      <c r="G202" s="366" t="inlineStr">
        <is>
          <t>Pending</t>
        </is>
      </c>
      <c r="H202" s="240" t="n"/>
      <c r="I202" s="366" t="inlineStr">
        <is>
          <t>Pending</t>
        </is>
      </c>
      <c r="J202" s="3" t="n"/>
      <c r="K202" s="55" t="n"/>
    </row>
    <row r="203" ht="195" customHeight="1">
      <c r="B203" s="258" t="inlineStr">
        <is>
          <t>Report_180</t>
        </is>
      </c>
      <c r="C203" s="251" t="inlineStr">
        <is>
          <t>Reporting &gt; Audit Log Tab &gt; Audit Log for Customer Item</t>
        </is>
      </c>
      <c r="D203" s="212" t="inlineStr">
        <is>
          <t>Validate the data in the "Frequency" dropdown filters on "Audit Log for Customer Item" page.</t>
        </is>
      </c>
      <c r="E203" s="212" t="inlineStr">
        <is>
          <t>1. Log in to the Spreadsmart application.
2. Click Reporting in the page header.
3. Click the Audit Log for Customer Item sub-tab under the Audit Log tab.
4. Click Frequency dropdown filter.</t>
        </is>
      </c>
      <c r="F203" s="212" t="inlineStr">
        <is>
          <t>"Select Frequency(s)" should be the default message in the dropdown filter.
The dropdown should contain the following frequency options:
1. Annual
2. Bi-Annual
3. Bi-Monthly
4. Bi-Weekly
5. Custom
6. Monthly
7. Quarterly
8. Semi-Annual
9. Weekly</t>
        </is>
      </c>
      <c r="G203" s="366" t="inlineStr">
        <is>
          <t>Pending</t>
        </is>
      </c>
      <c r="H203" s="240" t="n"/>
      <c r="I203" s="366" t="inlineStr">
        <is>
          <t>Pending</t>
        </is>
      </c>
      <c r="J203" s="3" t="n"/>
      <c r="K203" s="55" t="n"/>
    </row>
    <row r="204" ht="135" customHeight="1">
      <c r="B204" s="258" t="inlineStr">
        <is>
          <t>Report_181</t>
        </is>
      </c>
      <c r="C204" s="251" t="inlineStr">
        <is>
          <t>Reporting &gt; Audit Log Tab &gt; Audit Log for Customer Item</t>
        </is>
      </c>
      <c r="D204" s="212" t="inlineStr">
        <is>
          <t>Validate the functionality of "Frequency" dropdown filters on "Audit Log for Customer Item" page.</t>
        </is>
      </c>
      <c r="E204" s="212" t="inlineStr">
        <is>
          <t>1. Log in to the Spreadsmart application.
2. Click Reporting in the page header.
3. Click the Audit Log for Customer Item sub-tab under the Audit Log tab.
4. Click Frequency dropdown filter.</t>
        </is>
      </c>
      <c r="F204" s="212" t="inlineStr">
        <is>
          <t>1. It should be a Multi select dropdown filter.
2. Dropdown should have a search bar to search the frequency.
3. Dropdown should have a check box to select all the frequency at a time.
4. Selection/un select can be done by checking/unchecking checkbox against all frequencies.</t>
        </is>
      </c>
      <c r="G204" s="366" t="inlineStr">
        <is>
          <t>Pending</t>
        </is>
      </c>
      <c r="H204" s="240" t="n"/>
      <c r="I204" s="366" t="inlineStr">
        <is>
          <t>Pending</t>
        </is>
      </c>
      <c r="J204" s="3" t="n"/>
      <c r="K204" s="55" t="n"/>
    </row>
    <row r="205" ht="135" customHeight="1">
      <c r="B205" s="258" t="inlineStr">
        <is>
          <t>Report_182</t>
        </is>
      </c>
      <c r="C205" s="251" t="inlineStr">
        <is>
          <t>Reporting &gt; Audit Log Tab &gt; Audit Log for Customer Item</t>
        </is>
      </c>
      <c r="D205" s="212" t="inlineStr">
        <is>
          <t>Validate the data in the Analyst Name dropdown filters on "Audit Log for Customer Item" page.</t>
        </is>
      </c>
      <c r="E205" s="212" t="inlineStr">
        <is>
          <t>1. Log in to the Spreadsmart application.
2. Click Reporting in the page header.
3. Click the Audit Log for Customer Item sub-tab under the Audit Log tab.
4. Click Analyst Name dropdown filter.</t>
        </is>
      </c>
      <c r="F205" s="212" t="inlineStr">
        <is>
          <t>"Select Analyst(s)" should be the default message on the dropdown filter, data should contains the list of all the analysts.</t>
        </is>
      </c>
      <c r="G205" s="366" t="inlineStr">
        <is>
          <t>Pending</t>
        </is>
      </c>
      <c r="H205" s="240" t="n"/>
      <c r="I205" s="366" t="inlineStr">
        <is>
          <t>Pending</t>
        </is>
      </c>
      <c r="J205" s="3" t="n"/>
      <c r="K205" s="55" t="n"/>
    </row>
    <row r="206" ht="135" customHeight="1">
      <c r="B206" s="258" t="inlineStr">
        <is>
          <t>Report_183</t>
        </is>
      </c>
      <c r="C206" s="251" t="inlineStr">
        <is>
          <t>Reporting &gt; Audit Log Tab &gt; Audit Log for Customer Item</t>
        </is>
      </c>
      <c r="D206" s="212" t="inlineStr">
        <is>
          <t>Validate newly added Analyst in Analyst Name dropdown filters on "Audit Log for Customer Item" page and "Audit Log for Customer Item" report on giving access to logged in user.</t>
        </is>
      </c>
      <c r="E206" s="212" t="inlineStr">
        <is>
          <t>1. Log in to the Spreadsmart application.
2. Click Reporting in the page header.
3. Click the Audit Log for Customer Item sub-tab under the Audit Log tab.
4. Click Analyst Name dropdown filter.</t>
        </is>
      </c>
      <c r="F206" s="212" t="inlineStr">
        <is>
          <t>Newly added Analyst Name should be visible in.
1. Analyst Name dropdown filter.
2. Analyst Name column on report.</t>
        </is>
      </c>
      <c r="G206" s="366" t="inlineStr">
        <is>
          <t>Pending</t>
        </is>
      </c>
      <c r="H206" s="240" t="n"/>
      <c r="I206" s="366" t="inlineStr">
        <is>
          <t>Pending</t>
        </is>
      </c>
      <c r="J206" s="3" t="n"/>
      <c r="K206" s="55" t="n"/>
    </row>
    <row r="207" ht="135" customHeight="1">
      <c r="B207" s="258" t="inlineStr">
        <is>
          <t>Report_184</t>
        </is>
      </c>
      <c r="C207" s="251" t="inlineStr">
        <is>
          <t>Reporting &gt; Audit Log Tab &gt; Audit Log for Customer Item</t>
        </is>
      </c>
      <c r="D207" s="212" t="inlineStr">
        <is>
          <t>Validate deleted Analyst in Analyst Name dropdown filters on "Audit Log for Customer Item" page and "Audit Log for Customer Item" report on giving access to logged in user.</t>
        </is>
      </c>
      <c r="E207" s="212" t="inlineStr">
        <is>
          <t>1. Log in to the Spreadsmart application.
2. Click Reporting in the page header.
3. Click the Audit Log for Customer Item sub-tab under the Audit Log tab.
4. Click Analyst Name dropdown filter.</t>
        </is>
      </c>
      <c r="F207" s="212" t="inlineStr">
        <is>
          <t>Deleted Analyst Name should not be visible in.
1. Analyst Name dropdown filter.
2. Analyst Name column on report.</t>
        </is>
      </c>
      <c r="G207" s="366" t="inlineStr">
        <is>
          <t>Pending</t>
        </is>
      </c>
      <c r="H207" s="240" t="n"/>
      <c r="I207" s="366" t="inlineStr">
        <is>
          <t>Pending</t>
        </is>
      </c>
      <c r="J207" s="3" t="n"/>
      <c r="K207" s="55" t="n"/>
    </row>
    <row r="208" ht="135" customHeight="1">
      <c r="B208" s="258" t="inlineStr">
        <is>
          <t>Report_185</t>
        </is>
      </c>
      <c r="C208" s="251" t="inlineStr">
        <is>
          <t>Reporting &gt; Audit Log Tab &gt; Audit Log for Customer Item</t>
        </is>
      </c>
      <c r="D208" s="212" t="inlineStr">
        <is>
          <t>Validate the functionality of Analyst Name dropdown filters on "Audit Log for Customer Item" page.</t>
        </is>
      </c>
      <c r="E208" s="212" t="inlineStr">
        <is>
          <t>1. Log in to the Spreadsmart application.
2. Click Reporting in the page header.
3. Click the Audit Log for Customer Item sub-tab under the Audit Log tab.
4. Click Analyst Name dropdown filter.</t>
        </is>
      </c>
      <c r="F208" s="212" t="inlineStr">
        <is>
          <t>1. It should be a Multi select dropdown filter.
2. Dropdown should have a search bar to search the model.
3. Dropdown should have a slider, if the list of the Analyst is long.
4. Selection/un select can be done by checking/unchecking checkbox against all Analyst Names.</t>
        </is>
      </c>
      <c r="G208" s="366" t="inlineStr">
        <is>
          <t>Pending</t>
        </is>
      </c>
      <c r="H208" s="240" t="n"/>
      <c r="I208" s="366" t="inlineStr">
        <is>
          <t>Pending</t>
        </is>
      </c>
      <c r="J208" s="3" t="n"/>
      <c r="K208" s="55" t="n"/>
    </row>
    <row r="209" ht="135" customHeight="1">
      <c r="B209" s="258" t="inlineStr">
        <is>
          <t>Report_186</t>
        </is>
      </c>
      <c r="C209" s="251" t="inlineStr">
        <is>
          <t>Reporting &gt; Audit Log Tab &gt; Audit Log for Customer Item</t>
        </is>
      </c>
      <c r="D209" s="212" t="inlineStr">
        <is>
          <t>Validate the "Statement Date" calendar on "Audit Log for Customer Item" page.</t>
        </is>
      </c>
      <c r="E209" s="212" t="inlineStr">
        <is>
          <t>1. Log in to the Spreadsmart application.
2. Click Reporting in the page header.
3. Click the Audit Log for Customer Item sub-tab under the Audit Log tab.
4. Click Statement Date calendar.</t>
        </is>
      </c>
      <c r="F209" s="212" t="inlineStr">
        <is>
          <t>Statement Date calendar should be clickable.
"Statement Date Range" should be the default message on the calendar.</t>
        </is>
      </c>
      <c r="G209" s="366" t="inlineStr">
        <is>
          <t>Pending</t>
        </is>
      </c>
      <c r="H209" s="240" t="n"/>
      <c r="I209" s="366" t="inlineStr">
        <is>
          <t>Pending</t>
        </is>
      </c>
      <c r="J209" s="3" t="n"/>
      <c r="K209" s="55" t="n"/>
    </row>
    <row r="210" ht="135" customHeight="1">
      <c r="B210" s="258" t="inlineStr">
        <is>
          <t>Report_187</t>
        </is>
      </c>
      <c r="C210" s="251" t="inlineStr">
        <is>
          <t>Reporting &gt; Audit Log Tab &gt; Audit Log for Customer Item</t>
        </is>
      </c>
      <c r="D210" s="212" t="inlineStr">
        <is>
          <t>Validate the functionality of "Statement Date" calendar on "Audit Log for Customer Item" page.</t>
        </is>
      </c>
      <c r="E210" s="212" t="inlineStr">
        <is>
          <t>1. Log in to the Spreadsmart application.
2. Click Reporting in the page header.
3. Click the Audit Log for Customer Item sub-tab under the Audit Log tab.
4. Click Statement Date calendar.</t>
        </is>
      </c>
      <c r="F210" s="212" t="inlineStr">
        <is>
          <t>1. It should be a calendar on which start date and end date range can be selected.
2. The user should be able to re-select the date range.</t>
        </is>
      </c>
      <c r="G210" s="366" t="inlineStr">
        <is>
          <t>Pending</t>
        </is>
      </c>
      <c r="H210" s="240" t="n"/>
      <c r="I210" s="366" t="inlineStr">
        <is>
          <t>Pending</t>
        </is>
      </c>
      <c r="J210" s="3" t="n"/>
      <c r="K210" s="55" t="n"/>
    </row>
    <row r="211" ht="165" customHeight="1">
      <c r="B211" s="258" t="inlineStr">
        <is>
          <t>Report_188</t>
        </is>
      </c>
      <c r="C211" s="251" t="inlineStr">
        <is>
          <t>Reporting &gt; Audit Log Tab &gt; Audit Log for Customer Item</t>
        </is>
      </c>
      <c r="D211" s="212" t="inlineStr">
        <is>
          <t>Validate the functionality of "Statement Date" calendar on "Audit Log for Customer Item" report.</t>
        </is>
      </c>
      <c r="E211" s="212" t="inlineStr">
        <is>
          <t>1. Log in to the Spreadsmart application.
2. Click Reporting in the page header.
3. Click the Audit Log for Customer Item sub-tab under the Audit Log tab.
4. Click Statement Date calendar.
5. Select the date range.
6. Download report.</t>
        </is>
      </c>
      <c r="F211" s="212" t="inlineStr">
        <is>
          <t>Data in the report should be in the selected date range.</t>
        </is>
      </c>
      <c r="G211" s="366" t="inlineStr">
        <is>
          <t>Pending</t>
        </is>
      </c>
      <c r="H211" s="240" t="n"/>
      <c r="I211" s="366" t="inlineStr">
        <is>
          <t>Pending</t>
        </is>
      </c>
      <c r="J211" s="3" t="n"/>
      <c r="K211" s="55" t="n"/>
    </row>
    <row r="212" ht="135" customHeight="1">
      <c r="B212" s="258" t="inlineStr">
        <is>
          <t>Report_189</t>
        </is>
      </c>
      <c r="C212" s="251" t="inlineStr">
        <is>
          <t>Reporting &gt; Audit Log Tab &gt; Audit Log for Customer Item</t>
        </is>
      </c>
      <c r="D212" s="212" t="inlineStr">
        <is>
          <t>Validate the data in the "Audit Method" dropdown filter on Spreading Details page.</t>
        </is>
      </c>
      <c r="E212" s="212" t="inlineStr">
        <is>
          <t>1. Log in to the Spreadsmart application.
2. Click Reporting in the page header.
3. Click the Audit Log for Customer Item sub-tab under the Audit Log tab.
4. Click "Audit Method" dropdown.</t>
        </is>
      </c>
      <c r="F212" s="212" t="inlineStr">
        <is>
          <t>"Select Audit Method" should be the default message on the dropdown filter.
All available audit methods should be available.</t>
        </is>
      </c>
      <c r="G212" s="366" t="inlineStr">
        <is>
          <t>Pending</t>
        </is>
      </c>
      <c r="H212" s="240" t="n"/>
      <c r="I212" s="366" t="inlineStr">
        <is>
          <t>Pending</t>
        </is>
      </c>
      <c r="J212" s="3" t="n"/>
      <c r="K212" s="55" t="n"/>
    </row>
    <row r="213" ht="135" customHeight="1">
      <c r="B213" s="258" t="inlineStr">
        <is>
          <t>Report_190</t>
        </is>
      </c>
      <c r="C213" s="251" t="inlineStr">
        <is>
          <t>Reporting &gt; Audit Log Tab &gt; Audit Log for Customer Item</t>
        </is>
      </c>
      <c r="D213" s="212" t="inlineStr">
        <is>
          <t>Validate updating the "Audit Method" name in Filter dropdown.</t>
        </is>
      </c>
      <c r="E213" s="212" t="inlineStr">
        <is>
          <t>1. Log in to the Spreadsmart application.
2. Click Reporting in the page header.
3. Click the Audit Log for Customer Item sub-tab under the Audit Log tab.
4. Click "Audit Method" dropdown.</t>
        </is>
      </c>
      <c r="F213" s="212" t="inlineStr">
        <is>
          <t>"Audit method" should be updated in the "Audit Method" drop down.</t>
        </is>
      </c>
      <c r="G213" s="366" t="inlineStr">
        <is>
          <t>Pending</t>
        </is>
      </c>
      <c r="H213" s="240" t="n"/>
      <c r="I213" s="366" t="inlineStr">
        <is>
          <t>Pending</t>
        </is>
      </c>
      <c r="J213" s="3" t="n"/>
      <c r="K213" s="55" t="n"/>
    </row>
    <row r="214" ht="135" customHeight="1">
      <c r="B214" s="258" t="inlineStr">
        <is>
          <t>Report_191</t>
        </is>
      </c>
      <c r="C214" s="251" t="inlineStr">
        <is>
          <t>Reporting &gt; Audit Log Tab &gt; Audit Log for Customer Item</t>
        </is>
      </c>
      <c r="D214" s="212" t="inlineStr">
        <is>
          <t>Validate adding a "Audit Method" in Filter dropdown.</t>
        </is>
      </c>
      <c r="E214" s="212" t="inlineStr">
        <is>
          <t>1. Log in to the Spreadsmart application.
2. Click Reporting in the page header.
3. Click the Audit Log for Customer Item sub-tab under the Audit Log tab.
4. Click "Audit Method" dropdown.</t>
        </is>
      </c>
      <c r="F214" s="212" t="inlineStr">
        <is>
          <t>Added "Audit method" should be visible in the "Audit method" dropdown list.</t>
        </is>
      </c>
      <c r="G214" s="366" t="inlineStr">
        <is>
          <t>Pending</t>
        </is>
      </c>
      <c r="H214" s="240" t="n"/>
      <c r="I214" s="366" t="inlineStr">
        <is>
          <t>Pending</t>
        </is>
      </c>
      <c r="J214" s="3" t="n"/>
      <c r="K214" s="55" t="n"/>
    </row>
    <row r="215" ht="135" customHeight="1">
      <c r="B215" s="258" t="inlineStr">
        <is>
          <t>Report_192</t>
        </is>
      </c>
      <c r="C215" s="251" t="inlineStr">
        <is>
          <t>Reporting &gt; Audit Log Tab &gt; Audit Log for Customer Item</t>
        </is>
      </c>
      <c r="D215" s="212" t="inlineStr">
        <is>
          <t>Validate deleting a "Audit Method" in Filter dropdown.</t>
        </is>
      </c>
      <c r="E215" s="212" t="inlineStr">
        <is>
          <t>1. Log in to the Spreadsmart application.
2. Click Reporting in the page header.
3. Click the Audit Log for Customer Item sub-tab under the Audit Log tab.
4. Click "Audit Method" dropdown.</t>
        </is>
      </c>
      <c r="F215" s="212" t="inlineStr">
        <is>
          <t>Deleted "Audit method" should not be visible in the "Audit method" dropdown list.</t>
        </is>
      </c>
      <c r="G215" s="366" t="inlineStr">
        <is>
          <t>Pending</t>
        </is>
      </c>
      <c r="H215" s="240" t="n"/>
      <c r="I215" s="366" t="inlineStr">
        <is>
          <t>Pending</t>
        </is>
      </c>
      <c r="J215" s="3" t="n"/>
      <c r="K215" s="55" t="n"/>
    </row>
    <row r="216" ht="165" customHeight="1">
      <c r="B216" s="258" t="inlineStr">
        <is>
          <t>Report_193</t>
        </is>
      </c>
      <c r="C216" s="251" t="inlineStr">
        <is>
          <t>Reporting &gt; Audit Log Tab &gt; Audit Log for Customer Item</t>
        </is>
      </c>
      <c r="D216" s="212" t="inlineStr">
        <is>
          <t>Validate the "Audit Method" in the report as per the selection in the filter.</t>
        </is>
      </c>
      <c r="E216" s="212" t="inlineStr">
        <is>
          <t>1. Log in to the Spreadsmart application.
2. Click Reporting in the page header.
3. Click the Audit Log for Customer Item sub-tab under the Audit Log tab.
4. Click "Audit Method" dropdown.
5. Select some audit methods.
6. Download report.</t>
        </is>
      </c>
      <c r="F216" s="212" t="inlineStr">
        <is>
          <t>Selected methods should be available in the report, audit methods not selected should not be available in the list.</t>
        </is>
      </c>
      <c r="G216" s="366" t="inlineStr">
        <is>
          <t>Pending</t>
        </is>
      </c>
      <c r="H216" s="240" t="n"/>
      <c r="I216" s="366" t="inlineStr">
        <is>
          <t>Pending</t>
        </is>
      </c>
      <c r="J216" s="3" t="n"/>
      <c r="K216" s="55" t="n"/>
    </row>
    <row r="217" ht="150" customHeight="1">
      <c r="B217" s="258" t="inlineStr">
        <is>
          <t>Report_194</t>
        </is>
      </c>
      <c r="C217" s="251" t="inlineStr">
        <is>
          <t>Reporting &gt; Audit Log Tab &gt; Audit Log for Customer Item</t>
        </is>
      </c>
      <c r="D217" s="212" t="inlineStr">
        <is>
          <t>Validate the functionality of "Audit Method" dropdown filters on "Audit Log for Customer Item" page.</t>
        </is>
      </c>
      <c r="E217" s="212" t="inlineStr">
        <is>
          <t>1. Log in to the Spreadsmart application.
2. Click Reporting in the page header.
3. Click the Audit Log for Customer Item sub-tab under the Audit Log tab.
4. Click Analyst Name dropdown filter.</t>
        </is>
      </c>
      <c r="F217" s="212" t="inlineStr">
        <is>
          <t>1. It should be a Multi select dropdown filter.
2. Dropdown should have a search bar to search the model.
3. Dropdown should have a slider, if the list of the Analyst is long.
4. Selection/un select can be done by checking/unchecking checkbox against all Analyst Names.
5. Checkbox should be present to select all the audit methods at a time.</t>
        </is>
      </c>
      <c r="G217" s="366" t="inlineStr">
        <is>
          <t>Pending</t>
        </is>
      </c>
      <c r="H217" s="240" t="n"/>
      <c r="I217" s="366" t="inlineStr">
        <is>
          <t>Pending</t>
        </is>
      </c>
      <c r="J217" s="3" t="n"/>
      <c r="K217" s="55" t="n"/>
    </row>
    <row r="218" ht="135" customHeight="1">
      <c r="B218" s="258" t="inlineStr">
        <is>
          <t>Report_195</t>
        </is>
      </c>
      <c r="C218" s="251" t="inlineStr">
        <is>
          <t>Reporting &gt; Audit Log Tab &gt; Audit Log for Customer Item</t>
        </is>
      </c>
      <c r="D218" s="212" t="inlineStr">
        <is>
          <t>Validate the data in the "Customer ID" dropdown filters on "Audit Log for Customer Item" page.</t>
        </is>
      </c>
      <c r="E218" s="212" t="inlineStr">
        <is>
          <t>1. Log in to the Spreadsmart application.
2. Click Reporting in the page header.
3. Click the Audit Log for Customer Item sub-tab under the Audit Log tab.
4. Click "Customer ID" dropdown filter.</t>
        </is>
      </c>
      <c r="F218" s="212" t="inlineStr">
        <is>
          <t>"Select Customer ID" should be the default message on the dropdown filter, data should contains the list of all the Customer IDs.</t>
        </is>
      </c>
      <c r="G218" s="366" t="inlineStr">
        <is>
          <t>Pending</t>
        </is>
      </c>
      <c r="H218" s="240" t="n"/>
      <c r="I218" s="366" t="inlineStr">
        <is>
          <t>Pending</t>
        </is>
      </c>
      <c r="J218" s="3" t="n"/>
      <c r="K218" s="55" t="n"/>
    </row>
    <row r="219" ht="135" customHeight="1">
      <c r="B219" s="258" t="inlineStr">
        <is>
          <t>Report_196</t>
        </is>
      </c>
      <c r="C219" s="251" t="inlineStr">
        <is>
          <t>Reporting &gt; Audit Log Tab &gt; Audit Log for Customer Item</t>
        </is>
      </c>
      <c r="D219" s="212" t="inlineStr">
        <is>
          <t>Validate newly added Analyst in "Customer ID" dropdown filters on "Audit Log for Customer Item" page and "Audit Log for Customer Item" report on giving access to logged in user.</t>
        </is>
      </c>
      <c r="E219" s="212" t="inlineStr">
        <is>
          <t>1. Log in to the Spreadsmart application.
2. Click Reporting in the page header.
3. Click the Audit Log for Customer Item sub-tab under the Audit Log tab.
4. Click "Customer ID" dropdown filter.</t>
        </is>
      </c>
      <c r="F219" s="212" t="inlineStr">
        <is>
          <t>Newly added Customer ID should be visible in.
1. Customer ID dropdown filter.
2. Customer ID column on report.</t>
        </is>
      </c>
      <c r="G219" s="366" t="inlineStr">
        <is>
          <t>Pending</t>
        </is>
      </c>
      <c r="H219" s="240" t="n"/>
      <c r="I219" s="366" t="inlineStr">
        <is>
          <t>Pending</t>
        </is>
      </c>
      <c r="J219" s="3" t="n"/>
      <c r="K219" s="55" t="n"/>
    </row>
    <row r="220" ht="135" customHeight="1">
      <c r="B220" s="258" t="inlineStr">
        <is>
          <t>Report_197</t>
        </is>
      </c>
      <c r="C220" s="251" t="inlineStr">
        <is>
          <t>Reporting &gt; Audit Log Tab &gt; Audit Log for Customer Item</t>
        </is>
      </c>
      <c r="D220" s="212" t="inlineStr">
        <is>
          <t>Validate deleted Analyst in "Customer ID" dropdown filters on "Audit Log for Customer Item" page and "Audit Log for Customer Item" report on giving access to logged in user.</t>
        </is>
      </c>
      <c r="E220" s="212" t="inlineStr">
        <is>
          <t>1. Log in to the Spreadsmart application.
2. Click Reporting in the page header.
3. Click the Audit Log for Customer Item sub-tab under the Audit Log tab.
4. Click "Customer ID" dropdown filter.</t>
        </is>
      </c>
      <c r="F220" s="212" t="inlineStr">
        <is>
          <t>Deleted Customer ID should not be visible in.
1. Customer ID dropdown filter.
2. Customer ID column on report.</t>
        </is>
      </c>
      <c r="G220" s="366" t="inlineStr">
        <is>
          <t>Pending</t>
        </is>
      </c>
      <c r="H220" s="240" t="n"/>
      <c r="I220" s="366" t="inlineStr">
        <is>
          <t>Pending</t>
        </is>
      </c>
      <c r="J220" s="3" t="n"/>
      <c r="K220" s="55" t="n"/>
    </row>
    <row r="221" ht="135" customHeight="1">
      <c r="B221" s="258" t="inlineStr">
        <is>
          <t>Report_198</t>
        </is>
      </c>
      <c r="C221" s="251" t="inlineStr">
        <is>
          <t>Reporting &gt; Audit Log Tab &gt; Audit Log for Customer Item</t>
        </is>
      </c>
      <c r="D221" s="212" t="inlineStr">
        <is>
          <t>Validate the functionality of "Customer ID" dropdown filters on "Audit Log for Customer Item" page.</t>
        </is>
      </c>
      <c r="E221" s="212" t="inlineStr">
        <is>
          <t>1. Log in to the Spreadsmart application.
2. Click Reporting in the page header.
3. Click the Audit Log for Customer Item sub-tab under the Audit Log tab.
4. Click "Customer ID" dropdown filter.</t>
        </is>
      </c>
      <c r="F221" s="212" t="inlineStr">
        <is>
          <t>1. It should be a Multi select dropdown filter.
2. Dropdown should have a search bar to search the model.
3. Dropdown should have a slider, if the list of the Analyst is long.
4. Selection/un select can be done by checking/unchecking checkbox against all Analyst Names.</t>
        </is>
      </c>
      <c r="G221" s="366" t="inlineStr">
        <is>
          <t>Pending</t>
        </is>
      </c>
      <c r="H221" s="240" t="n"/>
      <c r="I221" s="366" t="inlineStr">
        <is>
          <t>Pending</t>
        </is>
      </c>
      <c r="J221" s="3" t="n"/>
      <c r="K221" s="55" t="n"/>
    </row>
    <row r="222" ht="120" customHeight="1">
      <c r="B222" s="258" t="inlineStr">
        <is>
          <t>Report_199</t>
        </is>
      </c>
      <c r="C222" s="251" t="inlineStr">
        <is>
          <t>Reporting &gt; Audit Log Tab &gt; Audit Log for Customer Item</t>
        </is>
      </c>
      <c r="D222" s="212" t="inlineStr">
        <is>
          <t>Validate the Radio buttons on "Audit Log for Customer Item" page.</t>
        </is>
      </c>
      <c r="E222" s="212" t="inlineStr">
        <is>
          <t>1. Click Reporting in the page header.
2. Click Spreading Details.
3. Click the Audit Log for Customer Item sub-tab under the Audit Log tab.
4. Select any Export type radio button.</t>
        </is>
      </c>
      <c r="F222" s="212" t="inlineStr">
        <is>
          <t>The export format selector should allow only one option to be selected at a time:
1. Excel
2. PDF
3. HTML</t>
        </is>
      </c>
      <c r="G222" s="366" t="inlineStr">
        <is>
          <t>Pending</t>
        </is>
      </c>
      <c r="H222" s="240" t="n"/>
      <c r="I222" s="366" t="inlineStr">
        <is>
          <t>Pending</t>
        </is>
      </c>
      <c r="J222" s="3" t="n"/>
      <c r="K222" s="55" t="n"/>
    </row>
    <row r="223" ht="105" customHeight="1">
      <c r="B223" s="258" t="inlineStr">
        <is>
          <t>Report_200</t>
        </is>
      </c>
      <c r="C223" s="251" t="inlineStr">
        <is>
          <t>Reporting &gt; Audit Log Tab &gt; Audit Log for Customer Item</t>
        </is>
      </c>
      <c r="D223" s="212" t="inlineStr">
        <is>
          <t>Validate the "Information" button on "Audit Log for Customer Item" page.</t>
        </is>
      </c>
      <c r="E223" s="212" t="inlineStr">
        <is>
          <t>1. Click Reporting in the page header.
2. Click Spreading Details.
3. Click the Audit Log for Customer Item sub-tab under the Audit Log tab.
4. Click Information button.</t>
        </is>
      </c>
      <c r="F223" s="212" t="inlineStr">
        <is>
          <t>1. The Information button should be clickable.
2. Clicking the Information button should open a pop-up message.
3. The pop-up should include a Close button.</t>
        </is>
      </c>
      <c r="G223" s="366" t="inlineStr">
        <is>
          <t>Pending</t>
        </is>
      </c>
      <c r="H223" s="240" t="n"/>
      <c r="I223" s="366" t="inlineStr">
        <is>
          <t>Pending</t>
        </is>
      </c>
      <c r="J223" s="3" t="n"/>
      <c r="K223" s="55" t="n"/>
    </row>
    <row r="224" ht="105" customHeight="1">
      <c r="B224" s="258" t="inlineStr">
        <is>
          <t>Report_201</t>
        </is>
      </c>
      <c r="C224" s="251" t="inlineStr">
        <is>
          <t>Reporting &gt; Audit Log Tab &gt; Audit Log for Customer Item</t>
        </is>
      </c>
      <c r="D224" s="212" t="inlineStr">
        <is>
          <t>Validate the "Refresh" button on "Audit Log for Customer Item" page.</t>
        </is>
      </c>
      <c r="E224" s="212" t="inlineStr">
        <is>
          <t>1. Click Reporting in the page header.
2. Click Spreading Details.
3. Click the Audit Log for Customer Item sub-tab under the Audit Log tab.
4. Click Refresh button.</t>
        </is>
      </c>
      <c r="F224" s="212" t="inlineStr">
        <is>
          <t>1. The Refresh button should be clickable.
2. Clicking Refresh should clear all selected filters.</t>
        </is>
      </c>
      <c r="G224" s="366" t="inlineStr">
        <is>
          <t>Pending</t>
        </is>
      </c>
      <c r="H224" s="240" t="n"/>
      <c r="I224" s="366" t="inlineStr">
        <is>
          <t>Pending</t>
        </is>
      </c>
      <c r="J224" s="3" t="n"/>
      <c r="K224" s="55" t="n"/>
    </row>
    <row r="225" ht="120" customHeight="1">
      <c r="B225" s="258" t="inlineStr">
        <is>
          <t>Report_202</t>
        </is>
      </c>
      <c r="C225" s="251" t="inlineStr">
        <is>
          <t>Reporting &gt; Audit Log Tab &gt; Audit Log for Customer Item</t>
        </is>
      </c>
      <c r="D225" s="212" t="inlineStr">
        <is>
          <t>Validate the "Generate Report" button on "Audit Log for Customer Item" page.</t>
        </is>
      </c>
      <c r="E225" s="212" t="inlineStr">
        <is>
          <t>1. Click Reporting in the page header.
2. Click Spreading Details.
3. Click the Audit Log for Customer Item sub-tab under the Audit Log tab.
4. Click Generate Report button.</t>
        </is>
      </c>
      <c r="F225" s="212" t="inlineStr">
        <is>
          <t>1. The Generate Report button should be clickable.
2. Clicking Generate Report should generate the report in the selected format.</t>
        </is>
      </c>
      <c r="G225" s="366" t="inlineStr">
        <is>
          <t>Pending</t>
        </is>
      </c>
      <c r="H225" s="240" t="n"/>
      <c r="I225" s="366" t="inlineStr">
        <is>
          <t>Pending</t>
        </is>
      </c>
      <c r="J225" s="3" t="n"/>
      <c r="K225" s="55" t="n"/>
    </row>
    <row r="226" ht="135" customHeight="1">
      <c r="B226" s="258" t="inlineStr">
        <is>
          <t>Report_203</t>
        </is>
      </c>
      <c r="C226" s="251" t="inlineStr">
        <is>
          <t>Reporting &gt; Audit Log Tab &gt; Audit Log for Customer Item</t>
        </is>
      </c>
      <c r="D226" s="212" t="inlineStr">
        <is>
          <t>Validate the "Audit for customer item" report in Excel format.</t>
        </is>
      </c>
      <c r="E226" s="212" t="inlineStr">
        <is>
          <t>1. Log in to the Spreadsmart application.
2. Click Reporting in the page header.
3. Click the Audit Log for Customer Item sub-tab under the Audit Log tab.
4. Select excel type radio button.
5. Click Generate Report.</t>
        </is>
      </c>
      <c r="F226" s="212" t="inlineStr">
        <is>
          <t>The report should be generated in Excel format.</t>
        </is>
      </c>
      <c r="G226" s="366" t="inlineStr">
        <is>
          <t>Pending</t>
        </is>
      </c>
      <c r="H226" s="240" t="n"/>
      <c r="I226" s="366" t="inlineStr">
        <is>
          <t>Pending</t>
        </is>
      </c>
      <c r="J226" s="3" t="n"/>
      <c r="K226" s="55" t="n"/>
    </row>
    <row r="227" ht="135" customHeight="1">
      <c r="B227" s="258" t="inlineStr">
        <is>
          <t>Report_204</t>
        </is>
      </c>
      <c r="C227" s="251" t="inlineStr">
        <is>
          <t>Reporting &gt; Audit Log Tab &gt; Audit Log for Customer Item</t>
        </is>
      </c>
      <c r="D227" s="212" t="inlineStr">
        <is>
          <t>Validate the "Audit for customer item" report in PDF format.</t>
        </is>
      </c>
      <c r="E227" s="212" t="inlineStr">
        <is>
          <t>1. Log in to the Spreadsmart application.
2. Click Reporting in the page header.
3. Click the Audit Log for Customer Item sub-tab under the Audit Log tab.
4. Select PDF type radio button.
5. Click Generate Report.</t>
        </is>
      </c>
      <c r="F227" s="212" t="inlineStr">
        <is>
          <t>The report should be generated in PDF format.</t>
        </is>
      </c>
      <c r="G227" s="366" t="inlineStr">
        <is>
          <t>Pending</t>
        </is>
      </c>
      <c r="H227" s="240" t="n"/>
      <c r="I227" s="366" t="inlineStr">
        <is>
          <t>Pending</t>
        </is>
      </c>
      <c r="J227" s="3" t="n"/>
      <c r="K227" s="55" t="n"/>
    </row>
    <row r="228" ht="135" customHeight="1">
      <c r="B228" s="258" t="inlineStr">
        <is>
          <t>Report_205</t>
        </is>
      </c>
      <c r="C228" s="251" t="inlineStr">
        <is>
          <t>Reporting &gt; Audit Log Tab &gt; Audit Log for Customer Item</t>
        </is>
      </c>
      <c r="D228" s="212" t="inlineStr">
        <is>
          <t>Validate the "Audit for customer item" report in HTML format.</t>
        </is>
      </c>
      <c r="E228" s="212" t="inlineStr">
        <is>
          <t>1. Log in to the Spreadsmart application.
2. Click Reporting in the page header.
3. Click the Audit Log for Customer Item sub-tab under the Audit Log tab.
4. Select HTML type radio button.
5. Click Generate Report.</t>
        </is>
      </c>
      <c r="F228" s="212" t="inlineStr">
        <is>
          <t>The report should be generated in HTML format.</t>
        </is>
      </c>
      <c r="G228" s="366" t="inlineStr">
        <is>
          <t>Pending</t>
        </is>
      </c>
      <c r="H228" s="240" t="n"/>
      <c r="I228" s="366" t="inlineStr">
        <is>
          <t>Pending</t>
        </is>
      </c>
      <c r="J228" s="3" t="n"/>
      <c r="K228" s="55" t="n"/>
    </row>
    <row r="229" ht="90" customHeight="1">
      <c r="B229" s="258" t="inlineStr">
        <is>
          <t>Report_206</t>
        </is>
      </c>
      <c r="C229" s="252" t="inlineStr">
        <is>
          <t>Reporting &gt; Audit Log Tab &gt; Audit Log for Global Taxonomy</t>
        </is>
      </c>
      <c r="D229" s="212" t="inlineStr">
        <is>
          <t>Validate the data in the "Taxonomy Group" dropdown filter on Customer Details page.</t>
        </is>
      </c>
      <c r="E229" s="212" t="inlineStr">
        <is>
          <t>1. Click Reporting in the page header.
2. Click "Audit Log for Global Taxonomy" under the Audit Log tab.
3. Click "Taxonomy Group" dropdown filter.</t>
        </is>
      </c>
      <c r="F229" s="212" t="inlineStr">
        <is>
          <t>"Select Taxonomy Group" should be the default message on the dropdown filter.
Data should be visible as per the Taxonomy group accessible by the logged in user.</t>
        </is>
      </c>
      <c r="G229" s="366" t="inlineStr">
        <is>
          <t>Pending</t>
        </is>
      </c>
      <c r="H229" s="240" t="n"/>
      <c r="I229" s="366" t="inlineStr">
        <is>
          <t>Pending</t>
        </is>
      </c>
      <c r="J229" s="3" t="n"/>
      <c r="K229" s="55" t="n"/>
    </row>
    <row r="230" ht="165" customHeight="1">
      <c r="B230" s="258" t="inlineStr">
        <is>
          <t>Report_207</t>
        </is>
      </c>
      <c r="C230" s="252" t="inlineStr">
        <is>
          <t>Reporting &gt; Audit Log Tab &gt; Audit Log for Global Taxonomy</t>
        </is>
      </c>
      <c r="D230" s="212" t="inlineStr">
        <is>
          <t>Validate the functionality of "Taxonomy Group" dropdown filters on "Global Taxonomy" page.</t>
        </is>
      </c>
      <c r="E230" s="212" t="inlineStr">
        <is>
          <t>1. Click Reporting in the page header.
2. Click "Audit Log for Global Taxonomy" under the Audit Log tab.
3. Click "Taxonomy Group" dropdown filter.</t>
        </is>
      </c>
      <c r="F230" s="212" t="inlineStr">
        <is>
          <t>1. It should be a Multi select dropdown filter.
2. Dropdown should have a search bar on top to search the Taxonomy Group.
3. Dropdown should have a slider, if the list of the Taxonomy Group is long.
4. Selection/un select can be done by checking/unchecking check box against all Taxonomy Group.
5. All "Taxonomy group" can be selected by selecting the select all check box mentioned against search bar.</t>
        </is>
      </c>
      <c r="G230" s="366" t="inlineStr">
        <is>
          <t>Pending</t>
        </is>
      </c>
      <c r="H230" s="240" t="n"/>
      <c r="I230" s="366" t="inlineStr">
        <is>
          <t>Pending</t>
        </is>
      </c>
      <c r="J230" s="3" t="n"/>
      <c r="K230" s="55" t="n"/>
    </row>
    <row r="231" ht="120" customHeight="1">
      <c r="B231" s="258" t="inlineStr">
        <is>
          <t>Report_208</t>
        </is>
      </c>
      <c r="C231" s="252" t="inlineStr">
        <is>
          <t>Reporting &gt; Audit Log Tab &gt; Audit Log for Global Taxonomy</t>
        </is>
      </c>
      <c r="D231" s="212" t="inlineStr">
        <is>
          <t>Validate updating the "Taxonomy Group" name in Filter dropdown and "Audit for Global Taxonomy" Report.</t>
        </is>
      </c>
      <c r="E231" s="212" t="inlineStr">
        <is>
          <t>1. Click Reporting in the page header.
2. Click Audit Log for Global Taxonomy under Audit Log tab.
3. Update the name of the Taxonomy Group.
4. Validate the "Taxonomy Group" name in the dropdown.</t>
        </is>
      </c>
      <c r="F231" s="212" t="inlineStr">
        <is>
          <t>Taxonomy Group name should be updated in the Taxonomy Group drop down and should also be visible in "Taxonomy Group" column of "Audit for Global Taxonomy" report.</t>
        </is>
      </c>
      <c r="G231" s="366" t="inlineStr">
        <is>
          <t>Pending</t>
        </is>
      </c>
      <c r="H231" s="240" t="n"/>
      <c r="I231" s="366" t="inlineStr">
        <is>
          <t>Pending</t>
        </is>
      </c>
      <c r="J231" s="3" t="n"/>
      <c r="K231" s="55" t="n"/>
    </row>
    <row r="232" ht="120" customHeight="1">
      <c r="B232" s="258" t="inlineStr">
        <is>
          <t>Report_209</t>
        </is>
      </c>
      <c r="C232" s="252" t="inlineStr">
        <is>
          <t>Reporting &gt; Audit Log Tab &gt; Audit Log for Global Taxonomy</t>
        </is>
      </c>
      <c r="D232" s="212" t="inlineStr">
        <is>
          <t>Validate adding a "Taxonomy Group" in Filter dropdown and "Audit for Global Taxonomy" Report.</t>
        </is>
      </c>
      <c r="E232" s="212" t="inlineStr">
        <is>
          <t>1. Click Reporting in the page header.
2. Click Audit Log for Global Taxonomy under Audit Log tab.
3. Add a Taxonomy Group having access to logged in user.
4. Validate the "Taxonomy Group" in the dropdown.</t>
        </is>
      </c>
      <c r="F232" s="212" t="inlineStr">
        <is>
          <t>Added "Taxonomy group" should be visible in the Taxonomy group dropdown list and should also be visible in "Taxonomy group" column of "Audit for Global Taxonomy" report.</t>
        </is>
      </c>
      <c r="G232" s="366" t="inlineStr">
        <is>
          <t>Pending</t>
        </is>
      </c>
      <c r="H232" s="240" t="n"/>
      <c r="I232" s="366" t="inlineStr">
        <is>
          <t>Pending</t>
        </is>
      </c>
      <c r="J232" s="3" t="n"/>
      <c r="K232" s="55" t="n"/>
    </row>
    <row r="233" ht="120" customHeight="1">
      <c r="B233" s="258" t="inlineStr">
        <is>
          <t>Report_210</t>
        </is>
      </c>
      <c r="C233" s="252" t="inlineStr">
        <is>
          <t>Reporting &gt; Audit Log Tab &gt; Audit Log for Global Taxonomy</t>
        </is>
      </c>
      <c r="D233" s="212" t="inlineStr">
        <is>
          <t>Validate deleting a "Taxonomy Group" in Filter dropdown and "Audit for Global Taxonomy" Report.</t>
        </is>
      </c>
      <c r="E233" s="212" t="inlineStr">
        <is>
          <t>1. Click Reporting in the page header.
2. Click Audit Log for Global Taxonomy under Audit Log tab.
3. Delete a "Taxonomy group" having access to logged in user.
4. Validate the "Taxonomy Group" in the dropdown.</t>
        </is>
      </c>
      <c r="F233" s="212" t="inlineStr">
        <is>
          <t>Deleted Taxonomy Group should not be visible in the Taxonomy Group dropdown list and should not be visible in "Taxonomy Group" column of "Audit for Global Taxonomy" report.</t>
        </is>
      </c>
      <c r="G233" s="366" t="inlineStr">
        <is>
          <t>Pending</t>
        </is>
      </c>
      <c r="H233" s="240" t="n"/>
      <c r="I233" s="366" t="inlineStr">
        <is>
          <t>Pending</t>
        </is>
      </c>
      <c r="J233" s="3" t="n"/>
      <c r="K233" s="55" t="n"/>
    </row>
    <row r="234" ht="180" customHeight="1">
      <c r="B234" s="258" t="inlineStr">
        <is>
          <t>Report_211</t>
        </is>
      </c>
      <c r="C234" s="252" t="inlineStr">
        <is>
          <t>Reporting &gt; Audit Log Tab &gt; Audit Log for Global Taxonomy</t>
        </is>
      </c>
      <c r="D234" s="212" t="inlineStr">
        <is>
          <t>Validate the "Taxonomy Group" dropdown list on updating the access of logged in user to a "Taxonomy Group" and "Audit for Global Taxonomy" Report.</t>
        </is>
      </c>
      <c r="E234" s="212" t="inlineStr">
        <is>
          <t>1. Click Reporting in the page header.
2. Click Audit Log for Global Taxonomy under Audit Log tab.
3. Validate a taxonomy group which is accessed by the logged in user.
4. Validate a taxonomy group which is not accessed by the logged in user.
5. Validate the list of the "Taxonomy Group" dropdown.</t>
        </is>
      </c>
      <c r="F234" s="212" t="inlineStr">
        <is>
          <t>1. Only Taxonomy group should be visible in the dropdown list of Taxonomy group, having access to the logged in user and should also be visible in "Taxonomy group" column of "Audit for Global Taxonomy" report.
2. Taxonomy Groups should not be visible in the dropdown list of Taxonomy Groups not having access to the logged in user and should not be visible in "Taxonomy group" column of "Audit for Global Taxonomy" report.</t>
        </is>
      </c>
      <c r="G234" s="366" t="inlineStr">
        <is>
          <t>Pending</t>
        </is>
      </c>
      <c r="H234" s="240" t="n"/>
      <c r="I234" s="366" t="inlineStr">
        <is>
          <t>Pending</t>
        </is>
      </c>
      <c r="J234" s="3" t="n"/>
      <c r="K234" s="55" t="n"/>
    </row>
    <row r="235" ht="90" customHeight="1">
      <c r="B235" s="258" t="inlineStr">
        <is>
          <t>Report_212</t>
        </is>
      </c>
      <c r="C235" s="252" t="inlineStr">
        <is>
          <t>Reporting &gt; Audit Log Tab &gt; Audit Log for Global Taxonomy</t>
        </is>
      </c>
      <c r="D235" s="212" t="inlineStr">
        <is>
          <t>Validate the data in the Language dropdown filter on Global Taxonomy page.</t>
        </is>
      </c>
      <c r="E235" s="212" t="inlineStr">
        <is>
          <t>1. Click Reporting in the page header.
2. Click "Audit Log for Global Taxonomy" under the Audit Log tab.
3. Click "Language" dropdown filter.</t>
        </is>
      </c>
      <c r="F235" s="212" t="inlineStr">
        <is>
          <t>"Select Language" should be the default message on the dropdown filter.
Data should be the list of all the language in the system.</t>
        </is>
      </c>
      <c r="G235" s="366" t="inlineStr">
        <is>
          <t>Pending</t>
        </is>
      </c>
      <c r="H235" s="240" t="n"/>
      <c r="I235" s="366" t="inlineStr">
        <is>
          <t>Pending</t>
        </is>
      </c>
      <c r="J235" s="3" t="n"/>
      <c r="K235" s="55" t="n"/>
    </row>
    <row r="236" ht="165" customHeight="1">
      <c r="B236" s="258" t="inlineStr">
        <is>
          <t>Report_213</t>
        </is>
      </c>
      <c r="C236" s="252" t="inlineStr">
        <is>
          <t>Reporting &gt; Audit Log Tab &gt; Audit Log for Global Taxonomy</t>
        </is>
      </c>
      <c r="D236" s="212" t="inlineStr">
        <is>
          <t>Validate the functionality of Language dropdown filters on "Global Taxonomy" page.</t>
        </is>
      </c>
      <c r="E236" s="212" t="inlineStr">
        <is>
          <t>1. Click Reporting in the page header.
2. Click "Audit Log for Global Taxonomy" under the Audit Log tab.
3. Click "Language" dropdown filter.</t>
        </is>
      </c>
      <c r="F236" s="212" t="inlineStr">
        <is>
          <t>1. It should be a Multi select dropdown filter.
2. Dropdown should have a search bar on top to search the model.
3. Dropdown should have a slider, if the list of the language is long.
4. Selection/un select can be done by checking/unchecking checkbox against all Language.
5. All Language can be selected by selecting the select all check box mentioned against search bar.</t>
        </is>
      </c>
      <c r="G236" s="366" t="inlineStr">
        <is>
          <t>Pending</t>
        </is>
      </c>
      <c r="H236" s="240" t="n"/>
      <c r="I236" s="366" t="inlineStr">
        <is>
          <t>Pending</t>
        </is>
      </c>
      <c r="J236" s="3" t="n"/>
      <c r="K236" s="55" t="n"/>
    </row>
    <row r="237" ht="90" customHeight="1">
      <c r="B237" s="258" t="inlineStr">
        <is>
          <t>Report_214</t>
        </is>
      </c>
      <c r="C237" s="252" t="inlineStr">
        <is>
          <t>Reporting &gt; Audit Log Tab &gt; Audit Log for Global Taxonomy</t>
        </is>
      </c>
      <c r="D237" s="212" t="inlineStr">
        <is>
          <t>Validate the "Action Date" calendar on "Global Taxonomy" page.</t>
        </is>
      </c>
      <c r="E237" s="212" t="inlineStr">
        <is>
          <t>1. Click Reporting in the page header.
2. Click "Audit Log for Global Taxonomy" under the Audit Log tab.
3. Click the Action Date calendar.</t>
        </is>
      </c>
      <c r="F237" s="212" t="inlineStr">
        <is>
          <t>Action Date calendar should be clickable.
"Action Date Range" should be the default message on the calendar.</t>
        </is>
      </c>
      <c r="G237" s="366" t="inlineStr">
        <is>
          <t>Pending</t>
        </is>
      </c>
      <c r="H237" s="240" t="n"/>
      <c r="I237" s="366" t="inlineStr">
        <is>
          <t>Pending</t>
        </is>
      </c>
      <c r="J237" s="3" t="n"/>
      <c r="K237" s="55" t="n"/>
    </row>
    <row r="238" ht="90" customHeight="1">
      <c r="B238" s="258" t="inlineStr">
        <is>
          <t>Report_215</t>
        </is>
      </c>
      <c r="C238" s="252" t="inlineStr">
        <is>
          <t>Reporting &gt; Audit Log Tab &gt; Audit Log for Global Taxonomy</t>
        </is>
      </c>
      <c r="D238" s="212" t="inlineStr">
        <is>
          <t>Validate the functionality of "Action Date" calendar on "Global Taxonomy" page.</t>
        </is>
      </c>
      <c r="E238" s="212" t="inlineStr">
        <is>
          <t>1. Click Reporting in the page header.
2. Click "Audit Log for Global Taxonomy" under the Audit Log tab.
3. Click the Action Date calendar.</t>
        </is>
      </c>
      <c r="F238" s="212" t="inlineStr">
        <is>
          <t>1. It should be a calendar on which start date and end date range can be selected.
2. The user should be able to re-select the date range.</t>
        </is>
      </c>
      <c r="G238" s="366" t="inlineStr">
        <is>
          <t>Pending</t>
        </is>
      </c>
      <c r="H238" s="240" t="n"/>
      <c r="I238" s="366" t="inlineStr">
        <is>
          <t>Pending</t>
        </is>
      </c>
      <c r="J238" s="3" t="n"/>
      <c r="K238" s="55" t="n"/>
    </row>
    <row r="239" ht="120" customHeight="1">
      <c r="B239" s="258" t="inlineStr">
        <is>
          <t>Report_216</t>
        </is>
      </c>
      <c r="C239" s="252" t="inlineStr">
        <is>
          <t>Reporting &gt; Audit Log Tab &gt; Audit Log for Global Taxonomy</t>
        </is>
      </c>
      <c r="D239" s="212" t="inlineStr">
        <is>
          <t>Validate the functionality of "Action Date" calendar on "Audit for Global Taxonomy" Report.</t>
        </is>
      </c>
      <c r="E239" s="212" t="inlineStr">
        <is>
          <t>1. Click Reporting in the page header.
2. Click "Audit Log for Global Taxonomy" under the Audit Log tab.
3. Select Action Date range in calendar.
4. Download the report.
5. Validate.</t>
        </is>
      </c>
      <c r="F239" s="212" t="inlineStr">
        <is>
          <t>Date Range in "Audit for Global Taxonomy" report should be as per the selection in "Action Date" calendar.</t>
        </is>
      </c>
      <c r="G239" s="366" t="inlineStr">
        <is>
          <t>Pending</t>
        </is>
      </c>
      <c r="H239" s="240" t="n"/>
      <c r="I239" s="366" t="inlineStr">
        <is>
          <t>Pending</t>
        </is>
      </c>
      <c r="J239" s="3" t="n"/>
      <c r="K239" s="55" t="n"/>
    </row>
    <row r="240" ht="90" customHeight="1">
      <c r="B240" s="258" t="inlineStr">
        <is>
          <t>Report_217</t>
        </is>
      </c>
      <c r="C240" s="252" t="inlineStr">
        <is>
          <t>Reporting &gt; Audit Log Tab &gt; Audit Log for Global Taxonomy</t>
        </is>
      </c>
      <c r="D240" s="212" t="inlineStr">
        <is>
          <t>Validate the data in the "User name" dropdown filters on "Global Taxonomy" page.</t>
        </is>
      </c>
      <c r="E240" s="212" t="inlineStr">
        <is>
          <t>1. Click Reporting in the page header.
2. Click "Audit Log for Global Taxonomy" under the Audit Log tab.
3. Click "User name" dropdown filter.</t>
        </is>
      </c>
      <c r="F240" s="212" t="inlineStr">
        <is>
          <t>"Select User Name(s)" should be the default message on the dropdown filter, data should contains the list of all the Users.</t>
        </is>
      </c>
      <c r="G240" s="366" t="inlineStr">
        <is>
          <t>Pending</t>
        </is>
      </c>
      <c r="H240" s="240" t="n"/>
      <c r="I240" s="366" t="inlineStr">
        <is>
          <t>Pending</t>
        </is>
      </c>
      <c r="J240" s="3" t="n"/>
      <c r="K240" s="55" t="n"/>
    </row>
    <row r="241" ht="90" customHeight="1">
      <c r="B241" s="258" t="inlineStr">
        <is>
          <t>Report_218</t>
        </is>
      </c>
      <c r="C241" s="252" t="inlineStr">
        <is>
          <t>Reporting &gt; Audit Log Tab &gt; Audit Log for Global Taxonomy</t>
        </is>
      </c>
      <c r="D241" s="212" t="inlineStr">
        <is>
          <t>Validate newly added User in "User name" dropdown filters on "Global Taxonomy" page and "Audit for Global Taxonomy" Report.</t>
        </is>
      </c>
      <c r="E241" s="212" t="inlineStr">
        <is>
          <t>1. Click Reporting in the page header.
2. Click "Audit Log for Global Taxonomy" under the Audit Log tab.
3. Click "User name" dropdown filter.</t>
        </is>
      </c>
      <c r="F241" s="212" t="inlineStr">
        <is>
          <t>Newly added User name should be visible in.
1. User name dropdown filter.
2. "User Name" column on "Audit for Global Taxonomy" Report.</t>
        </is>
      </c>
      <c r="G241" s="366" t="inlineStr">
        <is>
          <t>Pending</t>
        </is>
      </c>
      <c r="H241" s="240" t="n"/>
      <c r="I241" s="366" t="inlineStr">
        <is>
          <t>Pending</t>
        </is>
      </c>
      <c r="J241" s="3" t="n"/>
      <c r="K241" s="55" t="n"/>
    </row>
    <row r="242" ht="90" customHeight="1">
      <c r="B242" s="258" t="inlineStr">
        <is>
          <t>Report_219</t>
        </is>
      </c>
      <c r="C242" s="252" t="inlineStr">
        <is>
          <t>Reporting &gt; Audit Log Tab &gt; Audit Log for Global Taxonomy</t>
        </is>
      </c>
      <c r="D242" s="212" t="inlineStr">
        <is>
          <t>Validate deleted User in "User name" dropdown filters on "Global Taxonomy" page and "Audit for Global Taxonomy" Report.</t>
        </is>
      </c>
      <c r="E242" s="212" t="inlineStr">
        <is>
          <t>1. Click Reporting in the page header.
2. Click "Audit Log for Global Taxonomy" under the Audit Log tab.
3. Click "User name" dropdown filter.</t>
        </is>
      </c>
      <c r="F242" s="212" t="inlineStr">
        <is>
          <t>Deleted Analyst Name should not be visible in.
1. User name dropdown filter.
2. "User Name" column on "Audit for Global Taxonomy" Report.</t>
        </is>
      </c>
      <c r="G242" s="366" t="inlineStr">
        <is>
          <t>Pending</t>
        </is>
      </c>
      <c r="H242" s="240" t="n"/>
      <c r="I242" s="366" t="inlineStr">
        <is>
          <t>Pending</t>
        </is>
      </c>
      <c r="J242" s="3" t="n"/>
      <c r="K242" s="55" t="n"/>
    </row>
    <row r="243" ht="120" customHeight="1">
      <c r="B243" s="258" t="inlineStr">
        <is>
          <t>Report_220</t>
        </is>
      </c>
      <c r="C243" s="252" t="inlineStr">
        <is>
          <t>Reporting &gt; Audit Log Tab &gt; Audit Log for Global Taxonomy</t>
        </is>
      </c>
      <c r="D243" s="212" t="inlineStr">
        <is>
          <t>Validate the functionality of Analyst Name dropdown filters on "Global Taxonomy" page.</t>
        </is>
      </c>
      <c r="E243" s="212" t="inlineStr">
        <is>
          <t>1. Click Reporting in the page header.
2. Click "Audit Log for Global Taxonomy" under the Audit Log tab.
3. Click "User name" dropdown filter.</t>
        </is>
      </c>
      <c r="F243" s="212" t="inlineStr">
        <is>
          <t>1. It should be a Multi select dropdown filter.
2. Dropdown should have a search bar to search the User Name.
3. Dropdown should have a slider, if the list of the User is long.
4. Selection/un select can be done by checking/unchecking checkbox against all User names.</t>
        </is>
      </c>
      <c r="G243" s="366" t="inlineStr">
        <is>
          <t>Pending</t>
        </is>
      </c>
      <c r="H243" s="240" t="n"/>
      <c r="I243" s="366" t="inlineStr">
        <is>
          <t>Pending</t>
        </is>
      </c>
      <c r="J243" s="3" t="n"/>
      <c r="K243" s="55" t="n"/>
    </row>
    <row r="244" ht="105" customHeight="1">
      <c r="B244" s="258" t="inlineStr">
        <is>
          <t>Report_221</t>
        </is>
      </c>
      <c r="C244" s="252" t="inlineStr">
        <is>
          <t>Reporting &gt; Audit Log Tab &gt; Audit Log for Global Taxonomy</t>
        </is>
      </c>
      <c r="D244" s="212" t="inlineStr">
        <is>
          <t>Validate the Radio buttons on "Global Taxonomy" page.</t>
        </is>
      </c>
      <c r="E244" s="212" t="inlineStr">
        <is>
          <t>1. Click Reporting in the page header.
2. Click Spreading Details.
3. Click "Audit Log for Global Taxonomy" under Audit Log tab.
4. Select any Export type radio button.</t>
        </is>
      </c>
      <c r="F244" s="212" t="inlineStr">
        <is>
          <t>The export format selector should allow only one option to be selected at a time:
1. Excel
2. PDF
3. HTML</t>
        </is>
      </c>
      <c r="G244" s="366" t="inlineStr">
        <is>
          <t>Pending</t>
        </is>
      </c>
      <c r="H244" s="240" t="n"/>
      <c r="I244" s="366" t="inlineStr">
        <is>
          <t>Pending</t>
        </is>
      </c>
      <c r="J244" s="3" t="n"/>
      <c r="K244" s="55" t="n"/>
    </row>
    <row r="245" ht="90" customHeight="1">
      <c r="B245" s="258" t="inlineStr">
        <is>
          <t>Report_222</t>
        </is>
      </c>
      <c r="C245" s="252" t="inlineStr">
        <is>
          <t>Reporting &gt; Audit Log Tab &gt; Audit Log for Global Taxonomy</t>
        </is>
      </c>
      <c r="D245" s="212" t="inlineStr">
        <is>
          <t>Validate the "Information" button on "Global Taxonomy" page.</t>
        </is>
      </c>
      <c r="E245" s="212" t="inlineStr">
        <is>
          <t>1. Click Reporting in the page header.
2. Click Spreading Details.
3. Click "Audit Log for Global Taxonomy" under Audit Log tab.
4. Click Information button.</t>
        </is>
      </c>
      <c r="F245" s="212" t="inlineStr">
        <is>
          <t>1. The Information button should be clickable.
2. Clicking the Information button should open a pop-up message.
3. The pop-up should include a Close button.</t>
        </is>
      </c>
      <c r="G245" s="366" t="inlineStr">
        <is>
          <t>Pending</t>
        </is>
      </c>
      <c r="H245" s="240" t="n"/>
      <c r="I245" s="366" t="inlineStr">
        <is>
          <t>Pending</t>
        </is>
      </c>
      <c r="J245" s="3" t="n"/>
      <c r="K245" s="55" t="n"/>
    </row>
    <row r="246" ht="90" customHeight="1">
      <c r="B246" s="258" t="inlineStr">
        <is>
          <t>Report_223</t>
        </is>
      </c>
      <c r="C246" s="252" t="inlineStr">
        <is>
          <t>Reporting &gt; Audit Log Tab &gt; Audit Log for Global Taxonomy</t>
        </is>
      </c>
      <c r="D246" s="212" t="inlineStr">
        <is>
          <t>Validate the "Refresh" button on "Global Taxonomy" page.</t>
        </is>
      </c>
      <c r="E246" s="212" t="inlineStr">
        <is>
          <t>1. Click Reporting in the page header.
2. Click Spreading Details.
3. Click "Audit Log for Global Taxonomy" under Audit Log tab.
4. Click Refresh button.</t>
        </is>
      </c>
      <c r="F246" s="212" t="inlineStr">
        <is>
          <t>1. The Refresh button should be clickable.
2. Clicking Refresh should clear all selected filters.</t>
        </is>
      </c>
      <c r="G246" s="366" t="inlineStr">
        <is>
          <t>Pending</t>
        </is>
      </c>
      <c r="H246" s="240" t="n"/>
      <c r="I246" s="366" t="inlineStr">
        <is>
          <t>Pending</t>
        </is>
      </c>
      <c r="J246" s="3" t="n"/>
      <c r="K246" s="55" t="n"/>
    </row>
    <row r="247" ht="105" customHeight="1">
      <c r="B247" s="258" t="inlineStr">
        <is>
          <t>Report_224</t>
        </is>
      </c>
      <c r="C247" s="252" t="inlineStr">
        <is>
          <t>Reporting &gt; Audit Log Tab &gt; Audit Log for Global Taxonomy</t>
        </is>
      </c>
      <c r="D247" s="212" t="inlineStr">
        <is>
          <t>Validate the "Generate Report" button on "Global Taxonomy" page.</t>
        </is>
      </c>
      <c r="E247" s="212" t="inlineStr">
        <is>
          <t>1. Click Reporting in the page header.
2. Click Spreading Details.
3. Click "Audit Log for Global Taxonomy" under Audit Log tab.
4. Click Generate Report button.</t>
        </is>
      </c>
      <c r="F247" s="212" t="inlineStr">
        <is>
          <t>1. The Generate Report button should be clickable.
2. Clicking Generate Report should generate the report in the selected format.</t>
        </is>
      </c>
      <c r="G247" s="366" t="inlineStr">
        <is>
          <t>Pending</t>
        </is>
      </c>
      <c r="H247" s="240" t="n"/>
      <c r="I247" s="366" t="inlineStr">
        <is>
          <t>Pending</t>
        </is>
      </c>
      <c r="J247" s="3" t="n"/>
      <c r="K247" s="55" t="n"/>
    </row>
    <row r="248" ht="120" customHeight="1">
      <c r="B248" s="258" t="inlineStr">
        <is>
          <t>Report_225</t>
        </is>
      </c>
      <c r="C248" s="252" t="inlineStr">
        <is>
          <t>Reporting &gt; Audit Log Tab &gt; Audit Log for Global Taxonomy</t>
        </is>
      </c>
      <c r="D248" s="212" t="inlineStr">
        <is>
          <t>Validate the "Audit for Global Taxonomy" report in Excel format.</t>
        </is>
      </c>
      <c r="E248" s="212" t="inlineStr">
        <is>
          <t>1. Log in to the Spreadsmart application.
2. Click Reporting in the page header.
3. Click "Audit Log for Global Taxonomy" under Audit Log tab.
4. Select excel type radio button.
5. Click Generate Report.</t>
        </is>
      </c>
      <c r="F248" s="212" t="inlineStr">
        <is>
          <t>The report should be generated in Excel format.</t>
        </is>
      </c>
      <c r="G248" s="366" t="inlineStr">
        <is>
          <t>Pending</t>
        </is>
      </c>
      <c r="H248" s="240" t="n"/>
      <c r="I248" s="366" t="inlineStr">
        <is>
          <t>Pending</t>
        </is>
      </c>
      <c r="J248" s="3" t="n"/>
      <c r="K248" s="55" t="n"/>
    </row>
    <row r="249" ht="120" customHeight="1">
      <c r="B249" s="258" t="inlineStr">
        <is>
          <t>Report_226</t>
        </is>
      </c>
      <c r="C249" s="252" t="inlineStr">
        <is>
          <t>Reporting &gt; Audit Log Tab &gt; Audit Log for Global Taxonomy</t>
        </is>
      </c>
      <c r="D249" s="212" t="inlineStr">
        <is>
          <t>Validate the "Audit for Global Taxonomy" report in PDF format.</t>
        </is>
      </c>
      <c r="E249" s="212" t="inlineStr">
        <is>
          <t>1. Log in to the Spreadsmart application.
2. Click Reporting in the page header.
3. Click "Audit Log for Global Taxonomy" under Audit Log tab.
4. Select PDF type radio button.
5. Click Generate Report.</t>
        </is>
      </c>
      <c r="F249" s="212" t="inlineStr">
        <is>
          <t>The report should be generated in PDF format.</t>
        </is>
      </c>
      <c r="G249" s="366" t="inlineStr">
        <is>
          <t>Pending</t>
        </is>
      </c>
      <c r="H249" s="240" t="n"/>
      <c r="I249" s="366" t="inlineStr">
        <is>
          <t>Pending</t>
        </is>
      </c>
      <c r="J249" s="3" t="n"/>
      <c r="K249" s="55" t="n"/>
    </row>
    <row r="250" ht="120" customHeight="1">
      <c r="B250" s="258" t="inlineStr">
        <is>
          <t>Report_227</t>
        </is>
      </c>
      <c r="C250" s="252" t="inlineStr">
        <is>
          <t>Reporting &gt; Audit Log Tab &gt; Audit Log for Global Taxonomy</t>
        </is>
      </c>
      <c r="D250" s="212" t="inlineStr">
        <is>
          <t>Validate the "Audit for Global Taxonomy" report in HTML format.</t>
        </is>
      </c>
      <c r="E250" s="212" t="inlineStr">
        <is>
          <t>1. Log in to the Spreadsmart application.
2. Click Reporting in the page header.
3. Click "Audit Log for Global Taxonomy" under Audit Log tab.
4. Select HTML type radio button.
5. Click Generate Report.</t>
        </is>
      </c>
      <c r="F250" s="212" t="inlineStr">
        <is>
          <t>The report should be generated in HTML format.</t>
        </is>
      </c>
      <c r="G250" s="366" t="inlineStr">
        <is>
          <t>Pending</t>
        </is>
      </c>
      <c r="H250" s="240" t="n"/>
      <c r="I250" s="366" t="inlineStr">
        <is>
          <t>Pending</t>
        </is>
      </c>
      <c r="J250" s="3" t="n"/>
      <c r="K250" s="55" t="n"/>
    </row>
    <row r="251" ht="180" customHeight="1">
      <c r="B251" s="258" t="inlineStr">
        <is>
          <t>Report_228</t>
        </is>
      </c>
      <c r="C251" s="252" t="inlineStr">
        <is>
          <t>Reporting &gt; Audit Log Tab &gt; Audit Log for Global Taxonomy</t>
        </is>
      </c>
      <c r="D251" s="212" t="inlineStr">
        <is>
          <t>Validate the Columns of "Audit for Global Taxonomy" report.</t>
        </is>
      </c>
      <c r="E251" s="212" t="inlineStr">
        <is>
          <t>1. Log in to the Spreadsmart application.
2. Click Reporting in the page header.
3. Click "Audit Log for Global Taxonomy" under Audit Log tab.
4. Select all the filters and calendar.
5. Click Generate Report.</t>
        </is>
      </c>
      <c r="F251" s="212" t="inlineStr">
        <is>
          <t>Generated report should have following columns.
1. Taxonomy Group.
2. Language.
3. Keyword.
4. Synonyms.
5. Action.
6. Action Date.
7. User Name.
8. Comments.
Values in the report should be as per the selection.</t>
        </is>
      </c>
      <c r="G251" s="366" t="inlineStr">
        <is>
          <t>Pending</t>
        </is>
      </c>
      <c r="H251" s="240" t="n"/>
      <c r="I251" s="366" t="inlineStr">
        <is>
          <t>Pending</t>
        </is>
      </c>
      <c r="J251" s="3" t="n"/>
      <c r="K251" s="55" t="n"/>
    </row>
    <row r="252" ht="105" customHeight="1">
      <c r="B252" s="258" t="inlineStr">
        <is>
          <t>Report_229</t>
        </is>
      </c>
      <c r="C252" s="253" t="inlineStr">
        <is>
          <t>Reporting &gt; Audit Log Tab &gt; Audit Log for Customer Taxonomy</t>
        </is>
      </c>
      <c r="D252" s="212" t="inlineStr">
        <is>
          <t>Validate the data in the "Customer Name" dropdown filter on Customer Details page.</t>
        </is>
      </c>
      <c r="E252" s="212" t="inlineStr">
        <is>
          <t>1. Click Reporting in the page header.
2. Click "Audit Log for Customer Taxonomy" under the Audit Log tab.
3. Click "Customer Name" dropdown filter.</t>
        </is>
      </c>
      <c r="F252" s="212" t="inlineStr">
        <is>
          <t>"Select Customer Name" should be the default message on the dropdown filter.
Data should be visible as per the Customer Names in the application.</t>
        </is>
      </c>
      <c r="G252" s="366" t="inlineStr">
        <is>
          <t>Pending</t>
        </is>
      </c>
      <c r="H252" s="240" t="n"/>
      <c r="I252" s="366" t="inlineStr">
        <is>
          <t>Pending</t>
        </is>
      </c>
      <c r="J252" s="3" t="n"/>
      <c r="K252" s="55" t="n"/>
    </row>
    <row r="253" ht="165" customHeight="1">
      <c r="B253" s="258" t="inlineStr">
        <is>
          <t>Report_230</t>
        </is>
      </c>
      <c r="C253" s="253" t="inlineStr">
        <is>
          <t>Reporting &gt; Audit Log Tab &gt; Audit Log for Customer Taxonomy</t>
        </is>
      </c>
      <c r="D253" s="212" t="inlineStr">
        <is>
          <t>Validate the functionality of "Customer Name" dropdown filters on "Customer Taxonomy" page.</t>
        </is>
      </c>
      <c r="E253" s="212" t="inlineStr">
        <is>
          <t>1. Click Reporting in the page header.
2. Click "Audit Log for Customer Taxonomy" under the Audit Log tab.
3. Click "Customer Name" dropdown filter.</t>
        </is>
      </c>
      <c r="F253" s="212" t="inlineStr">
        <is>
          <t>1. It should be a Multi select dropdown filter.
2. Dropdown should have a search bar on top to search the Customer Name.
3. Dropdown should have a slider, if the list of the Customer Name is long.
4. Selection/un select can be done by checking/unchecking check box against all Customer Names.
5. All "Customer Name" can be selected by selecting the select all check box mentioned against search bar.</t>
        </is>
      </c>
      <c r="G253" s="366" t="inlineStr">
        <is>
          <t>Pending</t>
        </is>
      </c>
      <c r="H253" s="240" t="n"/>
      <c r="I253" s="366" t="inlineStr">
        <is>
          <t>Pending</t>
        </is>
      </c>
      <c r="J253" s="3" t="n"/>
      <c r="K253" s="55" t="n"/>
    </row>
    <row r="254" ht="135" customHeight="1">
      <c r="B254" s="258" t="inlineStr">
        <is>
          <t>Report_231</t>
        </is>
      </c>
      <c r="C254" s="253" t="inlineStr">
        <is>
          <t>Reporting &gt; Audit Log Tab &gt; Audit Log for Customer Taxonomy</t>
        </is>
      </c>
      <c r="D254" s="212" t="inlineStr">
        <is>
          <t>Validate updating the "Customer Name" name in Filter dropdown and "Audit for Customer Taxonomy" Report.</t>
        </is>
      </c>
      <c r="E254" s="212" t="inlineStr">
        <is>
          <t>1. Click Reporting in the page header.
2. Click "Audit Log for Customer Taxonomy" under the Audit Log tab.
3. Update the name of the Customer.
4. Validate the "Customer" name in the dropdown.</t>
        </is>
      </c>
      <c r="F254" s="212" t="inlineStr">
        <is>
          <t>Customer Name should be updated in the Customer Name drop down and should also be visible in "Customer Name" column of "Audit for Customer Taxonomy" report.</t>
        </is>
      </c>
      <c r="G254" s="366" t="inlineStr">
        <is>
          <t>Pending</t>
        </is>
      </c>
      <c r="H254" s="240" t="n"/>
      <c r="I254" s="366" t="inlineStr">
        <is>
          <t>Pending</t>
        </is>
      </c>
      <c r="J254" s="3" t="n"/>
      <c r="K254" s="55" t="n"/>
    </row>
    <row r="255" ht="120" customHeight="1">
      <c r="B255" s="258" t="inlineStr">
        <is>
          <t>Report_232</t>
        </is>
      </c>
      <c r="C255" s="253" t="inlineStr">
        <is>
          <t>Reporting &gt; Audit Log Tab &gt; Audit Log for Customer Taxonomy</t>
        </is>
      </c>
      <c r="D255" s="212" t="inlineStr">
        <is>
          <t>Validate adding a "Customer Name" in Filter dropdown and "Audit for Customer Taxonomy" Report.</t>
        </is>
      </c>
      <c r="E255" s="212" t="inlineStr">
        <is>
          <t>1. Click Reporting in the page header.
2. Click Audit Log for Customer Taxonomy under Audit Log tab.
3. Add a Customer having access to logged in user.
4. Validate the "Customer Name" in the dropdown.</t>
        </is>
      </c>
      <c r="F255" s="212" t="inlineStr">
        <is>
          <t>Added "Customer Name" should be visible in the Customer Name dropdown list and should also be visible in "Customer Name" column of "Audit for Customer Taxonomy" report.</t>
        </is>
      </c>
      <c r="G255" s="366" t="inlineStr">
        <is>
          <t>Pending</t>
        </is>
      </c>
      <c r="H255" s="240" t="n"/>
      <c r="I255" s="366" t="inlineStr">
        <is>
          <t>Pending</t>
        </is>
      </c>
      <c r="J255" s="3" t="n"/>
      <c r="K255" s="55" t="n"/>
    </row>
    <row r="256" ht="120" customHeight="1">
      <c r="B256" s="258" t="inlineStr">
        <is>
          <t>Report_233</t>
        </is>
      </c>
      <c r="C256" s="253" t="inlineStr">
        <is>
          <t>Reporting &gt; Audit Log Tab &gt; Audit Log for Customer Taxonomy</t>
        </is>
      </c>
      <c r="D256" s="212" t="inlineStr">
        <is>
          <t>Validate deleting a "Customer Name" in Filter dropdown and "Audit for Customer Taxonomy" Report.</t>
        </is>
      </c>
      <c r="E256" s="212" t="inlineStr">
        <is>
          <t>1. Click Reporting in the page header.
2. Click Audit Log for Customer Taxonomy under Audit Log tab.
3. Delete a "Customer Name" having access to logged in user.
4. Validate the "Customer Name" in the dropdown.</t>
        </is>
      </c>
      <c r="F256" s="212" t="inlineStr">
        <is>
          <t>Deleted Customer Name should not be visible in the Customer Name dropdown list and should not be visible in "Customer Name" column of "Audit for Customer Taxonomy" report.</t>
        </is>
      </c>
      <c r="G256" s="366" t="inlineStr">
        <is>
          <t>Pending</t>
        </is>
      </c>
      <c r="H256" s="240" t="n"/>
      <c r="I256" s="366" t="inlineStr">
        <is>
          <t>Pending</t>
        </is>
      </c>
      <c r="J256" s="3" t="n"/>
      <c r="K256" s="55" t="n"/>
    </row>
    <row r="257" ht="180" customHeight="1">
      <c r="B257" s="258" t="inlineStr">
        <is>
          <t>Report_234</t>
        </is>
      </c>
      <c r="C257" s="253" t="inlineStr">
        <is>
          <t>Reporting &gt; Audit Log Tab &gt; Audit Log for Customer Taxonomy</t>
        </is>
      </c>
      <c r="D257" s="212" t="inlineStr">
        <is>
          <t>Validate the "Customer Name" dropdown list on updating the access of logged in user to a "Customer Name" dropdown and "Audit for Customer Taxonomy" Report.</t>
        </is>
      </c>
      <c r="E257" s="212" t="inlineStr">
        <is>
          <t>1. Click Reporting in the page header.
2. Click Audit Log for Customer Taxonomy under Audit Log tab.
3. Validate a Customer Name which is accessed by the logged in user.
4. Validate a Customer Name which is not accessed by the logged in user.
5. Validate the list of the "Customer Name" dropdown.</t>
        </is>
      </c>
      <c r="F257" s="212" t="inlineStr">
        <is>
          <t>1. Only Customer Name should be visible in the dropdown list of Customers, having access to the logged in user and should also be visible in "Customer Name" column of "Audit for Customer Taxonomy" report.
2. Customer Name should not be visible in the dropdown list of Customer Names not having access to the logged in user and should not be visible in "Customer Name" column of "Audit for Customer Taxonomy" report.</t>
        </is>
      </c>
      <c r="G257" s="366" t="inlineStr">
        <is>
          <t>Pending</t>
        </is>
      </c>
      <c r="H257" s="240" t="n"/>
      <c r="I257" s="366" t="inlineStr">
        <is>
          <t>Pending</t>
        </is>
      </c>
      <c r="J257" s="3" t="n"/>
      <c r="K257" s="55" t="n"/>
    </row>
    <row r="258" ht="105" customHeight="1">
      <c r="B258" s="258" t="inlineStr">
        <is>
          <t>Report_235</t>
        </is>
      </c>
      <c r="C258" s="253" t="inlineStr">
        <is>
          <t>Reporting &gt; Audit Log Tab &gt; Audit Log for Customer Taxonomy</t>
        </is>
      </c>
      <c r="D258" s="212" t="inlineStr">
        <is>
          <t>Validate the data in the Language dropdown filter on Customer Taxonomy page.</t>
        </is>
      </c>
      <c r="E258" s="212" t="inlineStr">
        <is>
          <t>1. Click Reporting in the page header.
2. Click "Audit Log for Customer Taxonomy" under the Audit Log tab.
3. Click "Language" dropdown filter.</t>
        </is>
      </c>
      <c r="F258" s="212" t="inlineStr">
        <is>
          <t>"Select Language" should be the default message on the dropdown filter.
Data should be the list of all the language in the system.</t>
        </is>
      </c>
      <c r="G258" s="366" t="inlineStr">
        <is>
          <t>Pending</t>
        </is>
      </c>
      <c r="H258" s="240" t="n"/>
      <c r="I258" s="366" t="inlineStr">
        <is>
          <t>Pending</t>
        </is>
      </c>
      <c r="J258" s="3" t="n"/>
      <c r="K258" s="55" t="n"/>
    </row>
    <row r="259" ht="165" customHeight="1">
      <c r="B259" s="258" t="inlineStr">
        <is>
          <t>Report_236</t>
        </is>
      </c>
      <c r="C259" s="253" t="inlineStr">
        <is>
          <t>Reporting &gt; Audit Log Tab &gt; Audit Log for Customer Taxonomy</t>
        </is>
      </c>
      <c r="D259" s="212" t="inlineStr">
        <is>
          <t>Validate the functionality of Language dropdown filters on "Customer Taxonomy" page.</t>
        </is>
      </c>
      <c r="E259" s="212" t="inlineStr">
        <is>
          <t>1. Click Reporting in the page header.
2. Click "Audit Log for Customer Taxonomy" under the Audit Log tab.
3. Click "Language" dropdown filter.</t>
        </is>
      </c>
      <c r="F259" s="212" t="inlineStr">
        <is>
          <t>1. It should be a Multi select dropdown filter.
2. Dropdown should have a search bar on top to search the model.
3. Dropdown should have a slider, if the list of the language is long.
4. Selection/un select can be done by checking/unchecking checkbox against all Language.
5. All Language can be selected by selecting the select all check box mentioned against search bar.</t>
        </is>
      </c>
      <c r="G259" s="366" t="inlineStr">
        <is>
          <t>Pending</t>
        </is>
      </c>
      <c r="H259" s="240" t="n"/>
      <c r="I259" s="366" t="inlineStr">
        <is>
          <t>Pending</t>
        </is>
      </c>
      <c r="J259" s="3" t="n"/>
      <c r="K259" s="55" t="n"/>
    </row>
    <row r="260" ht="105" customHeight="1">
      <c r="B260" s="258" t="inlineStr">
        <is>
          <t>Report_237</t>
        </is>
      </c>
      <c r="C260" s="253" t="inlineStr">
        <is>
          <t>Reporting &gt; Audit Log Tab &gt; Audit Log for Customer Taxonomy</t>
        </is>
      </c>
      <c r="D260" s="212" t="inlineStr">
        <is>
          <t>Validate the "Action Date" calendar on "Customer Taxonomy" page.</t>
        </is>
      </c>
      <c r="E260" s="212" t="inlineStr">
        <is>
          <t>1. Click Reporting in the page header.
2. Click "Audit Log for Customer Taxonomy" under the Audit Log tab.
3. Click the Action Date calendar.</t>
        </is>
      </c>
      <c r="F260" s="212" t="inlineStr">
        <is>
          <t>Action Date calendar should be clickable.
"Action Date Range" should be the default message on the calendar.</t>
        </is>
      </c>
      <c r="G260" s="366" t="inlineStr">
        <is>
          <t>Pending</t>
        </is>
      </c>
      <c r="H260" s="240" t="n"/>
      <c r="I260" s="366" t="inlineStr">
        <is>
          <t>Pending</t>
        </is>
      </c>
      <c r="J260" s="3" t="n"/>
      <c r="K260" s="55" t="n"/>
    </row>
    <row r="261" ht="105" customHeight="1">
      <c r="B261" s="258" t="inlineStr">
        <is>
          <t>Report_238</t>
        </is>
      </c>
      <c r="C261" s="253" t="inlineStr">
        <is>
          <t>Reporting &gt; Audit Log Tab &gt; Audit Log for Customer Taxonomy</t>
        </is>
      </c>
      <c r="D261" s="212" t="inlineStr">
        <is>
          <t>Validate the functionality of "Action Date" calendar on "Customer Taxonomy" page.</t>
        </is>
      </c>
      <c r="E261" s="212" t="inlineStr">
        <is>
          <t>1. Click Reporting in the page header.
2. Click "Audit Log for Customer Taxonomy" under the Audit Log tab.
3. Click the Action Date calendar.</t>
        </is>
      </c>
      <c r="F261" s="212" t="inlineStr">
        <is>
          <t>1. It should be a calendar on which start date and end date range can be selected.
2. The user should be able to re-select the date range.</t>
        </is>
      </c>
      <c r="G261" s="366" t="inlineStr">
        <is>
          <t>Pending</t>
        </is>
      </c>
      <c r="H261" s="240" t="n"/>
      <c r="I261" s="366" t="inlineStr">
        <is>
          <t>Pending</t>
        </is>
      </c>
      <c r="J261" s="3" t="n"/>
      <c r="K261" s="55" t="n"/>
    </row>
    <row r="262" ht="135" customHeight="1">
      <c r="B262" s="258" t="inlineStr">
        <is>
          <t>Report_239</t>
        </is>
      </c>
      <c r="C262" s="253" t="inlineStr">
        <is>
          <t>Reporting &gt; Audit Log Tab &gt; Audit Log for Customer Taxonomy</t>
        </is>
      </c>
      <c r="D262" s="212" t="inlineStr">
        <is>
          <t>Validate the functionality of "Action Date" calendar on "Audit for Customer Taxonomy" Report.</t>
        </is>
      </c>
      <c r="E262" s="212" t="inlineStr">
        <is>
          <t>1. Click Reporting in the page header.
2. Click "Audit Log for Customer Taxonomy" under the Audit Log tab.
3. Select Action Date range in calendar.
4. Download the report.
5. Validate.</t>
        </is>
      </c>
      <c r="F262" s="212" t="inlineStr">
        <is>
          <t>Date Range in "Audit for Customer Taxonomy" report should be as per the selection in "Action Date" calendar.</t>
        </is>
      </c>
      <c r="G262" s="366" t="inlineStr">
        <is>
          <t>Pending</t>
        </is>
      </c>
      <c r="H262" s="240" t="n"/>
      <c r="I262" s="366" t="inlineStr">
        <is>
          <t>Pending</t>
        </is>
      </c>
      <c r="J262" s="3" t="n"/>
      <c r="K262" s="55" t="n"/>
    </row>
    <row r="263" ht="105" customHeight="1">
      <c r="B263" s="258" t="inlineStr">
        <is>
          <t>Report_240</t>
        </is>
      </c>
      <c r="C263" s="253" t="inlineStr">
        <is>
          <t>Reporting &gt; Audit Log Tab &gt; Audit Log for Customer Taxonomy</t>
        </is>
      </c>
      <c r="D263" s="212" t="inlineStr">
        <is>
          <t>Validate the data in the "User name" dropdown filters on "Customer Taxonomy" page.</t>
        </is>
      </c>
      <c r="E263" s="212" t="inlineStr">
        <is>
          <t>1. Click Reporting in the page header.
2. Click "Audit Log for Customer Taxonomy" under the Audit Log tab.
3. Click "User name" dropdown filter.</t>
        </is>
      </c>
      <c r="F263" s="212" t="inlineStr">
        <is>
          <t>"Select User Name(s)" should be the default message on the dropdown filter, data should contains the list of all the Users.</t>
        </is>
      </c>
      <c r="G263" s="366" t="inlineStr">
        <is>
          <t>Pending</t>
        </is>
      </c>
      <c r="H263" s="240" t="n"/>
      <c r="I263" s="366" t="inlineStr">
        <is>
          <t>Pending</t>
        </is>
      </c>
      <c r="J263" s="3" t="n"/>
      <c r="K263" s="55" t="n"/>
    </row>
    <row r="264" ht="105" customHeight="1">
      <c r="B264" s="258" t="inlineStr">
        <is>
          <t>Report_241</t>
        </is>
      </c>
      <c r="C264" s="253" t="inlineStr">
        <is>
          <t>Reporting &gt; Audit Log Tab &gt; Audit Log for Customer Taxonomy</t>
        </is>
      </c>
      <c r="D264" s="212" t="inlineStr">
        <is>
          <t>Validate newly added User in "User name" dropdown filters on "Customer Taxonomy" page and "Audit for Customer Taxonomy" Report.</t>
        </is>
      </c>
      <c r="E264" s="212" t="inlineStr">
        <is>
          <t>1. Click Reporting in the page header.
2. Click "Audit Log for Customer Taxonomy" under the Audit Log tab.
3. Click "User name" dropdown filter.</t>
        </is>
      </c>
      <c r="F264" s="212" t="inlineStr">
        <is>
          <t>Newly added User name should be visible in.
1. User name dropdown filter.
2. "User Name" column on "Audit for Customer Taxonomy" Report.</t>
        </is>
      </c>
      <c r="G264" s="366" t="inlineStr">
        <is>
          <t>Pending</t>
        </is>
      </c>
      <c r="H264" s="240" t="n"/>
      <c r="I264" s="366" t="inlineStr">
        <is>
          <t>Pending</t>
        </is>
      </c>
      <c r="J264" s="3" t="n"/>
      <c r="K264" s="55" t="n"/>
    </row>
    <row r="265" ht="105" customHeight="1">
      <c r="B265" s="258" t="inlineStr">
        <is>
          <t>Report_242</t>
        </is>
      </c>
      <c r="C265" s="253" t="inlineStr">
        <is>
          <t>Reporting &gt; Audit Log Tab &gt; Audit Log for Customer Taxonomy</t>
        </is>
      </c>
      <c r="D265" s="212" t="inlineStr">
        <is>
          <t>Validate deleted User in "User name" dropdown filters on "Customer Taxonomy" page and "Audit for Customer Taxonomy" Report.</t>
        </is>
      </c>
      <c r="E265" s="212" t="inlineStr">
        <is>
          <t>1. Click Reporting in the page header.
2. Click "Audit Log for Customer Taxonomy" under the Audit Log tab.
3. Click "User name" dropdown filter.</t>
        </is>
      </c>
      <c r="F265" s="212" t="inlineStr">
        <is>
          <t>Deleted Analyst Name should not be visible in.
1. User name dropdown filter.
2. "User Name" column on "Audit for Customer Taxonomy" Report.</t>
        </is>
      </c>
      <c r="G265" s="366" t="inlineStr">
        <is>
          <t>Pending</t>
        </is>
      </c>
      <c r="H265" s="240" t="n"/>
      <c r="I265" s="366" t="inlineStr">
        <is>
          <t>Pending</t>
        </is>
      </c>
      <c r="J265" s="3" t="n"/>
      <c r="K265" s="55" t="n"/>
    </row>
    <row r="266" ht="120" customHeight="1">
      <c r="B266" s="258" t="inlineStr">
        <is>
          <t>Report_243</t>
        </is>
      </c>
      <c r="C266" s="253" t="inlineStr">
        <is>
          <t>Reporting &gt; Audit Log Tab &gt; Audit Log for Customer Taxonomy</t>
        </is>
      </c>
      <c r="D266" s="212" t="inlineStr">
        <is>
          <t>Validate the functionality of Analyst Name dropdown filters on "Customer Taxonomy" page.</t>
        </is>
      </c>
      <c r="E266" s="212" t="inlineStr">
        <is>
          <t>1. Click Reporting in the page header.
2. Click "Audit Log for Customer Taxonomy" under the Audit Log tab.
3. Click "User name" dropdown filter.</t>
        </is>
      </c>
      <c r="F266" s="212" t="inlineStr">
        <is>
          <t>1. It should be a Multi select dropdown filter.
2. Dropdown should have a search bar to search the User Name.
3. Dropdown should have a slider, if the list of the User is long.
4. Selection/un select can be done by checking/unchecking checkbox against all User names.</t>
        </is>
      </c>
      <c r="G266" s="366" t="inlineStr">
        <is>
          <t>Pending</t>
        </is>
      </c>
      <c r="H266" s="240" t="n"/>
      <c r="I266" s="366" t="inlineStr">
        <is>
          <t>Pending</t>
        </is>
      </c>
      <c r="J266" s="3" t="n"/>
      <c r="K266" s="55" t="n"/>
    </row>
    <row r="267" ht="120" customHeight="1">
      <c r="B267" s="258" t="inlineStr">
        <is>
          <t>Report_244</t>
        </is>
      </c>
      <c r="C267" s="253" t="inlineStr">
        <is>
          <t>Reporting &gt; Audit Log Tab &gt; Audit Log for Customer Taxonomy</t>
        </is>
      </c>
      <c r="D267" s="212" t="inlineStr">
        <is>
          <t>Validate the Radio buttons on "Customer Taxonomy" page.</t>
        </is>
      </c>
      <c r="E267" s="212" t="inlineStr">
        <is>
          <t>1. Click Reporting in the page header.
2. Click Spreading Details.
3. Click "Audit Log for Customer Taxonomy" under Audit Log tab.
4. Select any Export type radio button.</t>
        </is>
      </c>
      <c r="F267" s="212" t="inlineStr">
        <is>
          <t>The export format selector should allow only one option to be selected at a time:
1. Excel
2. PDF
3. HTML</t>
        </is>
      </c>
      <c r="G267" s="366" t="inlineStr">
        <is>
          <t>Pending</t>
        </is>
      </c>
      <c r="H267" s="240" t="n"/>
      <c r="I267" s="366" t="inlineStr">
        <is>
          <t>Pending</t>
        </is>
      </c>
      <c r="J267" s="3" t="n"/>
      <c r="K267" s="55" t="n"/>
    </row>
    <row r="268" ht="105" customHeight="1">
      <c r="B268" s="258" t="inlineStr">
        <is>
          <t>Report_245</t>
        </is>
      </c>
      <c r="C268" s="253" t="inlineStr">
        <is>
          <t>Reporting &gt; Audit Log Tab &gt; Audit Log for Customer Taxonomy</t>
        </is>
      </c>
      <c r="D268" s="212" t="inlineStr">
        <is>
          <t>Validate the "Information" button on "Customer Taxonomy" page.</t>
        </is>
      </c>
      <c r="E268" s="212" t="inlineStr">
        <is>
          <t>1. Click Reporting in the page header.
2. Click Spreading Details.
3. Click "Audit Log for Customer Taxonomy" under Audit Log tab.
4. Click Information button.</t>
        </is>
      </c>
      <c r="F268" s="212" t="inlineStr">
        <is>
          <t>1. The Information button should be clickable.
2. Clicking the Information button should open a pop-up message.
3. The pop-up should include a Close button.</t>
        </is>
      </c>
      <c r="G268" s="366" t="inlineStr">
        <is>
          <t>Pending</t>
        </is>
      </c>
      <c r="H268" s="240" t="n"/>
      <c r="I268" s="366" t="inlineStr">
        <is>
          <t>Pending</t>
        </is>
      </c>
      <c r="J268" s="3" t="n"/>
      <c r="K268" s="55" t="n"/>
    </row>
    <row r="269" ht="105" customHeight="1">
      <c r="B269" s="258" t="inlineStr">
        <is>
          <t>Report_246</t>
        </is>
      </c>
      <c r="C269" s="253" t="inlineStr">
        <is>
          <t>Reporting &gt; Audit Log Tab &gt; Audit Log for Customer Taxonomy</t>
        </is>
      </c>
      <c r="D269" s="212" t="inlineStr">
        <is>
          <t>Validate the "Refresh" button on "Customer Taxonomy" page.</t>
        </is>
      </c>
      <c r="E269" s="212" t="inlineStr">
        <is>
          <t>1. Click Reporting in the page header.
2. Click Spreading Details.
3. Click "Audit Log for Customer Taxonomy" under Audit Log tab.
4. Click Refresh button.</t>
        </is>
      </c>
      <c r="F269" s="212" t="inlineStr">
        <is>
          <t>1. The Refresh button should be clickable.
2. Clicking Refresh should clear all selected filters.</t>
        </is>
      </c>
      <c r="G269" s="366" t="inlineStr">
        <is>
          <t>Pending</t>
        </is>
      </c>
      <c r="H269" s="240" t="n"/>
      <c r="I269" s="366" t="inlineStr">
        <is>
          <t>Pending</t>
        </is>
      </c>
      <c r="J269" s="3" t="n"/>
      <c r="K269" s="55" t="n"/>
    </row>
    <row r="270" ht="120" customHeight="1">
      <c r="B270" s="258" t="inlineStr">
        <is>
          <t>Report_247</t>
        </is>
      </c>
      <c r="C270" s="253" t="inlineStr">
        <is>
          <t>Reporting &gt; Audit Log Tab &gt; Audit Log for Customer Taxonomy</t>
        </is>
      </c>
      <c r="D270" s="212" t="inlineStr">
        <is>
          <t>Validate the "Generate Report" button on "Customer Taxonomy" page.</t>
        </is>
      </c>
      <c r="E270" s="212" t="inlineStr">
        <is>
          <t>1. Click Reporting in the page header.
2. Click Spreading Details.
3. Click "Audit Log for Customer Taxonomy" under Audit Log tab.
4. Click Generate Report button.</t>
        </is>
      </c>
      <c r="F270" s="212" t="inlineStr">
        <is>
          <t>1. The Generate Report button should be clickable.
2. Clicking Generate Report should generate the report in the selected format.</t>
        </is>
      </c>
      <c r="G270" s="366" t="inlineStr">
        <is>
          <t>Pending</t>
        </is>
      </c>
      <c r="H270" s="240" t="n"/>
      <c r="I270" s="366" t="inlineStr">
        <is>
          <t>Pending</t>
        </is>
      </c>
      <c r="J270" s="3" t="n"/>
      <c r="K270" s="55" t="n"/>
    </row>
    <row r="271" ht="135" customHeight="1">
      <c r="B271" s="258" t="inlineStr">
        <is>
          <t>Report_248</t>
        </is>
      </c>
      <c r="C271" s="253" t="inlineStr">
        <is>
          <t>Reporting &gt; Audit Log Tab &gt; Audit Log for Customer Taxonomy</t>
        </is>
      </c>
      <c r="D271" s="212" t="inlineStr">
        <is>
          <t>Validate the "Audit for Customer Taxonomy" report in Excel format.</t>
        </is>
      </c>
      <c r="E271" s="212" t="inlineStr">
        <is>
          <t>1. Log in to the Spreadsmart application.
2. Click Reporting in the page header.
3. Click "Audit Log for Customer Taxonomy" under Audit Log tab.
4. Select excel type radio button.
5. Click Generate Report.</t>
        </is>
      </c>
      <c r="F271" s="212" t="inlineStr">
        <is>
          <t>The report should be generated in Excel format.</t>
        </is>
      </c>
      <c r="G271" s="366" t="inlineStr">
        <is>
          <t>Pending</t>
        </is>
      </c>
      <c r="H271" s="240" t="n"/>
      <c r="I271" s="366" t="inlineStr">
        <is>
          <t>Pending</t>
        </is>
      </c>
      <c r="J271" s="3" t="n"/>
      <c r="K271" s="55" t="n"/>
    </row>
    <row r="272" ht="135" customHeight="1">
      <c r="B272" s="258" t="inlineStr">
        <is>
          <t>Report_249</t>
        </is>
      </c>
      <c r="C272" s="253" t="inlineStr">
        <is>
          <t>Reporting &gt; Audit Log Tab &gt; Audit Log for Customer Taxonomy</t>
        </is>
      </c>
      <c r="D272" s="212" t="inlineStr">
        <is>
          <t>Validate the "Audit for Customer Taxonomy" report in PDF format.</t>
        </is>
      </c>
      <c r="E272" s="212" t="inlineStr">
        <is>
          <t>1. Log in to the Spreadsmart application.
2. Click Reporting in the page header.
3. Click "Audit Log for Customer Taxonomy" under Audit Log tab.
4. Select PDF type radio button.
5. Click Generate Report.</t>
        </is>
      </c>
      <c r="F272" s="212" t="inlineStr">
        <is>
          <t>The report should be generated in PDF format.</t>
        </is>
      </c>
      <c r="G272" s="366" t="inlineStr">
        <is>
          <t>Pending</t>
        </is>
      </c>
      <c r="H272" s="240" t="n"/>
      <c r="I272" s="366" t="inlineStr">
        <is>
          <t>Pending</t>
        </is>
      </c>
      <c r="J272" s="3" t="n"/>
      <c r="K272" s="55" t="n"/>
    </row>
    <row r="273" ht="135" customHeight="1">
      <c r="B273" s="258" t="inlineStr">
        <is>
          <t>Report_250</t>
        </is>
      </c>
      <c r="C273" s="253" t="inlineStr">
        <is>
          <t>Reporting &gt; Audit Log Tab &gt; Audit Log for Customer Taxonomy</t>
        </is>
      </c>
      <c r="D273" s="212" t="inlineStr">
        <is>
          <t>Validate the "Audit for Customer Taxonomy" report in HTML format.</t>
        </is>
      </c>
      <c r="E273" s="212" t="inlineStr">
        <is>
          <t>1. Log in to the Spreadsmart application.
2. Click Reporting in the page header.
3. Click "Audit Log for Customer Taxonomy" under Audit Log tab.
4. Select HTML type radio button.
5. Click Generate Report.</t>
        </is>
      </c>
      <c r="F273" s="212" t="inlineStr">
        <is>
          <t>The report should be generated in HTML format.</t>
        </is>
      </c>
      <c r="G273" s="366" t="inlineStr">
        <is>
          <t>Pending</t>
        </is>
      </c>
      <c r="H273" s="240" t="n"/>
      <c r="I273" s="366" t="inlineStr">
        <is>
          <t>Pending</t>
        </is>
      </c>
      <c r="J273" s="3" t="n"/>
      <c r="K273" s="55" t="n"/>
    </row>
    <row r="274" ht="180.75" customHeight="1" thickBot="1">
      <c r="B274" s="260" t="inlineStr">
        <is>
          <t>Report_251</t>
        </is>
      </c>
      <c r="C274" s="261" t="inlineStr">
        <is>
          <t>Reporting &gt; Audit Log Tab &gt; Audit Log for Customer Taxonomy</t>
        </is>
      </c>
      <c r="D274" s="216" t="inlineStr">
        <is>
          <t>Validate the Columns of "Audit for Customer Taxonomy" report.</t>
        </is>
      </c>
      <c r="E274" s="216" t="inlineStr">
        <is>
          <t>1. Log in to the Spreadsmart application.
2. Click Reporting in the page header.
3. Click "Audit Log for Customer Taxonomy" under Audit Log tab.
4. Select all the filters and calendar.
5. Click Generate Report.</t>
        </is>
      </c>
      <c r="F274" s="216" t="inlineStr">
        <is>
          <t>Generated report should have following columns.
1. Customer.
2. Language.
3. Keyword.
4. Synonyms.
5. Action.
6. Action Date.
7. User Name.
8. Comments.
Values in the report should be as per the selection.</t>
        </is>
      </c>
      <c r="G274" s="155" t="inlineStr">
        <is>
          <t>Pending</t>
        </is>
      </c>
      <c r="H274" s="262" t="n"/>
      <c r="I274" s="155" t="inlineStr">
        <is>
          <t>Pending</t>
        </is>
      </c>
      <c r="J274" s="21" t="n"/>
      <c r="K274" s="56" t="n"/>
    </row>
  </sheetData>
  <mergeCells count="7">
    <mergeCell ref="B6:C6"/>
    <mergeCell ref="B7:C7"/>
    <mergeCell ref="B2:F2"/>
    <mergeCell ref="B3:C3"/>
    <mergeCell ref="B5:C5"/>
    <mergeCell ref="B8:C8"/>
    <mergeCell ref="B4:C4"/>
  </mergeCells>
  <conditionalFormatting sqref="D3">
    <cfRule type="expression" priority="134" dxfId="51" stopIfTrue="1">
      <formula>AND(COUNTIF($A$8:$A$8, D3)+COUNTIF(#REF!, D3)&gt;1,NOT(ISBLANK(D3)))</formula>
    </cfRule>
  </conditionalFormatting>
  <conditionalFormatting sqref="D4">
    <cfRule type="cellIs" priority="92" operator="lessThan" dxfId="10" stopIfTrue="1">
      <formula>1</formula>
    </cfRule>
  </conditionalFormatting>
  <conditionalFormatting sqref="D4:D8">
    <cfRule type="cellIs" priority="87" operator="greaterThan" dxfId="9" stopIfTrue="1">
      <formula>0</formula>
    </cfRule>
    <cfRule type="cellIs" priority="88" operator="greaterThan" dxfId="9" stopIfTrue="1">
      <formula>1</formula>
    </cfRule>
    <cfRule type="cellIs" priority="89" operator="greaterThan" dxfId="10" stopIfTrue="1">
      <formula>0</formula>
    </cfRule>
    <cfRule type="cellIs" priority="90" operator="greaterThan" dxfId="10" stopIfTrue="1">
      <formula>1</formula>
    </cfRule>
    <cfRule type="cellIs" priority="91" operator="equal" dxfId="9" stopIfTrue="1">
      <formula>$C$3</formula>
    </cfRule>
  </conditionalFormatting>
  <conditionalFormatting sqref="D5:D8">
    <cfRule type="cellIs" priority="80" operator="lessThan" dxfId="10" stopIfTrue="1">
      <formula>1</formula>
    </cfRule>
  </conditionalFormatting>
  <conditionalFormatting sqref="E4">
    <cfRule type="cellIs" priority="123" operator="equal" dxfId="9" stopIfTrue="1">
      <formula>1</formula>
    </cfRule>
    <cfRule type="cellIs" priority="124" operator="lessThan" dxfId="10" stopIfTrue="1">
      <formula>1</formula>
    </cfRule>
  </conditionalFormatting>
  <conditionalFormatting sqref="E5:E8">
    <cfRule type="cellIs" priority="94" operator="equal" dxfId="9" stopIfTrue="1">
      <formula>1</formula>
    </cfRule>
    <cfRule type="cellIs" priority="95" operator="lessThan" dxfId="10" stopIfTrue="1">
      <formula>1</formula>
    </cfRule>
    <cfRule type="cellIs" priority="96" operator="equal" dxfId="9" stopIfTrue="1">
      <formula>1</formula>
    </cfRule>
    <cfRule type="cellIs" priority="97" operator="lessThan" dxfId="10" stopIfTrue="1">
      <formula>1</formula>
    </cfRule>
  </conditionalFormatting>
  <conditionalFormatting sqref="E4:F4">
    <cfRule type="cellIs" priority="119" operator="equal" dxfId="9" stopIfTrue="1">
      <formula>1</formula>
    </cfRule>
    <cfRule type="cellIs" priority="120" operator="lessThan" dxfId="10" stopIfTrue="1">
      <formula>1</formula>
    </cfRule>
  </conditionalFormatting>
  <conditionalFormatting sqref="F4">
    <cfRule type="cellIs" priority="117" operator="equal" dxfId="9" stopIfTrue="1">
      <formula>1</formula>
    </cfRule>
    <cfRule type="cellIs" priority="118" operator="lessThan" dxfId="10" stopIfTrue="1">
      <formula>1</formula>
    </cfRule>
  </conditionalFormatting>
  <conditionalFormatting sqref="F5">
    <cfRule type="cellIs" priority="113" operator="greaterThan" dxfId="10" stopIfTrue="1">
      <formula>0</formula>
    </cfRule>
    <cfRule type="cellIs" priority="114" operator="equal" dxfId="9" stopIfTrue="1">
      <formula>0</formula>
    </cfRule>
    <cfRule type="cellIs" priority="115" operator="greaterThan" dxfId="10" stopIfTrue="1">
      <formula>0</formula>
    </cfRule>
    <cfRule type="cellIs" priority="116" operator="equal" dxfId="9" stopIfTrue="1">
      <formula>0</formula>
    </cfRule>
  </conditionalFormatting>
  <conditionalFormatting sqref="F6">
    <cfRule type="cellIs" priority="111" operator="equal" dxfId="9" stopIfTrue="1">
      <formula>0</formula>
    </cfRule>
    <cfRule type="cellIs" priority="112" operator="greaterThan" dxfId="22" stopIfTrue="1">
      <formula>0</formula>
    </cfRule>
  </conditionalFormatting>
  <conditionalFormatting sqref="F6:F7">
    <cfRule type="cellIs" priority="107" operator="equal" dxfId="9" stopIfTrue="1">
      <formula>0</formula>
    </cfRule>
    <cfRule type="cellIs" priority="108" operator="greaterThan" dxfId="22" stopIfTrue="1">
      <formula>0</formula>
    </cfRule>
  </conditionalFormatting>
  <conditionalFormatting sqref="F7:F8">
    <cfRule type="cellIs" priority="103" operator="equal" dxfId="9" stopIfTrue="1">
      <formula>0</formula>
    </cfRule>
    <cfRule type="cellIs" priority="104" operator="greaterThan" dxfId="22" stopIfTrue="1">
      <formula>0</formula>
    </cfRule>
  </conditionalFormatting>
  <conditionalFormatting sqref="F8">
    <cfRule type="cellIs" priority="101" operator="equal" dxfId="9" stopIfTrue="1">
      <formula>0</formula>
    </cfRule>
    <cfRule type="cellIs" priority="102" operator="greaterThan" dxfId="22" stopIfTrue="1">
      <formula>0</formula>
    </cfRule>
  </conditionalFormatting>
  <conditionalFormatting sqref="G5:G8">
    <cfRule type="cellIs" priority="74" operator="lessThan" dxfId="10" stopIfTrue="1">
      <formula>1</formula>
    </cfRule>
    <cfRule type="cellIs" priority="75" operator="greaterThan" dxfId="9" stopIfTrue="1">
      <formula>0</formula>
    </cfRule>
    <cfRule type="cellIs" priority="76" operator="greaterThan" dxfId="9" stopIfTrue="1">
      <formula>1</formula>
    </cfRule>
    <cfRule type="cellIs" priority="77" operator="greaterThan" dxfId="10" stopIfTrue="1">
      <formula>0</formula>
    </cfRule>
    <cfRule type="cellIs" priority="78" operator="greaterThan" dxfId="10" stopIfTrue="1">
      <formula>1</formula>
    </cfRule>
    <cfRule type="cellIs" priority="79" operator="equal" dxfId="9" stopIfTrue="1">
      <formula>$C$3</formula>
    </cfRule>
  </conditionalFormatting>
  <conditionalFormatting sqref="G10:G274">
    <cfRule type="cellIs" priority="10" operator="equal" dxfId="6" stopIfTrue="1">
      <formula>"NA"</formula>
    </cfRule>
    <cfRule type="cellIs" priority="11" operator="equal" dxfId="5" stopIfTrue="1">
      <formula>"Blocked"</formula>
    </cfRule>
    <cfRule type="cellIs" priority="12" operator="equal" dxfId="4" stopIfTrue="1">
      <formula>"Pending"</formula>
    </cfRule>
    <cfRule type="cellIs" priority="13" operator="equal" dxfId="0" stopIfTrue="1">
      <formula>"Passed"</formula>
    </cfRule>
    <cfRule type="cellIs" priority="14" operator="equal" dxfId="1" stopIfTrue="1">
      <formula>"Failed"</formula>
    </cfRule>
    <cfRule type="cellIs" priority="15" operator="equal" dxfId="1" stopIfTrue="1">
      <formula>"Fail"</formula>
    </cfRule>
    <cfRule type="cellIs" priority="16" operator="equal" dxfId="0" stopIfTrue="1">
      <formula>"Pass"</formula>
    </cfRule>
  </conditionalFormatting>
  <conditionalFormatting sqref="I10:I274">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G10:G274" showDropDown="0" showInputMessage="1" showErrorMessage="1" allowBlank="1" type="list">
      <formula1>"Passed,Failed,Blocked,Pending,NA"</formula1>
    </dataValidation>
    <dataValidation sqref="I10:I274"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B2:J68"/>
  <sheetViews>
    <sheetView showGridLines="0" topLeftCell="C1" workbookViewId="0">
      <selection activeCell="G12" sqref="G12"/>
    </sheetView>
  </sheetViews>
  <sheetFormatPr baseColWidth="8" defaultRowHeight="15"/>
  <cols>
    <col width="5" customWidth="1" min="1" max="1"/>
    <col width="12.7109375" customWidth="1" min="2" max="2"/>
    <col width="27.5703125" customWidth="1" min="3" max="3"/>
    <col width="44.7109375" customWidth="1" min="4" max="5"/>
    <col width="19" customWidth="1" min="7" max="7"/>
    <col width="25.42578125" customWidth="1" min="8" max="8"/>
    <col width="19" customWidth="1" min="9" max="9"/>
    <col width="15.28515625" customWidth="1" min="10"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COUNTIF(F9:F79,"Passed")</f>
        <v/>
      </c>
      <c r="E4" s="53">
        <f>IF(D4=0,,(D4/(D4+D5)))</f>
        <v/>
      </c>
      <c r="F4" s="51">
        <f>IF(D3=0,,(D4/D3))</f>
        <v/>
      </c>
      <c r="G4" s="156">
        <f>COUNTIF(H10:H482,"Done")</f>
        <v/>
      </c>
    </row>
    <row r="5" ht="15.75" customHeight="1" thickBot="1">
      <c r="B5" s="350" t="inlineStr">
        <is>
          <t>Failed</t>
        </is>
      </c>
      <c r="D5" s="52">
        <f>COUNTIF(F9:F79,"Failed")</f>
        <v/>
      </c>
      <c r="E5" s="53">
        <f>IF(D5=0,,(D5/(D5+D6)))</f>
        <v/>
      </c>
      <c r="F5" s="51">
        <f>IF(D3=0,,(D5/D3))</f>
        <v/>
      </c>
      <c r="G5" s="52">
        <f>COUNTIF(H10:H482,"Failed")</f>
        <v/>
      </c>
    </row>
    <row r="6" ht="15.75" customHeight="1" thickBot="1">
      <c r="B6" s="350" t="inlineStr">
        <is>
          <t>Blocked</t>
        </is>
      </c>
      <c r="D6" s="52">
        <f>COUNTIF(F9:F79,"Blocked")</f>
        <v/>
      </c>
      <c r="E6" s="53">
        <f>IF(D6=0,,(D6/(D6+D7)))</f>
        <v/>
      </c>
      <c r="F6" s="51">
        <f>IF(D3=0,,(D6/D3))</f>
        <v/>
      </c>
      <c r="G6" s="52">
        <f>COUNTIF(H10:H482,"Blocked")</f>
        <v/>
      </c>
    </row>
    <row r="7" ht="15.75" customHeight="1" thickBot="1">
      <c r="B7" s="350" t="inlineStr">
        <is>
          <t>Pending</t>
        </is>
      </c>
      <c r="D7" s="52">
        <f>COUNTIF(F9:F79,"Pending")</f>
        <v/>
      </c>
      <c r="E7" s="53">
        <f>IF(D7=0,,(D7/(D7+D8)))</f>
        <v/>
      </c>
      <c r="F7" s="51">
        <f>IF(D3=0,,(D7/D3))</f>
        <v/>
      </c>
      <c r="G7" s="52">
        <f>COUNTIF(H10:H482,"Pending")</f>
        <v/>
      </c>
    </row>
    <row r="8" ht="15.75" customHeight="1" thickBot="1">
      <c r="B8" s="350" t="inlineStr">
        <is>
          <t>Not Applicable</t>
        </is>
      </c>
      <c r="D8" s="52">
        <f>COUNTIF(F9:F79,"Not Applicable")</f>
        <v/>
      </c>
      <c r="E8" s="53">
        <f>IF(D8=0,,(D8/(D8+#REF!)))</f>
        <v/>
      </c>
      <c r="F8" s="51">
        <f>IF(D3=0,,(D8/D3))</f>
        <v/>
      </c>
      <c r="G8" s="52">
        <f>COUNTIF(H10:H482,"Out of Scope")</f>
        <v/>
      </c>
    </row>
    <row r="9" ht="15.75" customHeight="1" thickBot="1">
      <c r="B9" s="9" t="inlineStr">
        <is>
          <t>S.No.</t>
        </is>
      </c>
      <c r="C9" s="8" t="inlineStr">
        <is>
          <t>Module/Sub-Module</t>
        </is>
      </c>
      <c r="D9" s="10" t="inlineStr">
        <is>
          <t>Test Steps</t>
        </is>
      </c>
      <c r="E9" s="8" t="inlineStr">
        <is>
          <t>Expected Results</t>
        </is>
      </c>
      <c r="F9" s="8" t="inlineStr">
        <is>
          <t>Result</t>
        </is>
      </c>
      <c r="G9" s="8" t="inlineStr">
        <is>
          <t>Bug ID</t>
        </is>
      </c>
      <c r="H9" s="8" t="inlineStr">
        <is>
          <t>Automation Status</t>
        </is>
      </c>
      <c r="I9" s="8" t="inlineStr">
        <is>
          <t>Mapped Scripts</t>
        </is>
      </c>
      <c r="J9" s="2" t="inlineStr">
        <is>
          <t>Comments</t>
        </is>
      </c>
    </row>
    <row r="10" ht="25.5" customHeight="1">
      <c r="B10" s="18" t="inlineStr">
        <is>
          <t>Admin_001</t>
        </is>
      </c>
      <c r="C10" s="18" t="inlineStr">
        <is>
          <t>User Management</t>
        </is>
      </c>
      <c r="D10" s="18" t="inlineStr">
        <is>
          <t>Open the Home page and user has admin rights.
Go to Admin &gt; Manage user &gt; User Management.</t>
        </is>
      </c>
      <c r="E10" s="26" t="inlineStr">
        <is>
          <t>The user should be redirected to User Management page.</t>
        </is>
      </c>
      <c r="F10" s="26" t="inlineStr">
        <is>
          <t>Pending</t>
        </is>
      </c>
      <c r="G10" s="7" t="n"/>
      <c r="H10" s="154" t="inlineStr">
        <is>
          <t>Pending</t>
        </is>
      </c>
      <c r="I10" s="148" t="n">
        <v>0.25</v>
      </c>
      <c r="J10" s="55" t="n"/>
    </row>
    <row r="11" ht="25.5" customHeight="1">
      <c r="B11" s="18" t="inlineStr">
        <is>
          <t>Admin_002</t>
        </is>
      </c>
      <c r="C11" s="366" t="inlineStr">
        <is>
          <t>User Management</t>
        </is>
      </c>
      <c r="D11" s="366" t="inlineStr">
        <is>
          <t>Open the User Management page.
Review the UI of User Management page.</t>
        </is>
      </c>
      <c r="E11" s="25" t="inlineStr">
        <is>
          <t>The correct UI should be displayed.</t>
        </is>
      </c>
      <c r="F11" s="26" t="inlineStr">
        <is>
          <t>Pending</t>
        </is>
      </c>
      <c r="G11" s="3" t="n"/>
      <c r="H11" s="366" t="inlineStr">
        <is>
          <t>Pending</t>
        </is>
      </c>
      <c r="I11" s="149" t="n">
        <v>0.25</v>
      </c>
      <c r="J11" s="55" t="n"/>
    </row>
    <row r="12" ht="25.5" customHeight="1">
      <c r="B12" s="18" t="inlineStr">
        <is>
          <t>Admin_003</t>
        </is>
      </c>
      <c r="C12" s="366" t="inlineStr">
        <is>
          <t>User Management</t>
        </is>
      </c>
      <c r="D12" s="366" t="inlineStr">
        <is>
          <t>Login as admin and go to Admin &gt; Manage user &gt; User Management.</t>
        </is>
      </c>
      <c r="E12" s="25" t="inlineStr">
        <is>
          <t>The page should be accessible.</t>
        </is>
      </c>
      <c r="F12" s="26" t="inlineStr">
        <is>
          <t>Pending</t>
        </is>
      </c>
      <c r="G12" s="3" t="n"/>
      <c r="H12" s="366" t="inlineStr">
        <is>
          <t>Pending</t>
        </is>
      </c>
      <c r="I12" s="149" t="n">
        <v>0.25</v>
      </c>
      <c r="J12" s="55" t="n"/>
    </row>
    <row r="13" ht="51" customHeight="1">
      <c r="B13" s="18" t="inlineStr">
        <is>
          <t>Admin_004</t>
        </is>
      </c>
      <c r="C13" s="366" t="inlineStr">
        <is>
          <t>User Management</t>
        </is>
      </c>
      <c r="D13" s="366" t="inlineStr">
        <is>
          <t>Check following tabs:
1. New users.
2. All users.</t>
        </is>
      </c>
      <c r="E13" s="25" t="inlineStr">
        <is>
          <t>The following tabs should be displayed:
1. New users.
2. All users.</t>
        </is>
      </c>
      <c r="F13" s="26" t="inlineStr">
        <is>
          <t>Pending</t>
        </is>
      </c>
      <c r="G13" s="3" t="n"/>
      <c r="H13" s="366" t="inlineStr">
        <is>
          <t>Pending</t>
        </is>
      </c>
      <c r="I13" s="149" t="n">
        <v>0.25</v>
      </c>
      <c r="J13" s="55" t="n"/>
    </row>
    <row r="14" ht="38.25" customHeight="1">
      <c r="B14" s="18" t="inlineStr">
        <is>
          <t>Admin_005</t>
        </is>
      </c>
      <c r="C14" s="366" t="inlineStr">
        <is>
          <t>User Management</t>
        </is>
      </c>
      <c r="D14" s="366" t="inlineStr">
        <is>
          <t>1. Register a user from login page.
2. Go to User Management.
3. Check New user.</t>
        </is>
      </c>
      <c r="E14" s="25" t="inlineStr">
        <is>
          <t>The registered user should be displayed under User Management.</t>
        </is>
      </c>
      <c r="F14" s="26" t="inlineStr">
        <is>
          <t>Pending</t>
        </is>
      </c>
      <c r="G14" s="3" t="n"/>
      <c r="H14" s="366" t="inlineStr">
        <is>
          <t>Pending</t>
        </is>
      </c>
      <c r="I14" s="149" t="n">
        <v>1</v>
      </c>
      <c r="J14" s="55" t="n"/>
    </row>
    <row r="15" ht="25.5" customHeight="1">
      <c r="B15" s="18" t="inlineStr">
        <is>
          <t>Admin_006</t>
        </is>
      </c>
      <c r="C15" s="366" t="inlineStr">
        <is>
          <t>User Management</t>
        </is>
      </c>
      <c r="D15" s="366" t="inlineStr">
        <is>
          <t>Check default values for remaining columns - Roles, Groups, Status.</t>
        </is>
      </c>
      <c r="E15" s="25" t="inlineStr">
        <is>
          <t>Should be shown as disabled and default value should be 'Select'.</t>
        </is>
      </c>
      <c r="F15" s="26" t="inlineStr">
        <is>
          <t>Pending</t>
        </is>
      </c>
      <c r="G15" s="3" t="n"/>
      <c r="H15" s="366" t="inlineStr">
        <is>
          <t>Pending</t>
        </is>
      </c>
      <c r="I15" s="149" t="n">
        <v>1</v>
      </c>
      <c r="J15" s="55" t="n"/>
    </row>
    <row r="16" ht="102" customHeight="1">
      <c r="B16" s="18" t="inlineStr">
        <is>
          <t>Admin_007</t>
        </is>
      </c>
      <c r="C16" s="366" t="inlineStr">
        <is>
          <t>User Management</t>
        </is>
      </c>
      <c r="D16" s="366" t="inlineStr">
        <is>
          <t>Check user is able to edit editable fields.</t>
        </is>
      </c>
      <c r="E16" s="25" t="inlineStr">
        <is>
          <t>The user should be able to edit following fields:
First name.
Last name.
Phone no.
Role.
Group.
Status.</t>
        </is>
      </c>
      <c r="F16" s="26" t="inlineStr">
        <is>
          <t>Pending</t>
        </is>
      </c>
      <c r="G16" s="3" t="n"/>
      <c r="H16" s="366" t="inlineStr">
        <is>
          <t>Pending</t>
        </is>
      </c>
      <c r="I16" s="149" t="n">
        <v>1</v>
      </c>
      <c r="J16" s="55" t="n"/>
    </row>
    <row r="17" ht="38.25" customHeight="1">
      <c r="B17" s="18" t="inlineStr">
        <is>
          <t>Admin_008</t>
        </is>
      </c>
      <c r="C17" s="366" t="inlineStr">
        <is>
          <t>User Management</t>
        </is>
      </c>
      <c r="D17" s="366" t="inlineStr">
        <is>
          <t>1. Edit role, groups and status.
2. Click Update icon present against user.</t>
        </is>
      </c>
      <c r="E17" s="25" t="inlineStr">
        <is>
          <t>Should save changes made in User Details and User Details will move to All users tab and will be removed from registered user tab.</t>
        </is>
      </c>
      <c r="F17" s="26" t="inlineStr">
        <is>
          <t>Pending</t>
        </is>
      </c>
      <c r="G17" s="3" t="n"/>
      <c r="H17" s="366" t="inlineStr">
        <is>
          <t>Pending</t>
        </is>
      </c>
      <c r="I17" s="149" t="n">
        <v>1</v>
      </c>
      <c r="J17" s="55" t="n"/>
    </row>
    <row r="18" ht="51" customHeight="1">
      <c r="B18" s="18" t="inlineStr">
        <is>
          <t>Admin_009</t>
        </is>
      </c>
      <c r="C18" s="366" t="inlineStr">
        <is>
          <t>User Management</t>
        </is>
      </c>
      <c r="D18" s="366" t="inlineStr">
        <is>
          <t>1. Register a user from login page.
2. Go to User Management and approve registered user.
3. Check approved/rejected/inactive user is notified.</t>
        </is>
      </c>
      <c r="E18" s="25" t="inlineStr">
        <is>
          <t>Should notify user through mail or in portal notification about the status of its registration.</t>
        </is>
      </c>
      <c r="F18" s="26" t="inlineStr">
        <is>
          <t>Pending</t>
        </is>
      </c>
      <c r="G18" s="3" t="n"/>
      <c r="H18" s="366" t="inlineStr">
        <is>
          <t>Pending</t>
        </is>
      </c>
      <c r="I18" s="149" t="n">
        <v>1</v>
      </c>
      <c r="J18" s="55" t="n"/>
    </row>
    <row r="19" ht="51" customHeight="1">
      <c r="B19" s="18" t="inlineStr">
        <is>
          <t>Admin_010</t>
        </is>
      </c>
      <c r="C19" s="366" t="inlineStr">
        <is>
          <t>User Management</t>
        </is>
      </c>
      <c r="D19" s="366" t="inlineStr">
        <is>
          <t>1. Register a user from login page.
2. Go to User Management and make registered user rejected.
3. Login as user rejected.</t>
        </is>
      </c>
      <c r="E19" s="25" t="inlineStr">
        <is>
          <t>The page should not be able to login.</t>
        </is>
      </c>
      <c r="F19" s="26" t="inlineStr">
        <is>
          <t>Pending</t>
        </is>
      </c>
      <c r="G19" s="3" t="n"/>
      <c r="H19" s="366" t="inlineStr">
        <is>
          <t>Pending</t>
        </is>
      </c>
      <c r="I19" s="149" t="n">
        <v>1</v>
      </c>
      <c r="J19" s="55" t="n"/>
    </row>
    <row r="20" ht="25.5" customHeight="1">
      <c r="B20" s="18" t="inlineStr">
        <is>
          <t>Admin_011</t>
        </is>
      </c>
      <c r="C20" s="366" t="inlineStr">
        <is>
          <t>User Management</t>
        </is>
      </c>
      <c r="D20" s="366" t="inlineStr">
        <is>
          <t>1. User present on edit user screen.
2. Check the validation on mandatory fields.</t>
        </is>
      </c>
      <c r="E20" s="25" t="inlineStr">
        <is>
          <t>Validation should be displayed for all mandatory fields.</t>
        </is>
      </c>
      <c r="F20" s="26" t="inlineStr">
        <is>
          <t>Pending</t>
        </is>
      </c>
      <c r="G20" s="3" t="inlineStr">
        <is>
          <t>New</t>
        </is>
      </c>
      <c r="H20" s="366" t="inlineStr">
        <is>
          <t>Pending</t>
        </is>
      </c>
      <c r="I20" s="149" t="n">
        <v>1</v>
      </c>
      <c r="J20" s="55" t="n"/>
    </row>
    <row r="21" ht="25.5" customHeight="1">
      <c r="B21" s="18" t="inlineStr">
        <is>
          <t>Admin_012</t>
        </is>
      </c>
      <c r="C21" s="366" t="inlineStr">
        <is>
          <t>User Management</t>
        </is>
      </c>
      <c r="D21" s="366" t="inlineStr">
        <is>
          <t>1. User present on edit user screen.
2. Try to update the details of logged in user.</t>
        </is>
      </c>
      <c r="E21" s="25" t="inlineStr">
        <is>
          <t>Action buttons should be disabled if user updates its own record.</t>
        </is>
      </c>
      <c r="F21" s="26" t="inlineStr">
        <is>
          <t>Pending</t>
        </is>
      </c>
      <c r="G21" s="3" t="inlineStr">
        <is>
          <t>New</t>
        </is>
      </c>
      <c r="H21" s="366" t="inlineStr">
        <is>
          <t>Pending</t>
        </is>
      </c>
      <c r="I21" s="149" t="n">
        <v>1</v>
      </c>
      <c r="J21" s="55" t="n"/>
    </row>
    <row r="22" ht="25.5" customHeight="1">
      <c r="B22" s="18" t="inlineStr">
        <is>
          <t>Admin_013</t>
        </is>
      </c>
      <c r="C22" s="366" t="inlineStr">
        <is>
          <t>Group Management</t>
        </is>
      </c>
      <c r="D22" s="366" t="inlineStr">
        <is>
          <t>Verify that user is navigated to Group management screen on click.under Admin.</t>
        </is>
      </c>
      <c r="E22" s="25" t="inlineStr">
        <is>
          <t>The user should be taken to the Add Group page.</t>
        </is>
      </c>
      <c r="F22" s="26" t="inlineStr">
        <is>
          <t>Pending</t>
        </is>
      </c>
      <c r="G22" s="3" t="n"/>
      <c r="H22" s="366" t="inlineStr">
        <is>
          <t>Pending</t>
        </is>
      </c>
      <c r="I22" s="149" t="n">
        <v>1</v>
      </c>
      <c r="J22" s="55" t="n"/>
    </row>
    <row r="23" ht="38.25" customHeight="1">
      <c r="B23" s="18" t="inlineStr">
        <is>
          <t>Admin_014</t>
        </is>
      </c>
      <c r="C23" s="366" t="inlineStr">
        <is>
          <t>Group Management</t>
        </is>
      </c>
      <c r="D23" s="366" t="inlineStr">
        <is>
          <t>1. Enter group name.
2. Enter description.
3. Click add group.</t>
        </is>
      </c>
      <c r="E23" s="25" t="inlineStr">
        <is>
          <t>The page should display confirmation msg and added group should be shown in table below.</t>
        </is>
      </c>
      <c r="F23" s="26" t="inlineStr">
        <is>
          <t>Pending</t>
        </is>
      </c>
      <c r="G23" s="3" t="n"/>
      <c r="H23" s="366" t="inlineStr">
        <is>
          <t>Pending</t>
        </is>
      </c>
      <c r="I23" s="149" t="n">
        <v>1</v>
      </c>
      <c r="J23" s="55" t="n"/>
    </row>
    <row r="24" ht="51" customHeight="1">
      <c r="B24" s="18" t="inlineStr">
        <is>
          <t>Admin_015</t>
        </is>
      </c>
      <c r="C24" s="366" t="inlineStr">
        <is>
          <t>Group Management</t>
        </is>
      </c>
      <c r="D24" s="366" t="inlineStr">
        <is>
          <t>1. Go to admin &gt; user management &gt; New user.
2. Click edit action.
3. Click group dropdown &gt;Save User Details with new added group.</t>
        </is>
      </c>
      <c r="E24" s="25" t="inlineStr">
        <is>
          <t>The user should be able to save successfully.</t>
        </is>
      </c>
      <c r="F24" s="26" t="inlineStr">
        <is>
          <t>Pending</t>
        </is>
      </c>
      <c r="G24" s="3" t="n"/>
      <c r="H24" s="366" t="inlineStr">
        <is>
          <t>Pending</t>
        </is>
      </c>
      <c r="I24" s="149" t="n">
        <v>1</v>
      </c>
      <c r="J24" s="55" t="n"/>
    </row>
    <row r="25" ht="51" customHeight="1">
      <c r="B25" s="18" t="inlineStr">
        <is>
          <t>Admin_016</t>
        </is>
      </c>
      <c r="C25" s="366" t="inlineStr">
        <is>
          <t>Edit Group Name</t>
        </is>
      </c>
      <c r="D25" s="366" t="inlineStr">
        <is>
          <t>1. Go to admin &gt; group management.
2. Click edit against group name.
3. Rename group.
4. Click save.</t>
        </is>
      </c>
      <c r="E25" s="25" t="inlineStr">
        <is>
          <t>The user should be able to rename successfully.</t>
        </is>
      </c>
      <c r="F25" s="26" t="inlineStr">
        <is>
          <t>Pending</t>
        </is>
      </c>
      <c r="G25" s="3" t="n"/>
      <c r="H25" s="366" t="inlineStr">
        <is>
          <t>Pending</t>
        </is>
      </c>
      <c r="I25" s="149" t="n">
        <v>1</v>
      </c>
      <c r="J25" s="55" t="n"/>
    </row>
    <row r="26" ht="51" customHeight="1">
      <c r="B26" s="18" t="inlineStr">
        <is>
          <t>Admin_017</t>
        </is>
      </c>
      <c r="C26" s="366" t="inlineStr">
        <is>
          <t>Delete Group</t>
        </is>
      </c>
      <c r="D26" s="366" t="inlineStr">
        <is>
          <t>Verify that the user can group which is not mapped to any item.
Delete option should be disable if mapped to any item.</t>
        </is>
      </c>
      <c r="E26" s="25" t="inlineStr">
        <is>
          <t>The user should be able to delete group successfully.</t>
        </is>
      </c>
      <c r="F26" s="26" t="inlineStr">
        <is>
          <t>Pending</t>
        </is>
      </c>
      <c r="G26" s="3" t="n"/>
      <c r="H26" s="366" t="inlineStr">
        <is>
          <t>Pending</t>
        </is>
      </c>
      <c r="I26" s="149" t="n">
        <v>1</v>
      </c>
      <c r="J26" s="55" t="n"/>
    </row>
    <row r="27" ht="25.5" customHeight="1">
      <c r="B27" s="18" t="inlineStr">
        <is>
          <t>Admin_018</t>
        </is>
      </c>
      <c r="C27" s="366" t="inlineStr">
        <is>
          <t>Search Group</t>
        </is>
      </c>
      <c r="D27" s="366" t="inlineStr">
        <is>
          <t>Verify that the user can search group entering group name.</t>
        </is>
      </c>
      <c r="E27" s="25" t="inlineStr">
        <is>
          <t>Search should work.</t>
        </is>
      </c>
      <c r="F27" s="26" t="inlineStr">
        <is>
          <t>Pending</t>
        </is>
      </c>
      <c r="G27" s="3" t="n"/>
      <c r="H27" s="366" t="inlineStr">
        <is>
          <t>Pending</t>
        </is>
      </c>
      <c r="I27" s="149" t="n">
        <v>1</v>
      </c>
      <c r="J27" s="55" t="n"/>
    </row>
    <row r="28" ht="51" customHeight="1">
      <c r="B28" s="18" t="inlineStr">
        <is>
          <t>Admin_019</t>
        </is>
      </c>
      <c r="C28" s="366" t="inlineStr">
        <is>
          <t>Add Signature in Group</t>
        </is>
      </c>
      <c r="D28" s="366" t="inlineStr">
        <is>
          <t>1. Go to admin &gt; group management.
2. Click edit against add signature.
3. Add signature and email.
4. Click save.</t>
        </is>
      </c>
      <c r="E28" s="25" t="inlineStr">
        <is>
          <t>Signature should save successfully against the group name.</t>
        </is>
      </c>
      <c r="F28" s="26" t="inlineStr">
        <is>
          <t>Pending</t>
        </is>
      </c>
      <c r="G28" s="3" t="inlineStr">
        <is>
          <t>New</t>
        </is>
      </c>
      <c r="H28" s="366" t="inlineStr">
        <is>
          <t>Pending</t>
        </is>
      </c>
      <c r="I28" s="149" t="n">
        <v>1</v>
      </c>
      <c r="J28" s="55" t="n"/>
    </row>
    <row r="29" ht="63.75" customHeight="1">
      <c r="B29" s="18" t="inlineStr">
        <is>
          <t>Admin_020</t>
        </is>
      </c>
      <c r="C29" s="366" t="inlineStr">
        <is>
          <t>Signature in Group</t>
        </is>
      </c>
      <c r="D29" s="366" t="inlineStr">
        <is>
          <t>1. Go to admin &gt; group management.
2. Click edit against add signature.
3. Add signature and email.
4. Click save.
5. Validate the signature in other groups.</t>
        </is>
      </c>
      <c r="E29" s="25" t="inlineStr">
        <is>
          <t>Signature should save successfully against the specified group name only.</t>
        </is>
      </c>
      <c r="F29" s="26" t="inlineStr">
        <is>
          <t>Pending</t>
        </is>
      </c>
      <c r="G29" s="3" t="inlineStr">
        <is>
          <t>New</t>
        </is>
      </c>
      <c r="H29" s="366" t="inlineStr">
        <is>
          <t>Pending</t>
        </is>
      </c>
      <c r="I29" s="149" t="n">
        <v>1</v>
      </c>
      <c r="J29" s="55" t="n"/>
    </row>
    <row r="30" ht="25.5" customHeight="1">
      <c r="B30" s="18" t="inlineStr">
        <is>
          <t>Admin_021</t>
        </is>
      </c>
      <c r="C30" s="366" t="inlineStr">
        <is>
          <t>Group Name</t>
        </is>
      </c>
      <c r="D30" s="366" t="inlineStr">
        <is>
          <t>Add a group name with the same details that already exist in a group.</t>
        </is>
      </c>
      <c r="E30" s="25" t="inlineStr">
        <is>
          <t>A validation message should indicate that a group with the same details already exists in the system.</t>
        </is>
      </c>
      <c r="F30" s="26" t="inlineStr">
        <is>
          <t>Pending</t>
        </is>
      </c>
      <c r="G30" s="3" t="inlineStr">
        <is>
          <t>New</t>
        </is>
      </c>
      <c r="H30" s="366" t="inlineStr">
        <is>
          <t>Pending</t>
        </is>
      </c>
      <c r="I30" s="149" t="n">
        <v>1</v>
      </c>
      <c r="J30" s="55" t="n"/>
    </row>
    <row r="31" ht="25.5" customHeight="1">
      <c r="B31" s="18" t="inlineStr">
        <is>
          <t>Admin_022</t>
        </is>
      </c>
      <c r="C31" s="366" t="inlineStr">
        <is>
          <t>Group Name</t>
        </is>
      </c>
      <c r="D31" s="366" t="inlineStr">
        <is>
          <t>Check the validation against the mandatory fields on Add/Edit group screen.</t>
        </is>
      </c>
      <c r="E31" s="25" t="inlineStr">
        <is>
          <t>Validation should be present on all mandatory fields.</t>
        </is>
      </c>
      <c r="F31" s="26" t="inlineStr">
        <is>
          <t>Pending</t>
        </is>
      </c>
      <c r="G31" s="3" t="inlineStr">
        <is>
          <t>New</t>
        </is>
      </c>
      <c r="H31" s="366" t="inlineStr">
        <is>
          <t>Pending</t>
        </is>
      </c>
      <c r="I31" s="149" t="n">
        <v>1</v>
      </c>
      <c r="J31" s="55" t="n"/>
    </row>
    <row r="32" ht="51" customHeight="1">
      <c r="B32" s="18" t="inlineStr">
        <is>
          <t>Admin_023</t>
        </is>
      </c>
      <c r="C32" s="366" t="inlineStr">
        <is>
          <t>Global Taxonomy Management</t>
        </is>
      </c>
      <c r="D32" s="366" t="inlineStr">
        <is>
          <t>Verify creating taxonomy keywords/synonyms for different languages and taxonomy groups.
Use the taxonomy while creating a template in a model.</t>
        </is>
      </c>
      <c r="E32" s="25" t="inlineStr">
        <is>
          <t>The user should be able to add taxonomy and create template using it.</t>
        </is>
      </c>
      <c r="F32" s="26" t="inlineStr">
        <is>
          <t>Pending</t>
        </is>
      </c>
      <c r="G32" s="3" t="n"/>
      <c r="H32" s="366" t="inlineStr">
        <is>
          <t>Done</t>
        </is>
      </c>
      <c r="I32" s="149" t="n"/>
      <c r="J32" s="55" t="n"/>
    </row>
    <row r="33" ht="25.5" customHeight="1">
      <c r="B33" s="18" t="inlineStr">
        <is>
          <t>Admin_024</t>
        </is>
      </c>
      <c r="C33" s="366" t="inlineStr">
        <is>
          <t>Global Taxonomy Management</t>
        </is>
      </c>
      <c r="D33" s="366" t="inlineStr">
        <is>
          <t>Upload taxonomy of 1000 keywords and synonyms using excel.</t>
        </is>
      </c>
      <c r="E33" s="25" t="inlineStr">
        <is>
          <t>Taxonomy should be uploaded without any error.</t>
        </is>
      </c>
      <c r="F33" s="26" t="inlineStr">
        <is>
          <t>Pending</t>
        </is>
      </c>
      <c r="G33" s="25" t="inlineStr">
        <is>
          <t>Verified with 600 keywords.</t>
        </is>
      </c>
      <c r="H33" s="366" t="inlineStr">
        <is>
          <t>Pending</t>
        </is>
      </c>
      <c r="I33" s="25" t="n">
        <v>1</v>
      </c>
      <c r="J33" s="55" t="n"/>
    </row>
    <row r="34" ht="51" customHeight="1">
      <c r="B34" s="18" t="inlineStr">
        <is>
          <t>Admin_025</t>
        </is>
      </c>
      <c r="C34" s="366" t="inlineStr">
        <is>
          <t>Add/Edit Taxonomy</t>
        </is>
      </c>
      <c r="D34" s="366" t="inlineStr">
        <is>
          <t>1. Go to Admin &gt; Global Taxonomy Management.
2. Click add/edit taxonomy.
3. Add keyword and synonym with spaces only.
4. Click save.</t>
        </is>
      </c>
      <c r="E34" s="366" t="inlineStr">
        <is>
          <t>The user should be able to add taxonomy successfully.</t>
        </is>
      </c>
      <c r="F34" s="26" t="inlineStr">
        <is>
          <t>Pending</t>
        </is>
      </c>
      <c r="G34" s="90" t="n"/>
      <c r="H34" s="366" t="inlineStr">
        <is>
          <t>Pending</t>
        </is>
      </c>
      <c r="I34" s="90" t="n">
        <v>0.5</v>
      </c>
      <c r="J34" s="55" t="n"/>
    </row>
    <row r="35" ht="63.75" customHeight="1">
      <c r="B35" s="18" t="inlineStr">
        <is>
          <t>Admin_026</t>
        </is>
      </c>
      <c r="C35" s="366" t="inlineStr">
        <is>
          <t>Add/Edit Taxonomy</t>
        </is>
      </c>
      <c r="D35" s="366" t="inlineStr">
        <is>
          <t>1. Go to Admin &gt; Global Taxonomy Management.
2. Click add/edit taxonomy.
3. Add keyword and synonym which already exist in system.
4. Click save.</t>
        </is>
      </c>
      <c r="E35" s="366" t="inlineStr">
        <is>
          <t>Warning message should display in the system for keyword ans synonym present in system.</t>
        </is>
      </c>
      <c r="F35" s="26" t="inlineStr">
        <is>
          <t>Pending</t>
        </is>
      </c>
      <c r="G35" s="90" t="n"/>
      <c r="H35" s="366" t="inlineStr">
        <is>
          <t>Pending</t>
        </is>
      </c>
      <c r="I35" s="90" t="n">
        <v>0.5</v>
      </c>
      <c r="J35" s="55" t="n"/>
    </row>
    <row r="36" ht="38.25" customHeight="1">
      <c r="B36" s="18" t="inlineStr">
        <is>
          <t>Admin_027</t>
        </is>
      </c>
      <c r="C36" s="136" t="inlineStr">
        <is>
          <t>Delete Global Taxonomy</t>
        </is>
      </c>
      <c r="D36" s="366" t="inlineStr">
        <is>
          <t>1. Go to Admin &gt; Global Taxonomy Management.
2. Click Action and delete the taxonomy.
3. Click Yes on confirmation pop-up.</t>
        </is>
      </c>
      <c r="E36" s="25" t="inlineStr">
        <is>
          <t>Global Taxonomy should get deleted successfully.</t>
        </is>
      </c>
      <c r="F36" s="26" t="inlineStr">
        <is>
          <t>Pending</t>
        </is>
      </c>
      <c r="G36" s="90" t="n"/>
      <c r="H36" s="366" t="inlineStr">
        <is>
          <t>Pending</t>
        </is>
      </c>
      <c r="I36" s="90" t="n">
        <v>1</v>
      </c>
      <c r="J36" s="55" t="n"/>
    </row>
    <row r="37" ht="38.25" customHeight="1">
      <c r="B37" s="18" t="inlineStr">
        <is>
          <t>Admin_028</t>
        </is>
      </c>
      <c r="C37" s="136" t="inlineStr">
        <is>
          <t>Download Global Taxonomy</t>
        </is>
      </c>
      <c r="D37" s="366" t="inlineStr">
        <is>
          <t>1. Go to Admin &gt; Global Taxonomy Management.
2. Click Download button.
3. Click download template and taxonomy buttons.</t>
        </is>
      </c>
      <c r="E37" s="25" t="inlineStr">
        <is>
          <t>Files should get d ownloaded successfully.</t>
        </is>
      </c>
      <c r="F37" s="26" t="inlineStr">
        <is>
          <t>Pending</t>
        </is>
      </c>
      <c r="G37" s="90" t="n"/>
      <c r="H37" s="366" t="inlineStr">
        <is>
          <t>Pending</t>
        </is>
      </c>
      <c r="I37" s="90" t="n">
        <v>1</v>
      </c>
      <c r="J37" s="55" t="n"/>
    </row>
    <row r="38" ht="38.25" customHeight="1">
      <c r="B38" s="18" t="inlineStr">
        <is>
          <t>Admin_029</t>
        </is>
      </c>
      <c r="C38" s="136" t="inlineStr">
        <is>
          <t>Upload Global Taxonomy</t>
        </is>
      </c>
      <c r="D38" s="366" t="inlineStr">
        <is>
          <t>1. Go to Admin &gt; Global Taxonomy Management.
2. Click Upload button.
3. Upload file with correct template.</t>
        </is>
      </c>
      <c r="E38" s="25" t="inlineStr">
        <is>
          <t>File with correct template should get upload successfully.</t>
        </is>
      </c>
      <c r="F38" s="26" t="inlineStr">
        <is>
          <t>Pending</t>
        </is>
      </c>
      <c r="G38" s="90" t="n"/>
      <c r="H38" s="366" t="inlineStr">
        <is>
          <t>Pending</t>
        </is>
      </c>
      <c r="I38" s="90" t="n">
        <v>1</v>
      </c>
      <c r="J38" s="55" t="n"/>
    </row>
    <row r="39" ht="38.25" customHeight="1">
      <c r="B39" s="18" t="inlineStr">
        <is>
          <t>Admin_030</t>
        </is>
      </c>
      <c r="C39" s="136" t="inlineStr">
        <is>
          <t>Upload Global Taxonomy</t>
        </is>
      </c>
      <c r="D39" s="366" t="inlineStr">
        <is>
          <t>1. Go to Admin &gt; Global Taxonomy Management.
2. Click Upload button.
3. Upload file with invalid template.</t>
        </is>
      </c>
      <c r="E39" s="25" t="inlineStr">
        <is>
          <t>File should not get uploaded and warning message appears for correct template.</t>
        </is>
      </c>
      <c r="F39" s="26" t="inlineStr">
        <is>
          <t>Pending</t>
        </is>
      </c>
      <c r="G39" s="90" t="n"/>
      <c r="H39" s="366" t="inlineStr">
        <is>
          <t>Pending</t>
        </is>
      </c>
      <c r="I39" s="90" t="n">
        <v>0.5</v>
      </c>
      <c r="J39" s="55" t="n"/>
    </row>
    <row r="40" ht="45" customHeight="1">
      <c r="B40" s="18" t="inlineStr">
        <is>
          <t>Admin_031</t>
        </is>
      </c>
      <c r="C40" s="366" t="inlineStr">
        <is>
          <t>Exclusion List Management</t>
        </is>
      </c>
      <c r="D40" s="366" t="inlineStr">
        <is>
          <t>Verify add/update/search exclusion words in list.</t>
        </is>
      </c>
      <c r="E40" s="25" t="inlineStr">
        <is>
          <t>The user should be able to add, modify, and search exclusion words.</t>
        </is>
      </c>
      <c r="F40" s="26" t="inlineStr">
        <is>
          <t>Pending</t>
        </is>
      </c>
      <c r="G40" s="3" t="n"/>
      <c r="H40" s="366" t="inlineStr">
        <is>
          <t>Pending</t>
        </is>
      </c>
      <c r="I40" s="149" t="n">
        <v>1</v>
      </c>
      <c r="J40" s="123" t="inlineStr">
        <is>
          <t>Added search functionality in the test case</t>
        </is>
      </c>
    </row>
    <row r="41" ht="25.5" customHeight="1">
      <c r="B41" s="18" t="inlineStr">
        <is>
          <t>Admin_032</t>
        </is>
      </c>
      <c r="C41" s="366" t="inlineStr">
        <is>
          <t>Language Management</t>
        </is>
      </c>
      <c r="D41" s="366" t="inlineStr">
        <is>
          <t>Go to admin &gt; Group management.</t>
        </is>
      </c>
      <c r="E41" s="25" t="inlineStr">
        <is>
          <t>The user should be taken to the Language Management page.</t>
        </is>
      </c>
      <c r="F41" s="26" t="inlineStr">
        <is>
          <t>Pending</t>
        </is>
      </c>
      <c r="G41" s="3" t="n"/>
      <c r="H41" s="366" t="inlineStr">
        <is>
          <t>Pending</t>
        </is>
      </c>
      <c r="I41" s="149" t="n">
        <v>0.5</v>
      </c>
      <c r="J41" s="55" t="n"/>
    </row>
    <row r="42" ht="25.5" customHeight="1">
      <c r="B42" s="18" t="inlineStr">
        <is>
          <t>Admin_033</t>
        </is>
      </c>
      <c r="C42" s="366" t="inlineStr">
        <is>
          <t>Search Language Functionality</t>
        </is>
      </c>
      <c r="D42" s="366" t="inlineStr">
        <is>
          <t>1. Enter Language already Present/used.
2. Click search icon.</t>
        </is>
      </c>
      <c r="E42" s="25" t="inlineStr">
        <is>
          <t>The user should be able to search.</t>
        </is>
      </c>
      <c r="F42" s="26" t="inlineStr">
        <is>
          <t>Pending</t>
        </is>
      </c>
      <c r="G42" s="3" t="n"/>
      <c r="H42" s="366" t="inlineStr">
        <is>
          <t>Pending</t>
        </is>
      </c>
      <c r="I42" s="149" t="n">
        <v>1</v>
      </c>
      <c r="J42" s="55" t="n"/>
    </row>
    <row r="43" ht="25.5" customHeight="1">
      <c r="B43" s="18" t="inlineStr">
        <is>
          <t>Admin_034</t>
        </is>
      </c>
      <c r="C43" s="366" t="inlineStr">
        <is>
          <t>Search Language Functionality</t>
        </is>
      </c>
      <c r="D43" s="366" t="inlineStr">
        <is>
          <t>Enter group name already added.
Click enter.</t>
        </is>
      </c>
      <c r="E43" s="25" t="inlineStr">
        <is>
          <t>The user should be able to search.</t>
        </is>
      </c>
      <c r="F43" s="26" t="inlineStr">
        <is>
          <t>Pending</t>
        </is>
      </c>
      <c r="G43" s="3" t="n"/>
      <c r="H43" s="366" t="inlineStr">
        <is>
          <t>Pending</t>
        </is>
      </c>
      <c r="I43" s="149" t="n">
        <v>1</v>
      </c>
      <c r="J43" s="55" t="n"/>
    </row>
    <row r="44" ht="38.25" customHeight="1">
      <c r="B44" s="18" t="inlineStr">
        <is>
          <t>Admin_035</t>
        </is>
      </c>
      <c r="C44" s="366" t="inlineStr">
        <is>
          <t>Refresh Functionality</t>
        </is>
      </c>
      <c r="D44" s="366" t="inlineStr">
        <is>
          <t>1. Enter group name already added.
2. Click search icon.
3. Click refresh.</t>
        </is>
      </c>
      <c r="E44" s="25" t="inlineStr">
        <is>
          <t>Should move search criteria to default one.</t>
        </is>
      </c>
      <c r="F44" s="26" t="inlineStr">
        <is>
          <t>Pending</t>
        </is>
      </c>
      <c r="G44" s="3" t="n"/>
      <c r="H44" s="366" t="inlineStr">
        <is>
          <t>Pending</t>
        </is>
      </c>
      <c r="I44" s="149" t="n">
        <v>1</v>
      </c>
      <c r="J44" s="55" t="n"/>
    </row>
    <row r="45" ht="25.5" customHeight="1">
      <c r="B45" s="18" t="inlineStr">
        <is>
          <t>Admin_036</t>
        </is>
      </c>
      <c r="C45" s="366" t="inlineStr">
        <is>
          <t>Sorting Functionality</t>
        </is>
      </c>
      <c r="D45" s="366" t="inlineStr">
        <is>
          <t>Click Language Name tab.</t>
        </is>
      </c>
      <c r="E45" s="25" t="inlineStr">
        <is>
          <t>All the Language will be shown in alphabetical order.
Tab should change to blue color.</t>
        </is>
      </c>
      <c r="F45" s="26" t="inlineStr">
        <is>
          <t>Pending</t>
        </is>
      </c>
      <c r="G45" s="3" t="n"/>
      <c r="H45" s="366" t="inlineStr">
        <is>
          <t>Pending</t>
        </is>
      </c>
      <c r="I45" s="149" t="n">
        <v>1</v>
      </c>
      <c r="J45" s="55" t="n"/>
    </row>
    <row r="46" ht="25.5" customHeight="1">
      <c r="B46" s="18" t="inlineStr">
        <is>
          <t>Admin_037</t>
        </is>
      </c>
      <c r="C46" s="366" t="inlineStr">
        <is>
          <t>Sorting Functionality</t>
        </is>
      </c>
      <c r="D46" s="366" t="inlineStr">
        <is>
          <t>Click Active tab.</t>
        </is>
      </c>
      <c r="E46" s="25" t="inlineStr">
        <is>
          <t>All the Language in Active state should display first.
Tab should change to blue color.</t>
        </is>
      </c>
      <c r="F46" s="26" t="inlineStr">
        <is>
          <t>Pending</t>
        </is>
      </c>
      <c r="G46" s="3" t="n"/>
      <c r="H46" s="366" t="inlineStr">
        <is>
          <t>Pending</t>
        </is>
      </c>
      <c r="I46" s="149" t="n">
        <v>0.5</v>
      </c>
      <c r="J46" s="55" t="n"/>
    </row>
    <row r="47" ht="25.5" customHeight="1">
      <c r="B47" s="18" t="inlineStr">
        <is>
          <t>Admin_038</t>
        </is>
      </c>
      <c r="C47" s="366" t="inlineStr">
        <is>
          <t>Audit Functionality</t>
        </is>
      </c>
      <c r="D47" s="366" t="inlineStr">
        <is>
          <t>Click Audit under Action tab.</t>
        </is>
      </c>
      <c r="E47" s="25" t="inlineStr">
        <is>
          <t>Audit page should show all the previous records of.
Status changed,Its user and Previous value.</t>
        </is>
      </c>
      <c r="F47" s="26" t="inlineStr">
        <is>
          <t>Pending</t>
        </is>
      </c>
      <c r="G47" s="3" t="n"/>
      <c r="H47" s="366" t="inlineStr">
        <is>
          <t>Pending</t>
        </is>
      </c>
      <c r="I47" s="149" t="n">
        <v>1</v>
      </c>
      <c r="J47" s="55" t="n"/>
    </row>
    <row r="48" ht="38.25" customHeight="1">
      <c r="B48" s="18" t="inlineStr">
        <is>
          <t>Admin_039</t>
        </is>
      </c>
      <c r="C48" s="366" t="inlineStr">
        <is>
          <t>Language Status</t>
        </is>
      </c>
      <c r="D48" s="366" t="inlineStr">
        <is>
          <t>Under action tab status of Language is there.
Toggle the button to change the status.</t>
        </is>
      </c>
      <c r="E48" s="25" t="inlineStr">
        <is>
          <t>Status should be shown.
Toggling the button should change the status and.
Reflect in Audit Log.</t>
        </is>
      </c>
      <c r="F48" s="26" t="inlineStr">
        <is>
          <t>Pending</t>
        </is>
      </c>
      <c r="G48" s="3" t="n"/>
      <c r="H48" s="366" t="inlineStr">
        <is>
          <t>Pending</t>
        </is>
      </c>
      <c r="I48" s="149" t="n">
        <v>1</v>
      </c>
      <c r="J48" s="55" t="n"/>
    </row>
    <row r="49" ht="38.25" customHeight="1">
      <c r="B49" s="18" t="inlineStr">
        <is>
          <t>Admin_040</t>
        </is>
      </c>
      <c r="C49" s="366" t="inlineStr">
        <is>
          <t>Ai/Ml Status</t>
        </is>
      </c>
      <c r="D49" s="366" t="inlineStr">
        <is>
          <t>Under action tab status of AI/ML is there.
Hover on the status tab.
Toggle the button to change the status.</t>
        </is>
      </c>
      <c r="E49" s="25" t="inlineStr">
        <is>
          <t>"AI/ML status" should show vertically in side screen.
Toggling the button should change the status and.
Reflect in Audit Log.</t>
        </is>
      </c>
      <c r="F49" s="26" t="inlineStr">
        <is>
          <t>Pending</t>
        </is>
      </c>
      <c r="G49" s="3" t="n"/>
      <c r="H49" s="366" t="inlineStr">
        <is>
          <t>Pending</t>
        </is>
      </c>
      <c r="I49" s="149" t="n">
        <v>1</v>
      </c>
      <c r="J49" s="55" t="n"/>
    </row>
    <row r="50" ht="38.25" customHeight="1">
      <c r="B50" s="18" t="inlineStr">
        <is>
          <t>Admin_041</t>
        </is>
      </c>
      <c r="C50" s="366" t="inlineStr">
        <is>
          <t>Global Zone Management</t>
        </is>
      </c>
      <c r="D50" s="366" t="inlineStr">
        <is>
          <t>Verify that the user can Navigate to Global Zone management screen on clicking the option under Admin menu.</t>
        </is>
      </c>
      <c r="E50" s="25" t="inlineStr">
        <is>
          <t>Global Zone management screen should be launched.</t>
        </is>
      </c>
      <c r="F50" s="26" t="inlineStr">
        <is>
          <t>Pending</t>
        </is>
      </c>
      <c r="G50" s="3" t="n"/>
      <c r="H50" s="366" t="inlineStr">
        <is>
          <t>Pending</t>
        </is>
      </c>
      <c r="I50" s="149" t="n">
        <v>1</v>
      </c>
      <c r="J50" s="55" t="n"/>
    </row>
    <row r="51" ht="63.75" customHeight="1">
      <c r="B51" s="18" t="inlineStr">
        <is>
          <t>Admin_042</t>
        </is>
      </c>
      <c r="C51" s="366" t="inlineStr">
        <is>
          <t>Global Zone Management</t>
        </is>
      </c>
      <c r="D51" s="366" t="inlineStr">
        <is>
          <t>Verify that the user can view list of already existing Global Zones along with 3 columns present:
Global Zone Name.
Status.
Action.</t>
        </is>
      </c>
      <c r="E51" s="25" t="inlineStr">
        <is>
          <t>Mentioned columns should be present in the screen.</t>
        </is>
      </c>
      <c r="F51" s="26" t="inlineStr">
        <is>
          <t>Pending</t>
        </is>
      </c>
      <c r="G51" s="3" t="n"/>
      <c r="H51" s="366" t="inlineStr">
        <is>
          <t>Pending</t>
        </is>
      </c>
      <c r="I51" s="149" t="n">
        <v>1</v>
      </c>
      <c r="J51" s="55" t="n"/>
    </row>
    <row r="52" ht="38.25" customHeight="1">
      <c r="B52" s="18" t="inlineStr">
        <is>
          <t>Admin_043</t>
        </is>
      </c>
      <c r="C52" s="366" t="inlineStr">
        <is>
          <t>Global Zone Management</t>
        </is>
      </c>
      <c r="D52" s="366" t="inlineStr">
        <is>
          <t>Verify that the user can create new Global Zone by click Global Zone name text field and then click add option.</t>
        </is>
      </c>
      <c r="E52" s="25" t="inlineStr">
        <is>
          <t>New Global Zone should be created and visible to customer.</t>
        </is>
      </c>
      <c r="F52" s="26" t="inlineStr">
        <is>
          <t>Pending</t>
        </is>
      </c>
      <c r="G52" s="3" t="n"/>
      <c r="H52" s="366" t="inlineStr">
        <is>
          <t>Pending</t>
        </is>
      </c>
      <c r="I52" s="149" t="n">
        <v>1</v>
      </c>
      <c r="J52" s="55" t="n"/>
    </row>
    <row r="53" ht="25.5" customHeight="1">
      <c r="B53" s="18" t="inlineStr">
        <is>
          <t>Admin_044</t>
        </is>
      </c>
      <c r="C53" s="366" t="inlineStr">
        <is>
          <t>Global Zone Management</t>
        </is>
      </c>
      <c r="D53" s="366" t="inlineStr">
        <is>
          <t>Verify that user is not able to create Global Zone.</t>
        </is>
      </c>
      <c r="E53" s="25" t="inlineStr">
        <is>
          <t>On duplicate zone creation, system should show popup "Zone already exist.".</t>
        </is>
      </c>
      <c r="F53" s="26" t="inlineStr">
        <is>
          <t>Pending</t>
        </is>
      </c>
      <c r="G53" s="3" t="n"/>
      <c r="H53" s="366" t="inlineStr">
        <is>
          <t>Pending</t>
        </is>
      </c>
      <c r="I53" s="149" t="n">
        <v>1</v>
      </c>
      <c r="J53" s="55" t="n"/>
    </row>
    <row r="54" ht="51" customHeight="1">
      <c r="B54" s="18" t="inlineStr">
        <is>
          <t>Admin_045</t>
        </is>
      </c>
      <c r="C54" s="366" t="inlineStr">
        <is>
          <t>Global Zone Management</t>
        </is>
      </c>
      <c r="D54" s="366" t="inlineStr">
        <is>
          <t>Verify that the user can search the zone from Search textbox by entering the zone name.
And, reset should reset the searched text on clicking the reset button.</t>
        </is>
      </c>
      <c r="E54" s="25" t="inlineStr">
        <is>
          <t>Search and reset should work for User.</t>
        </is>
      </c>
      <c r="F54" s="26" t="inlineStr">
        <is>
          <t>Pending</t>
        </is>
      </c>
      <c r="G54" s="3" t="n"/>
      <c r="H54" s="366" t="inlineStr">
        <is>
          <t>Pending</t>
        </is>
      </c>
      <c r="I54" s="149" t="n">
        <v>1</v>
      </c>
      <c r="J54" s="55" t="n"/>
    </row>
    <row r="55" ht="51" customHeight="1">
      <c r="B55" s="18" t="inlineStr">
        <is>
          <t>Admin_046</t>
        </is>
      </c>
      <c r="C55" s="366" t="inlineStr">
        <is>
          <t>Global Zone Management</t>
        </is>
      </c>
      <c r="D55" s="366" t="inlineStr">
        <is>
          <t>Verify that the user can Modify existing Global Zone by click the Edit button in the Action.
Also, verify that user is able to delete the Global Zone which is not used anywhere by customer.</t>
        </is>
      </c>
      <c r="E55" s="25" t="inlineStr">
        <is>
          <t>Modification in Global Zone name is allowed and Delete option should be disabled if group is being used by customer.</t>
        </is>
      </c>
      <c r="F55" s="26" t="inlineStr">
        <is>
          <t>Pending</t>
        </is>
      </c>
      <c r="G55" s="3" t="n"/>
      <c r="H55" s="366" t="inlineStr">
        <is>
          <t>Pending</t>
        </is>
      </c>
      <c r="I55" s="149" t="n">
        <v>1</v>
      </c>
      <c r="J55" s="55" t="n"/>
    </row>
    <row r="56" ht="38.25" customHeight="1">
      <c r="B56" s="18" t="inlineStr">
        <is>
          <t>Admin_047</t>
        </is>
      </c>
      <c r="C56" s="366" t="inlineStr">
        <is>
          <t>Global Zone Management</t>
        </is>
      </c>
      <c r="D56" s="366" t="inlineStr">
        <is>
          <t>Verify that the user can update the status as Active/inactive.
Updated status should be reflected in Status Column.</t>
        </is>
      </c>
      <c r="E56" s="366" t="inlineStr">
        <is>
          <t>Status should be updated.</t>
        </is>
      </c>
      <c r="F56" s="26" t="inlineStr">
        <is>
          <t>Pending</t>
        </is>
      </c>
      <c r="G56" s="3" t="n"/>
      <c r="H56" s="366" t="inlineStr">
        <is>
          <t>Pending</t>
        </is>
      </c>
      <c r="I56" s="3" t="n">
        <v>0.5</v>
      </c>
      <c r="J56" s="3" t="n"/>
    </row>
    <row r="57" ht="51" customHeight="1">
      <c r="B57" s="18" t="inlineStr">
        <is>
          <t>Admin_048</t>
        </is>
      </c>
      <c r="C57" s="366" t="inlineStr">
        <is>
          <t>Admin Tab Generic Testcase</t>
        </is>
      </c>
      <c r="D57" s="366" t="inlineStr">
        <is>
          <t>Pagination hovering.
Column Sorting in Asc/Dsc order.
Special charcter validations.
Refresh functionality.</t>
        </is>
      </c>
      <c r="E57" s="366" t="inlineStr">
        <is>
          <t>System should behave according to the implementation.</t>
        </is>
      </c>
      <c r="F57" s="26" t="inlineStr">
        <is>
          <t>Pending</t>
        </is>
      </c>
      <c r="G57" s="3" t="inlineStr">
        <is>
          <t>New</t>
        </is>
      </c>
      <c r="H57" s="366" t="inlineStr">
        <is>
          <t>Pending</t>
        </is>
      </c>
      <c r="I57" s="3" t="n">
        <v>0.5</v>
      </c>
      <c r="J57" s="3" t="n"/>
    </row>
    <row r="58" ht="115.5" customHeight="1">
      <c r="B58" s="18" t="inlineStr">
        <is>
          <t>Admin_049</t>
        </is>
      </c>
      <c r="C58" s="111" t="inlineStr">
        <is>
          <t>Admin Tab</t>
        </is>
      </c>
      <c r="D58" s="221" t="inlineStr">
        <is>
          <t>Log in to the URL: https://ssdevwebapps.evalueserve.com/qaq323/admin/zonetagging.
Go to Admin.
Go to Tagging Data.
Go to Tag Data.
Review the reported issue.</t>
        </is>
      </c>
      <c r="E58" s="111" t="inlineStr">
        <is>
          <t>The required spacing should be displayed.</t>
        </is>
      </c>
      <c r="F58" s="366" t="inlineStr">
        <is>
          <t>Pending</t>
        </is>
      </c>
      <c r="G58" s="3" t="inlineStr">
        <is>
          <t>bug id - 136894</t>
        </is>
      </c>
      <c r="H58" s="366" t="inlineStr">
        <is>
          <t>Pending</t>
        </is>
      </c>
      <c r="I58" s="3" t="n"/>
      <c r="J58" s="3" t="n"/>
    </row>
    <row r="61">
      <c r="B61" s="369" t="n">
        <v>1</v>
      </c>
      <c r="C61" s="369" t="inlineStr">
        <is>
          <t>Admin Screen</t>
        </is>
      </c>
      <c r="D61" s="300" t="inlineStr">
        <is>
          <t>Log in to the URL:</t>
        </is>
      </c>
      <c r="E61" s="369" t="inlineStr">
        <is>
          <t>The feature should work as expected.</t>
        </is>
      </c>
      <c r="F61" s="369" t="inlineStr">
        <is>
          <t>39261-id</t>
        </is>
      </c>
    </row>
    <row r="62" ht="30" customHeight="1">
      <c r="D62" s="301" t="inlineStr">
        <is>
          <t>https://ssdevwebapps.evalueserve.com/qaq323/admin/noteProcessingManagement</t>
        </is>
      </c>
    </row>
    <row r="63">
      <c r="D63" s="300" t="inlineStr">
        <is>
          <t>Go to the Admin tab.</t>
        </is>
      </c>
    </row>
    <row r="64">
      <c r="D64" s="300" t="inlineStr">
        <is>
          <t>Go to the note processing management.</t>
        </is>
      </c>
    </row>
    <row r="65">
      <c r="D65" s="300" t="inlineStr">
        <is>
          <t>Click Add Keywords.</t>
        </is>
      </c>
    </row>
    <row r="66">
      <c r="D66" s="300" t="inlineStr">
        <is>
          <t>Select all keywords.</t>
        </is>
      </c>
    </row>
    <row r="67" ht="42.75" customHeight="1">
      <c r="D67" s="300" t="inlineStr">
        <is>
          <t>Review the issue where all keywords are added after selecting All, but they also continue to appear in the keyword list.</t>
        </is>
      </c>
    </row>
    <row r="68" ht="28.5" customHeight="1">
      <c r="D68" s="300" t="inlineStr">
        <is>
          <t>Also review the table and verify that the displayed keywords are accompanied by gibberish characters.</t>
        </is>
      </c>
    </row>
  </sheetData>
  <mergeCells count="11">
    <mergeCell ref="B61:B68"/>
    <mergeCell ref="B6:C6"/>
    <mergeCell ref="F61:F68"/>
    <mergeCell ref="C61:C68"/>
    <mergeCell ref="B7:C7"/>
    <mergeCell ref="B2:F2"/>
    <mergeCell ref="E61:E68"/>
    <mergeCell ref="B3:C3"/>
    <mergeCell ref="B5:C5"/>
    <mergeCell ref="B8:C8"/>
    <mergeCell ref="B4:C4"/>
  </mergeCells>
  <conditionalFormatting sqref="D3">
    <cfRule type="expression" priority="70" dxfId="51" stopIfTrue="1">
      <formula>AND(COUNTIF($A$8:$A$8, D3)+COUNTIF(#REF!, D3)&gt;1,NOT(ISBLANK(D3)))</formula>
    </cfRule>
  </conditionalFormatting>
  <conditionalFormatting sqref="D4">
    <cfRule type="cellIs" priority="28" operator="lessThan" dxfId="10" stopIfTrue="1">
      <formula>1</formula>
    </cfRule>
  </conditionalFormatting>
  <conditionalFormatting sqref="D4:D8">
    <cfRule type="cellIs" priority="23" operator="greaterThan" dxfId="9" stopIfTrue="1">
      <formula>0</formula>
    </cfRule>
    <cfRule type="cellIs" priority="24" operator="greaterThan" dxfId="9" stopIfTrue="1">
      <formula>1</formula>
    </cfRule>
    <cfRule type="cellIs" priority="25" operator="greaterThan" dxfId="10" stopIfTrue="1">
      <formula>0</formula>
    </cfRule>
    <cfRule type="cellIs" priority="26" operator="greaterThan" dxfId="10" stopIfTrue="1">
      <formula>1</formula>
    </cfRule>
    <cfRule type="cellIs" priority="27" operator="equal" dxfId="9" stopIfTrue="1">
      <formula>$C$3</formula>
    </cfRule>
  </conditionalFormatting>
  <conditionalFormatting sqref="D5:D8">
    <cfRule type="cellIs" priority="16" operator="lessThan" dxfId="10" stopIfTrue="1">
      <formula>1</formula>
    </cfRule>
  </conditionalFormatting>
  <conditionalFormatting sqref="E4">
    <cfRule type="cellIs" priority="59" operator="equal" dxfId="9" stopIfTrue="1">
      <formula>1</formula>
    </cfRule>
    <cfRule type="cellIs" priority="60" operator="lessThan" dxfId="10" stopIfTrue="1">
      <formula>1</formula>
    </cfRule>
  </conditionalFormatting>
  <conditionalFormatting sqref="E5:E8">
    <cfRule type="cellIs" priority="30" operator="equal" dxfId="9" stopIfTrue="1">
      <formula>1</formula>
    </cfRule>
    <cfRule type="cellIs" priority="31" operator="lessThan" dxfId="10" stopIfTrue="1">
      <formula>1</formula>
    </cfRule>
    <cfRule type="cellIs" priority="32" operator="equal" dxfId="9" stopIfTrue="1">
      <formula>1</formula>
    </cfRule>
    <cfRule type="cellIs" priority="33" operator="lessThan" dxfId="10" stopIfTrue="1">
      <formula>1</formula>
    </cfRule>
  </conditionalFormatting>
  <conditionalFormatting sqref="E4:F4">
    <cfRule type="cellIs" priority="55" operator="equal" dxfId="9" stopIfTrue="1">
      <formula>1</formula>
    </cfRule>
    <cfRule type="cellIs" priority="56" operator="lessThan" dxfId="10" stopIfTrue="1">
      <formula>1</formula>
    </cfRule>
  </conditionalFormatting>
  <conditionalFormatting sqref="F4">
    <cfRule type="cellIs" priority="53" operator="equal" dxfId="9" stopIfTrue="1">
      <formula>1</formula>
    </cfRule>
    <cfRule type="cellIs" priority="54" operator="lessThan" dxfId="10" stopIfTrue="1">
      <formula>1</formula>
    </cfRule>
  </conditionalFormatting>
  <conditionalFormatting sqref="F5">
    <cfRule type="cellIs" priority="49" operator="greaterThan" dxfId="10" stopIfTrue="1">
      <formula>0</formula>
    </cfRule>
    <cfRule type="cellIs" priority="50" operator="equal" dxfId="9" stopIfTrue="1">
      <formula>0</formula>
    </cfRule>
    <cfRule type="cellIs" priority="51" operator="greaterThan" dxfId="10" stopIfTrue="1">
      <formula>0</formula>
    </cfRule>
    <cfRule type="cellIs" priority="52" operator="equal" dxfId="9" stopIfTrue="1">
      <formula>0</formula>
    </cfRule>
  </conditionalFormatting>
  <conditionalFormatting sqref="F6">
    <cfRule type="cellIs" priority="47" operator="equal" dxfId="9" stopIfTrue="1">
      <formula>0</formula>
    </cfRule>
    <cfRule type="cellIs" priority="48" operator="greaterThan" dxfId="22" stopIfTrue="1">
      <formula>0</formula>
    </cfRule>
  </conditionalFormatting>
  <conditionalFormatting sqref="F6:F7">
    <cfRule type="cellIs" priority="43" operator="equal" dxfId="9" stopIfTrue="1">
      <formula>0</formula>
    </cfRule>
    <cfRule type="cellIs" priority="44" operator="greaterThan" dxfId="22" stopIfTrue="1">
      <formula>0</formula>
    </cfRule>
  </conditionalFormatting>
  <conditionalFormatting sqref="F7:F8">
    <cfRule type="cellIs" priority="39" operator="equal" dxfId="9" stopIfTrue="1">
      <formula>0</formula>
    </cfRule>
    <cfRule type="cellIs" priority="40" operator="greaterThan" dxfId="22" stopIfTrue="1">
      <formula>0</formula>
    </cfRule>
  </conditionalFormatting>
  <conditionalFormatting sqref="F8">
    <cfRule type="cellIs" priority="37" operator="equal" dxfId="9" stopIfTrue="1">
      <formula>0</formula>
    </cfRule>
    <cfRule type="cellIs" priority="38" operator="greaterThan" dxfId="22" stopIfTrue="1">
      <formula>0</formula>
    </cfRule>
  </conditionalFormatting>
  <conditionalFormatting sqref="F10:F58">
    <cfRule type="cellIs" priority="71" operator="equal" dxfId="6" stopIfTrue="1">
      <formula>"NA"</formula>
    </cfRule>
    <cfRule type="cellIs" priority="72" operator="equal" dxfId="5" stopIfTrue="1">
      <formula>"Blocked"</formula>
    </cfRule>
    <cfRule type="cellIs" priority="73" operator="equal" dxfId="4" stopIfTrue="1">
      <formula>"Pending"</formula>
    </cfRule>
    <cfRule type="cellIs" priority="74" operator="equal" dxfId="0" stopIfTrue="1">
      <formula>"Passed"</formula>
    </cfRule>
    <cfRule type="cellIs" priority="75" operator="equal" dxfId="1" stopIfTrue="1">
      <formula>"Failed"</formula>
    </cfRule>
    <cfRule type="cellIs" priority="76" operator="equal" dxfId="1" stopIfTrue="1">
      <formula>"Fail"</formula>
    </cfRule>
    <cfRule type="cellIs" priority="77" operator="equal" dxfId="0" stopIfTrue="1">
      <formula>"Pass"</formula>
    </cfRule>
  </conditionalFormatting>
  <conditionalFormatting sqref="G5:G8">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0:H58">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58" showDropDown="0" showInputMessage="1" showErrorMessage="1" allowBlank="1" type="list">
      <formula1>"Passed,Failed,Blocked,Pending,NA"</formula1>
    </dataValidation>
    <dataValidation sqref="H10:H58" showDropDown="0" showInputMessage="1" showErrorMessage="1" allowBlank="1" type="list">
      <formula1>"Done,Blocked,Pending,Out of Scope"</formula1>
    </dataValidation>
  </dataValidations>
  <hyperlinks>
    <hyperlink xmlns:r="http://schemas.openxmlformats.org/officeDocument/2006/relationships" ref="D62" r:id="rId1"/>
  </hyperlink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B2:J23"/>
  <sheetViews>
    <sheetView showGridLines="0" workbookViewId="0">
      <selection activeCell="G14" sqref="G14"/>
    </sheetView>
  </sheetViews>
  <sheetFormatPr baseColWidth="8" defaultRowHeight="15"/>
  <cols>
    <col width="5" customWidth="1" min="1" max="1"/>
    <col width="12.7109375" customWidth="1" min="2" max="2"/>
    <col width="27.5703125" customWidth="1" min="3" max="3"/>
    <col width="44.7109375" customWidth="1" min="4" max="5"/>
    <col width="12.42578125" customWidth="1" min="7" max="7"/>
    <col width="19.140625" customWidth="1" min="8" max="8"/>
    <col width="18" customWidth="1" min="9" max="9"/>
    <col width="16.140625" customWidth="1" min="10"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COUNTIF(F9:F80,"Passed")</f>
        <v/>
      </c>
      <c r="E4" s="53">
        <f>IF(D4=0,,(D4/(D4+D5)))</f>
        <v/>
      </c>
      <c r="F4" s="51">
        <f>IF(D3=0,,(D4/D3))</f>
        <v/>
      </c>
      <c r="G4" s="156">
        <f>COUNTIF(H10:H493,"Done")</f>
        <v/>
      </c>
    </row>
    <row r="5" ht="15.75" customHeight="1" thickBot="1">
      <c r="B5" s="350" t="inlineStr">
        <is>
          <t>Failed</t>
        </is>
      </c>
      <c r="D5" s="52">
        <f>COUNTIF(F9:F80,"Failed")</f>
        <v/>
      </c>
      <c r="E5" s="53">
        <f>IF(D5=0,,(D5/(D5+D6)))</f>
        <v/>
      </c>
      <c r="F5" s="51">
        <f>IF(D3=0,,(D5/D3))</f>
        <v/>
      </c>
      <c r="G5" s="52">
        <f>COUNTIF(H10:H493,"Failed")</f>
        <v/>
      </c>
    </row>
    <row r="6" ht="15.75" customHeight="1" thickBot="1">
      <c r="B6" s="350" t="inlineStr">
        <is>
          <t>Blocked</t>
        </is>
      </c>
      <c r="D6" s="52">
        <f>COUNTIF(F9:F80,"Blocked")</f>
        <v/>
      </c>
      <c r="E6" s="53">
        <f>IF(D6=0,,(D6/(D6+D7)))</f>
        <v/>
      </c>
      <c r="F6" s="51">
        <f>IF(D3=0,,(D6/D3))</f>
        <v/>
      </c>
      <c r="G6" s="52">
        <f>COUNTIF(H10:H493,"Blocked")</f>
        <v/>
      </c>
    </row>
    <row r="7" ht="15.75" customHeight="1" thickBot="1">
      <c r="B7" s="350" t="inlineStr">
        <is>
          <t>Pending</t>
        </is>
      </c>
      <c r="D7" s="52">
        <f>COUNTIF(F9:F80,"Pending")</f>
        <v/>
      </c>
      <c r="E7" s="53">
        <f>IF(D7=0,,(D7/(D7+D8)))</f>
        <v/>
      </c>
      <c r="F7" s="51">
        <f>IF(D3=0,,(D7/D3))</f>
        <v/>
      </c>
      <c r="G7" s="52">
        <f>COUNTIF(H10:H493,"Pending")</f>
        <v/>
      </c>
    </row>
    <row r="8" ht="15.75" customHeight="1" thickBot="1">
      <c r="B8" s="350" t="inlineStr">
        <is>
          <t>Not Applicable</t>
        </is>
      </c>
      <c r="D8" s="52">
        <f>COUNTIF(F9:F80,"Not Applicable")</f>
        <v/>
      </c>
      <c r="E8" s="53">
        <f>IF(D8=0,,(D8/(D8+#REF!)))</f>
        <v/>
      </c>
      <c r="F8" s="51">
        <f>IF(D3=0,,(D8/D3))</f>
        <v/>
      </c>
      <c r="G8" s="52">
        <f>COUNTIF(H10:H493,"Out of Scope")</f>
        <v/>
      </c>
    </row>
    <row r="9" ht="15.75" customHeight="1" thickBot="1">
      <c r="B9" s="9" t="inlineStr">
        <is>
          <t>S.No.</t>
        </is>
      </c>
      <c r="C9" s="10" t="inlineStr">
        <is>
          <t>Module/Sub-Module</t>
        </is>
      </c>
      <c r="D9" s="10" t="inlineStr">
        <is>
          <t>Test Steps</t>
        </is>
      </c>
      <c r="E9" s="8" t="inlineStr">
        <is>
          <t>Expected Results</t>
        </is>
      </c>
      <c r="F9" s="8" t="inlineStr">
        <is>
          <t>Result</t>
        </is>
      </c>
      <c r="G9" s="8" t="inlineStr">
        <is>
          <t>Bug ID</t>
        </is>
      </c>
      <c r="H9" s="8" t="inlineStr">
        <is>
          <t>Automation Status</t>
        </is>
      </c>
      <c r="I9" s="8" t="inlineStr">
        <is>
          <t>Mapped Scripts</t>
        </is>
      </c>
      <c r="J9" s="2" t="inlineStr">
        <is>
          <t>Comments</t>
        </is>
      </c>
    </row>
    <row r="10" ht="25.5" customHeight="1">
      <c r="B10" s="14" t="inlineStr">
        <is>
          <t>CustZone_001</t>
        </is>
      </c>
      <c r="C10" s="14" t="inlineStr">
        <is>
          <t>Customer Zone</t>
        </is>
      </c>
      <c r="D10" s="12" t="inlineStr">
        <is>
          <t>Spreading screen&gt;click Customer Zone.</t>
        </is>
      </c>
      <c r="E10" s="18" t="inlineStr">
        <is>
          <t>The Customer Zone popup should display the list of zones.</t>
        </is>
      </c>
      <c r="F10" s="26" t="inlineStr">
        <is>
          <t>Pending</t>
        </is>
      </c>
      <c r="G10" s="7" t="n"/>
      <c r="H10" s="154" t="inlineStr">
        <is>
          <t>Pending</t>
        </is>
      </c>
      <c r="I10" s="148" t="n">
        <v>0.5</v>
      </c>
      <c r="J10" s="55" t="n"/>
    </row>
    <row r="11">
      <c r="B11" s="14" t="inlineStr">
        <is>
          <t>CustZone_002</t>
        </is>
      </c>
      <c r="C11" s="14" t="inlineStr">
        <is>
          <t>Customer Zone</t>
        </is>
      </c>
      <c r="D11" s="14" t="inlineStr">
        <is>
          <t>Add new Customer Zone &gt; observe list in the table.</t>
        </is>
      </c>
      <c r="E11" s="366" t="inlineStr">
        <is>
          <t>The zone list should be updated.</t>
        </is>
      </c>
      <c r="F11" s="26" t="inlineStr">
        <is>
          <t>Pending</t>
        </is>
      </c>
      <c r="G11" s="3" t="n"/>
      <c r="H11" s="366" t="inlineStr">
        <is>
          <t>Pending</t>
        </is>
      </c>
      <c r="I11" s="149" t="n">
        <v>0.5</v>
      </c>
      <c r="J11" s="55" t="n"/>
    </row>
    <row r="12">
      <c r="B12" s="14" t="inlineStr">
        <is>
          <t>CustZone_003</t>
        </is>
      </c>
      <c r="C12" s="14" t="inlineStr">
        <is>
          <t>Customer Zone</t>
        </is>
      </c>
      <c r="D12" s="14" t="inlineStr">
        <is>
          <t>Use the Customer Zone in the file&gt;map values.</t>
        </is>
      </c>
      <c r="E12" s="366" t="inlineStr">
        <is>
          <t>The values should be mapped to the Customer Zone.</t>
        </is>
      </c>
      <c r="F12" s="26" t="inlineStr">
        <is>
          <t>Pending</t>
        </is>
      </c>
      <c r="G12" s="3" t="n"/>
      <c r="H12" s="366" t="inlineStr">
        <is>
          <t>Pending</t>
        </is>
      </c>
      <c r="I12" s="149" t="n">
        <v>0.5</v>
      </c>
      <c r="J12" s="55" t="n"/>
    </row>
    <row r="13">
      <c r="B13" s="14" t="inlineStr">
        <is>
          <t>CustZone_004</t>
        </is>
      </c>
      <c r="C13" s="14" t="inlineStr">
        <is>
          <t>Customer Zone</t>
        </is>
      </c>
      <c r="D13" s="14" t="inlineStr">
        <is>
          <t>Submit and continue &gt; Autofill.</t>
        </is>
      </c>
      <c r="E13" s="366" t="inlineStr">
        <is>
          <t>Autofill should work correctly for the Customer Zone.</t>
        </is>
      </c>
      <c r="F13" s="26" t="inlineStr">
        <is>
          <t>Pending</t>
        </is>
      </c>
      <c r="G13" s="3" t="n"/>
      <c r="H13" s="366" t="inlineStr">
        <is>
          <t>Pending</t>
        </is>
      </c>
      <c r="I13" s="149" t="n">
        <v>0.5</v>
      </c>
      <c r="J13" s="55" t="n"/>
    </row>
    <row r="14" ht="36" customHeight="1">
      <c r="B14" s="14" t="inlineStr">
        <is>
          <t>CustZone_005</t>
        </is>
      </c>
      <c r="C14" s="14" t="inlineStr">
        <is>
          <t>Customer Zone</t>
        </is>
      </c>
      <c r="D14" s="14" t="inlineStr">
        <is>
          <t>Create new Item under the same customer.
Upload same file&gt;AI/ML should be enabled.
Review list of auto detected zones.</t>
        </is>
      </c>
      <c r="E14" s="14" t="inlineStr">
        <is>
          <t>The Customer Zone should be auto-detected for the new item.</t>
        </is>
      </c>
      <c r="F14" s="26" t="inlineStr">
        <is>
          <t>Pending</t>
        </is>
      </c>
      <c r="G14" s="3" t="n"/>
      <c r="H14" s="366" t="inlineStr">
        <is>
          <t>Pending</t>
        </is>
      </c>
      <c r="I14" s="149" t="n">
        <v>0.5</v>
      </c>
      <c r="J14" s="55" t="n"/>
    </row>
    <row r="15" ht="24" customHeight="1">
      <c r="B15" s="14" t="inlineStr">
        <is>
          <t>CustZone_006</t>
        </is>
      </c>
      <c r="C15" s="14" t="inlineStr">
        <is>
          <t>Customer Zone</t>
        </is>
      </c>
      <c r="D15" s="14" t="inlineStr">
        <is>
          <t>Verify the earlier used Customer Zone auto detected in new item.</t>
        </is>
      </c>
      <c r="E15" s="14" t="inlineStr">
        <is>
          <t>The Customer Zone should be auto-detected for the new item.</t>
        </is>
      </c>
      <c r="F15" s="26" t="inlineStr">
        <is>
          <t>Pending</t>
        </is>
      </c>
      <c r="G15" s="3" t="n"/>
      <c r="H15" s="366" t="inlineStr">
        <is>
          <t>Pending</t>
        </is>
      </c>
      <c r="I15" s="149" t="n">
        <v>0.5</v>
      </c>
      <c r="J15" s="55" t="n"/>
    </row>
    <row r="16" ht="24" customHeight="1">
      <c r="B16" s="14" t="inlineStr">
        <is>
          <t>CustZone_007</t>
        </is>
      </c>
      <c r="C16" s="14" t="inlineStr">
        <is>
          <t>Customer Zone</t>
        </is>
      </c>
      <c r="D16" s="14" t="inlineStr">
        <is>
          <t>Verify Customer Zone in any other customer.</t>
        </is>
      </c>
      <c r="E16" s="14" t="inlineStr">
        <is>
          <t>Zone should not be listed in any other Customer Zone list.</t>
        </is>
      </c>
      <c r="F16" s="26" t="inlineStr">
        <is>
          <t>Pending</t>
        </is>
      </c>
      <c r="G16" s="3" t="n"/>
      <c r="H16" s="366" t="inlineStr">
        <is>
          <t>Pending</t>
        </is>
      </c>
      <c r="I16" s="149" t="n">
        <v>0.5</v>
      </c>
      <c r="J16" s="55" t="n"/>
    </row>
    <row r="17" ht="24" customHeight="1">
      <c r="B17" s="14" t="inlineStr">
        <is>
          <t>CustZone_008</t>
        </is>
      </c>
      <c r="C17" s="14" t="inlineStr">
        <is>
          <t>Customer Zone</t>
        </is>
      </c>
      <c r="D17" s="14" t="inlineStr">
        <is>
          <t>Add new item&gt;Set language Chinese.
AI/ML: Yes.</t>
        </is>
      </c>
      <c r="E17" s="14" t="inlineStr">
        <is>
          <t>Item should be created with Chinese language.</t>
        </is>
      </c>
      <c r="F17" s="26" t="inlineStr">
        <is>
          <t>Pending</t>
        </is>
      </c>
      <c r="G17" s="3" t="n"/>
      <c r="H17" s="366" t="inlineStr">
        <is>
          <t>Pending</t>
        </is>
      </c>
      <c r="I17" s="149" t="n">
        <v>0.5</v>
      </c>
      <c r="J17" s="55" t="n"/>
    </row>
    <row r="18">
      <c r="B18" s="14" t="inlineStr">
        <is>
          <t>CustZone_009</t>
        </is>
      </c>
      <c r="C18" s="14" t="inlineStr">
        <is>
          <t>Customer Zone</t>
        </is>
      </c>
      <c r="D18" s="14" t="inlineStr">
        <is>
          <t>Review Customer Zone list for Chinese language.</t>
        </is>
      </c>
      <c r="E18" s="14" t="inlineStr">
        <is>
          <t>The added Customer Zone should be displayed in the list.</t>
        </is>
      </c>
      <c r="F18" s="26" t="inlineStr">
        <is>
          <t>Pending</t>
        </is>
      </c>
      <c r="G18" s="3" t="n"/>
      <c r="H18" s="366" t="inlineStr">
        <is>
          <t>Pending</t>
        </is>
      </c>
      <c r="I18" s="149" t="n">
        <v>0.5</v>
      </c>
      <c r="J18" s="55" t="n"/>
    </row>
    <row r="19" ht="24" customHeight="1">
      <c r="B19" s="14" t="inlineStr">
        <is>
          <t>CustZone_010</t>
        </is>
      </c>
      <c r="C19" s="14" t="inlineStr">
        <is>
          <t>Customer Zone</t>
        </is>
      </c>
      <c r="D19" s="14" t="inlineStr">
        <is>
          <t>Add new item&gt;Set language Arabic.
AI/ML: Yes.</t>
        </is>
      </c>
      <c r="E19" s="14" t="inlineStr">
        <is>
          <t>Item should be created with Chinese language.</t>
        </is>
      </c>
      <c r="F19" s="26" t="inlineStr">
        <is>
          <t>Pending</t>
        </is>
      </c>
      <c r="G19" s="3" t="n"/>
      <c r="H19" s="366" t="inlineStr">
        <is>
          <t>Pending</t>
        </is>
      </c>
      <c r="I19" s="149" t="n">
        <v>0.5</v>
      </c>
      <c r="J19" s="55" t="n"/>
    </row>
    <row r="20">
      <c r="B20" s="14" t="inlineStr">
        <is>
          <t>CustZone_011</t>
        </is>
      </c>
      <c r="C20" s="14" t="inlineStr">
        <is>
          <t>Customer Zone</t>
        </is>
      </c>
      <c r="D20" s="14" t="inlineStr">
        <is>
          <t>Verify Customer Zone for Arabic as well.</t>
        </is>
      </c>
      <c r="E20" s="14" t="inlineStr">
        <is>
          <t>The added Customer Zone should be displayed in the list.</t>
        </is>
      </c>
      <c r="F20" s="26" t="inlineStr">
        <is>
          <t>Pending</t>
        </is>
      </c>
      <c r="G20" s="3" t="n"/>
      <c r="H20" s="366" t="inlineStr">
        <is>
          <t>Pending</t>
        </is>
      </c>
      <c r="I20" s="149" t="n">
        <v>1</v>
      </c>
      <c r="J20" s="55" t="n"/>
    </row>
    <row r="21" ht="36" customHeight="1">
      <c r="B21" s="14" t="inlineStr">
        <is>
          <t>CustZone_012</t>
        </is>
      </c>
      <c r="C21" s="14" t="inlineStr">
        <is>
          <t>Customer Zone</t>
        </is>
      </c>
      <c r="D21" s="14" t="inlineStr">
        <is>
          <t>Global Zone should be available for all customers.
Customer Zone should be available for specific customer.</t>
        </is>
      </c>
      <c r="E21" s="14" t="inlineStr">
        <is>
          <t>Should be same as mentioned.</t>
        </is>
      </c>
      <c r="F21" s="26" t="inlineStr">
        <is>
          <t>Pending</t>
        </is>
      </c>
      <c r="G21" s="3" t="n"/>
      <c r="H21" s="366" t="inlineStr">
        <is>
          <t>Pending</t>
        </is>
      </c>
      <c r="I21" s="3" t="n">
        <v>1</v>
      </c>
      <c r="J21" s="3" t="n"/>
    </row>
    <row r="22" ht="24" customHeight="1">
      <c r="B22" s="14" t="inlineStr">
        <is>
          <t>CustZone_013</t>
        </is>
      </c>
      <c r="C22" s="14" t="inlineStr">
        <is>
          <t>Delete Zone</t>
        </is>
      </c>
      <c r="D22" s="14" t="inlineStr">
        <is>
          <t>Customer Zone popup&gt; Verify deletion.</t>
        </is>
      </c>
      <c r="E22" s="14" t="inlineStr">
        <is>
          <t>The user should be able to delete the Customer Zone which is not used yet.</t>
        </is>
      </c>
      <c r="F22" s="26" t="inlineStr">
        <is>
          <t>Pending</t>
        </is>
      </c>
      <c r="G22" s="3" t="n"/>
      <c r="H22" s="366" t="inlineStr">
        <is>
          <t>Pending</t>
        </is>
      </c>
      <c r="I22" s="3" t="n">
        <v>1</v>
      </c>
      <c r="J22" s="3" t="n"/>
    </row>
    <row r="23">
      <c r="B23" s="14" t="inlineStr">
        <is>
          <t>CustZone_014</t>
        </is>
      </c>
      <c r="C23" s="14" t="inlineStr">
        <is>
          <t>Edit Customer Zone</t>
        </is>
      </c>
      <c r="D23" s="14" t="inlineStr">
        <is>
          <t>Customer Zone popup&gt; Verify edit.</t>
        </is>
      </c>
      <c r="E23" s="14" t="inlineStr">
        <is>
          <t>The user should be able to edit the zone who has created it.</t>
        </is>
      </c>
      <c r="F23" s="26" t="inlineStr">
        <is>
          <t>Pending</t>
        </is>
      </c>
      <c r="G23" s="3" t="n"/>
      <c r="H23" s="366" t="inlineStr">
        <is>
          <t>Pending</t>
        </is>
      </c>
      <c r="I23" s="3" t="n">
        <v>1</v>
      </c>
      <c r="J23" s="3" t="n"/>
    </row>
  </sheetData>
  <mergeCells count="7">
    <mergeCell ref="B6:C6"/>
    <mergeCell ref="B7:C7"/>
    <mergeCell ref="B2:F2"/>
    <mergeCell ref="B3:C3"/>
    <mergeCell ref="B5:C5"/>
    <mergeCell ref="B8:C8"/>
    <mergeCell ref="B4:C4"/>
  </mergeCells>
  <conditionalFormatting sqref="D3">
    <cfRule type="expression" priority="70" dxfId="51" stopIfTrue="1">
      <formula>AND(COUNTIF($A$8:$A$8, D3)+COUNTIF(#REF!, D3)&gt;1,NOT(ISBLANK(D3)))</formula>
    </cfRule>
  </conditionalFormatting>
  <conditionalFormatting sqref="D4">
    <cfRule type="cellIs" priority="28" operator="lessThan" dxfId="10" stopIfTrue="1">
      <formula>1</formula>
    </cfRule>
  </conditionalFormatting>
  <conditionalFormatting sqref="D4:D8">
    <cfRule type="cellIs" priority="23" operator="greaterThan" dxfId="9" stopIfTrue="1">
      <formula>0</formula>
    </cfRule>
    <cfRule type="cellIs" priority="24" operator="greaterThan" dxfId="9" stopIfTrue="1">
      <formula>1</formula>
    </cfRule>
    <cfRule type="cellIs" priority="25" operator="greaterThan" dxfId="10" stopIfTrue="1">
      <formula>0</formula>
    </cfRule>
    <cfRule type="cellIs" priority="26" operator="greaterThan" dxfId="10" stopIfTrue="1">
      <formula>1</formula>
    </cfRule>
    <cfRule type="cellIs" priority="27" operator="equal" dxfId="9" stopIfTrue="1">
      <formula>$C$3</formula>
    </cfRule>
  </conditionalFormatting>
  <conditionalFormatting sqref="D5:D8">
    <cfRule type="cellIs" priority="16" operator="lessThan" dxfId="10" stopIfTrue="1">
      <formula>1</formula>
    </cfRule>
  </conditionalFormatting>
  <conditionalFormatting sqref="E4">
    <cfRule type="cellIs" priority="59" operator="equal" dxfId="9" stopIfTrue="1">
      <formula>1</formula>
    </cfRule>
    <cfRule type="cellIs" priority="60" operator="lessThan" dxfId="10" stopIfTrue="1">
      <formula>1</formula>
    </cfRule>
  </conditionalFormatting>
  <conditionalFormatting sqref="E5:E8">
    <cfRule type="cellIs" priority="30" operator="equal" dxfId="9" stopIfTrue="1">
      <formula>1</formula>
    </cfRule>
    <cfRule type="cellIs" priority="31" operator="lessThan" dxfId="10" stopIfTrue="1">
      <formula>1</formula>
    </cfRule>
    <cfRule type="cellIs" priority="32" operator="equal" dxfId="9" stopIfTrue="1">
      <formula>1</formula>
    </cfRule>
    <cfRule type="cellIs" priority="33" operator="lessThan" dxfId="10" stopIfTrue="1">
      <formula>1</formula>
    </cfRule>
  </conditionalFormatting>
  <conditionalFormatting sqref="E4:F4">
    <cfRule type="cellIs" priority="55" operator="equal" dxfId="9" stopIfTrue="1">
      <formula>1</formula>
    </cfRule>
    <cfRule type="cellIs" priority="56" operator="lessThan" dxfId="10" stopIfTrue="1">
      <formula>1</formula>
    </cfRule>
  </conditionalFormatting>
  <conditionalFormatting sqref="F4">
    <cfRule type="cellIs" priority="53" operator="equal" dxfId="9" stopIfTrue="1">
      <formula>1</formula>
    </cfRule>
    <cfRule type="cellIs" priority="54" operator="lessThan" dxfId="10" stopIfTrue="1">
      <formula>1</formula>
    </cfRule>
  </conditionalFormatting>
  <conditionalFormatting sqref="F5">
    <cfRule type="cellIs" priority="49" operator="greaterThan" dxfId="10" stopIfTrue="1">
      <formula>0</formula>
    </cfRule>
    <cfRule type="cellIs" priority="50" operator="equal" dxfId="9" stopIfTrue="1">
      <formula>0</formula>
    </cfRule>
    <cfRule type="cellIs" priority="51" operator="greaterThan" dxfId="10" stopIfTrue="1">
      <formula>0</formula>
    </cfRule>
    <cfRule type="cellIs" priority="52" operator="equal" dxfId="9" stopIfTrue="1">
      <formula>0</formula>
    </cfRule>
  </conditionalFormatting>
  <conditionalFormatting sqref="F6">
    <cfRule type="cellIs" priority="47" operator="equal" dxfId="9" stopIfTrue="1">
      <formula>0</formula>
    </cfRule>
    <cfRule type="cellIs" priority="48" operator="greaterThan" dxfId="22" stopIfTrue="1">
      <formula>0</formula>
    </cfRule>
  </conditionalFormatting>
  <conditionalFormatting sqref="F6:F7">
    <cfRule type="cellIs" priority="43" operator="equal" dxfId="9" stopIfTrue="1">
      <formula>0</formula>
    </cfRule>
    <cfRule type="cellIs" priority="44" operator="greaterThan" dxfId="22" stopIfTrue="1">
      <formula>0</formula>
    </cfRule>
  </conditionalFormatting>
  <conditionalFormatting sqref="F7:F8">
    <cfRule type="cellIs" priority="39" operator="equal" dxfId="9" stopIfTrue="1">
      <formula>0</formula>
    </cfRule>
    <cfRule type="cellIs" priority="40" operator="greaterThan" dxfId="22" stopIfTrue="1">
      <formula>0</formula>
    </cfRule>
  </conditionalFormatting>
  <conditionalFormatting sqref="F8">
    <cfRule type="cellIs" priority="37" operator="equal" dxfId="9" stopIfTrue="1">
      <formula>0</formula>
    </cfRule>
    <cfRule type="cellIs" priority="38" operator="greaterThan" dxfId="22" stopIfTrue="1">
      <formula>0</formula>
    </cfRule>
  </conditionalFormatting>
  <conditionalFormatting sqref="F10:F23">
    <cfRule type="cellIs" priority="71" operator="equal" dxfId="6" stopIfTrue="1">
      <formula>"NA"</formula>
    </cfRule>
    <cfRule type="cellIs" priority="72" operator="equal" dxfId="5" stopIfTrue="1">
      <formula>"Blocked"</formula>
    </cfRule>
    <cfRule type="cellIs" priority="73" operator="equal" dxfId="4" stopIfTrue="1">
      <formula>"Pending"</formula>
    </cfRule>
    <cfRule type="cellIs" priority="74" operator="equal" dxfId="0" stopIfTrue="1">
      <formula>"Passed"</formula>
    </cfRule>
    <cfRule type="cellIs" priority="75" operator="equal" dxfId="1" stopIfTrue="1">
      <formula>"Failed"</formula>
    </cfRule>
    <cfRule type="cellIs" priority="76" operator="equal" dxfId="1" stopIfTrue="1">
      <formula>"Fail"</formula>
    </cfRule>
    <cfRule type="cellIs" priority="77" operator="equal" dxfId="0" stopIfTrue="1">
      <formula>"Pass"</formula>
    </cfRule>
  </conditionalFormatting>
  <conditionalFormatting sqref="G5:G8">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0:H23">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23" showDropDown="0" showInputMessage="1" showErrorMessage="1" allowBlank="1" type="list">
      <formula1>"Passed,Failed,Blocked,Pending,NA"</formula1>
    </dataValidation>
    <dataValidation sqref="H10:H23"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B2:J139"/>
  <sheetViews>
    <sheetView showGridLines="0" topLeftCell="D1" workbookViewId="0">
      <selection activeCell="J12" sqref="J12"/>
    </sheetView>
  </sheetViews>
  <sheetFormatPr baseColWidth="8" defaultRowHeight="15"/>
  <cols>
    <col width="5" customWidth="1" min="1" max="1"/>
    <col width="12.7109375" customWidth="1" min="2" max="2"/>
    <col width="27.5703125" customWidth="1" min="3" max="3"/>
    <col width="44.7109375" customWidth="1" min="4" max="5"/>
    <col width="12.42578125" customWidth="1" min="7" max="7"/>
    <col width="19.140625" customWidth="1" min="8" max="8"/>
    <col width="18" customWidth="1" min="9" max="9"/>
    <col width="16.140625" customWidth="1" min="10"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COUNTIF(F9:F200,"Passed")</f>
        <v/>
      </c>
      <c r="E4" s="53">
        <f>IF(D4=0,,(D4/(D4+D5)))</f>
        <v/>
      </c>
      <c r="F4" s="51">
        <f>IF(D3=0,,(D4/D3))</f>
        <v/>
      </c>
      <c r="G4" s="156">
        <f>COUNTIF(H10:H489,"Done")</f>
        <v/>
      </c>
    </row>
    <row r="5" ht="15.75" customHeight="1" thickBot="1">
      <c r="B5" s="350" t="inlineStr">
        <is>
          <t>Failed</t>
        </is>
      </c>
      <c r="D5" s="52">
        <f>COUNTIF(F9:F200,"Failed")</f>
        <v/>
      </c>
      <c r="E5" s="53">
        <f>IF(D5=0,,(D5/(D5+D6)))</f>
        <v/>
      </c>
      <c r="F5" s="51">
        <f>IF(D3=0,,(D5/D3))</f>
        <v/>
      </c>
      <c r="G5" s="52">
        <f>COUNTIF(H10:H489,"Failed")</f>
        <v/>
      </c>
    </row>
    <row r="6" ht="15.75" customHeight="1" thickBot="1">
      <c r="B6" s="350" t="inlineStr">
        <is>
          <t>Blocked</t>
        </is>
      </c>
      <c r="D6" s="52">
        <f>COUNTIF(F9:F200,"Blocked")</f>
        <v/>
      </c>
      <c r="E6" s="53">
        <f>IF(D6=0,,(D6/(D6+D7)))</f>
        <v/>
      </c>
      <c r="F6" s="51">
        <f>IF(D3=0,,(D6/D3))</f>
        <v/>
      </c>
      <c r="G6" s="52">
        <f>COUNTIF(H10:H489,"Blocked")</f>
        <v/>
      </c>
    </row>
    <row r="7" ht="15.75" customHeight="1" thickBot="1">
      <c r="B7" s="350" t="inlineStr">
        <is>
          <t>Pending</t>
        </is>
      </c>
      <c r="D7" s="52">
        <f>COUNTIF(F9:F200,"Pending")</f>
        <v/>
      </c>
      <c r="E7" s="53">
        <f>IF(D7=0,,(D7/(D7+D8)))</f>
        <v/>
      </c>
      <c r="F7" s="51">
        <f>IF(D3=0,,(D7/D3))</f>
        <v/>
      </c>
      <c r="G7" s="52">
        <f>COUNTIF(H10:H489,"Pending")</f>
        <v/>
      </c>
    </row>
    <row r="8" ht="15.75" customHeight="1" thickBot="1">
      <c r="B8" s="350" t="inlineStr">
        <is>
          <t>Not Applicable</t>
        </is>
      </c>
      <c r="D8" s="52">
        <f>COUNTIF(F9:F200,"Not Applicable")</f>
        <v/>
      </c>
      <c r="E8" s="53">
        <f>IF(D8=0,,(D8/(D8+#REF!)))</f>
        <v/>
      </c>
      <c r="F8" s="51">
        <f>IF(D3=0,,(D8/D3))</f>
        <v/>
      </c>
      <c r="G8" s="52">
        <f>COUNTIF(H10:H489,"Out of Scope")</f>
        <v/>
      </c>
    </row>
    <row r="9" ht="15.75" customHeight="1" thickBot="1">
      <c r="B9" s="9" t="inlineStr">
        <is>
          <t>S.No.</t>
        </is>
      </c>
      <c r="C9" s="10" t="inlineStr">
        <is>
          <t>Module/Sub-Module</t>
        </is>
      </c>
      <c r="D9" s="10" t="inlineStr">
        <is>
          <t>Test Steps</t>
        </is>
      </c>
      <c r="E9" s="8" t="inlineStr">
        <is>
          <t>Expected Results</t>
        </is>
      </c>
      <c r="F9" s="8" t="inlineStr">
        <is>
          <t>Result</t>
        </is>
      </c>
      <c r="G9" s="8" t="inlineStr">
        <is>
          <t>Bug ID</t>
        </is>
      </c>
      <c r="H9" s="8" t="inlineStr">
        <is>
          <t>Automation Status</t>
        </is>
      </c>
      <c r="I9" s="8" t="inlineStr">
        <is>
          <t>Mapped Scripts</t>
        </is>
      </c>
      <c r="J9" s="2" t="inlineStr">
        <is>
          <t>Comments</t>
        </is>
      </c>
    </row>
    <row r="10" ht="24" customHeight="1">
      <c r="B10" s="14" t="inlineStr">
        <is>
          <t>CC_001</t>
        </is>
      </c>
      <c r="C10" s="14" t="inlineStr">
        <is>
          <t>Currency Conversion - Config</t>
        </is>
      </c>
      <c r="D10" s="12" t="inlineStr">
        <is>
          <t>Verify that Currency conversion feature is configurable from backend.</t>
        </is>
      </c>
      <c r="E10" s="12" t="inlineStr">
        <is>
          <t>The team should be able to turn the feature on or off.</t>
        </is>
      </c>
      <c r="F10" s="26" t="inlineStr">
        <is>
          <t>Pending</t>
        </is>
      </c>
      <c r="G10" s="7" t="n"/>
      <c r="H10" s="154" t="inlineStr">
        <is>
          <t>Out of Scope</t>
        </is>
      </c>
      <c r="I10" s="148" t="n"/>
      <c r="J10" s="55" t="n"/>
    </row>
    <row r="11">
      <c r="B11" s="14" t="inlineStr">
        <is>
          <t>CC_002</t>
        </is>
      </c>
      <c r="C11" s="14" t="inlineStr">
        <is>
          <t>Currency Conversion - Config</t>
        </is>
      </c>
      <c r="D11" s="12" t="inlineStr">
        <is>
          <t>Verify Enabling and disabling the feature.</t>
        </is>
      </c>
      <c r="E11" s="12" t="inlineStr">
        <is>
          <t>The feature should not impact any existing flow.</t>
        </is>
      </c>
      <c r="F11" s="26" t="inlineStr">
        <is>
          <t>Pending</t>
        </is>
      </c>
      <c r="G11" s="3" t="n"/>
      <c r="H11" s="366" t="inlineStr">
        <is>
          <t>Done</t>
        </is>
      </c>
      <c r="I11" s="149" t="n"/>
      <c r="J11" s="55" t="n"/>
    </row>
    <row r="12">
      <c r="B12" s="14" t="inlineStr">
        <is>
          <t>CC_003</t>
        </is>
      </c>
      <c r="C12" s="14" t="inlineStr">
        <is>
          <t>Currency Conversion - Config Enable</t>
        </is>
      </c>
      <c r="D12" s="12" t="inlineStr">
        <is>
          <t>Verify that Currency conversion feature is enabled.</t>
        </is>
      </c>
      <c r="E12" s="12" t="inlineStr">
        <is>
          <t>The feature should reflect the backend configuration.</t>
        </is>
      </c>
      <c r="F12" s="26" t="inlineStr">
        <is>
          <t>Pending</t>
        </is>
      </c>
      <c r="G12" s="3" t="n"/>
      <c r="H12" s="366" t="inlineStr">
        <is>
          <t>Out of Scope</t>
        </is>
      </c>
      <c r="I12" s="149" t="n"/>
      <c r="J12" s="55" t="n"/>
    </row>
    <row r="13">
      <c r="B13" s="14" t="inlineStr">
        <is>
          <t>CC_004</t>
        </is>
      </c>
      <c r="C13" s="14" t="inlineStr">
        <is>
          <t>Currency Conversion - Config Enable</t>
        </is>
      </c>
      <c r="D13" s="12" t="inlineStr">
        <is>
          <t>Verify that the field is displayed in Create/Modify customer screen.</t>
        </is>
      </c>
      <c r="E13" s="12" t="inlineStr">
        <is>
          <t>The field should be displayed.</t>
        </is>
      </c>
      <c r="F13" s="26" t="inlineStr">
        <is>
          <t>Pending</t>
        </is>
      </c>
      <c r="G13" s="3" t="n"/>
      <c r="H13" s="366" t="inlineStr">
        <is>
          <t>Done</t>
        </is>
      </c>
      <c r="I13" s="149" t="n"/>
      <c r="J13" s="55" t="n"/>
    </row>
    <row r="14" ht="24" customHeight="1">
      <c r="B14" s="14" t="inlineStr">
        <is>
          <t>CC_005</t>
        </is>
      </c>
      <c r="C14" s="14" t="inlineStr">
        <is>
          <t>Currency Conversion - Config Enable</t>
        </is>
      </c>
      <c r="D14" s="12" t="inlineStr">
        <is>
          <t>Verify that the field is displayed in Add/Modify item screen.</t>
        </is>
      </c>
      <c r="E14" s="12" t="inlineStr">
        <is>
          <t>The field should be displayed.</t>
        </is>
      </c>
      <c r="F14" s="26" t="inlineStr">
        <is>
          <t>Pending</t>
        </is>
      </c>
      <c r="G14" s="3" t="n"/>
      <c r="H14" s="366" t="inlineStr">
        <is>
          <t>Done</t>
        </is>
      </c>
      <c r="I14" s="149" t="n"/>
      <c r="J14" s="55" t="n"/>
    </row>
    <row r="15" ht="24" customHeight="1">
      <c r="B15" s="14" t="inlineStr">
        <is>
          <t>CC_006</t>
        </is>
      </c>
      <c r="C15" s="14" t="inlineStr">
        <is>
          <t>Currency Conversion - Config Enable</t>
        </is>
      </c>
      <c r="D15" s="12" t="inlineStr">
        <is>
          <t>Verify that the field is displayed in Create/Modify model screen.</t>
        </is>
      </c>
      <c r="E15" s="12" t="inlineStr">
        <is>
          <t>The field should be displayed.</t>
        </is>
      </c>
      <c r="F15" s="26" t="inlineStr">
        <is>
          <t>Pending</t>
        </is>
      </c>
      <c r="G15" s="3" t="n"/>
      <c r="H15" s="366" t="inlineStr">
        <is>
          <t>Done</t>
        </is>
      </c>
      <c r="I15" s="149" t="n"/>
      <c r="J15" s="55" t="n"/>
    </row>
    <row r="16" ht="24" customHeight="1">
      <c r="B16" s="14" t="inlineStr">
        <is>
          <t>CC_007</t>
        </is>
      </c>
      <c r="C16" s="14" t="inlineStr">
        <is>
          <t>Currency Conversion - Config Enable</t>
        </is>
      </c>
      <c r="D16" s="12" t="inlineStr">
        <is>
          <t>Verify that the field is displayed in export statement screen.</t>
        </is>
      </c>
      <c r="E16" s="12" t="inlineStr">
        <is>
          <t>The field should be displayed.</t>
        </is>
      </c>
      <c r="F16" s="26" t="inlineStr">
        <is>
          <t>Pending</t>
        </is>
      </c>
      <c r="G16" s="3" t="n"/>
      <c r="H16" s="366" t="inlineStr">
        <is>
          <t>Done</t>
        </is>
      </c>
      <c r="I16" s="149" t="n"/>
      <c r="J16" s="55" t="n"/>
    </row>
    <row r="17" ht="24" customHeight="1">
      <c r="B17" s="14" t="inlineStr">
        <is>
          <t>CC_008</t>
        </is>
      </c>
      <c r="C17" s="14" t="inlineStr">
        <is>
          <t>Currency Conversion - Config Enable</t>
        </is>
      </c>
      <c r="D17" s="12" t="inlineStr">
        <is>
          <t>Verify that the field is displayed in Spreading screen.</t>
        </is>
      </c>
      <c r="E17" s="12" t="inlineStr">
        <is>
          <t>The field should be displayed.</t>
        </is>
      </c>
      <c r="F17" s="26" t="inlineStr">
        <is>
          <t>Pending</t>
        </is>
      </c>
      <c r="G17" s="3" t="n"/>
      <c r="H17" s="366" t="inlineStr">
        <is>
          <t>Done</t>
        </is>
      </c>
      <c r="I17" s="149" t="n"/>
      <c r="J17" s="55" t="n"/>
    </row>
    <row r="18">
      <c r="B18" s="14" t="inlineStr">
        <is>
          <t>CC_009</t>
        </is>
      </c>
      <c r="C18" s="14" t="inlineStr">
        <is>
          <t>Currency Conversion - Config Disable</t>
        </is>
      </c>
      <c r="D18" s="12" t="inlineStr">
        <is>
          <t>Verify that Currency conversion feature is disabled.</t>
        </is>
      </c>
      <c r="E18" s="12" t="inlineStr">
        <is>
          <t>The feature should reflect the backend configuration.</t>
        </is>
      </c>
      <c r="F18" s="26" t="inlineStr">
        <is>
          <t>Pending</t>
        </is>
      </c>
      <c r="G18" s="3" t="n"/>
      <c r="H18" s="366" t="inlineStr">
        <is>
          <t>Out of Scope</t>
        </is>
      </c>
      <c r="I18" s="149" t="n"/>
      <c r="J18" s="55" t="n"/>
    </row>
    <row r="19" ht="24" customHeight="1">
      <c r="B19" s="14" t="inlineStr">
        <is>
          <t>CC_010</t>
        </is>
      </c>
      <c r="C19" s="14" t="inlineStr">
        <is>
          <t>Currency Conversion - Config Disable</t>
        </is>
      </c>
      <c r="D19" s="12" t="inlineStr">
        <is>
          <t>Verify on Create/Modify customer screen.</t>
        </is>
      </c>
      <c r="E19" s="12" t="inlineStr">
        <is>
          <t>No related field should be displayed.</t>
        </is>
      </c>
      <c r="F19" s="26" t="inlineStr">
        <is>
          <t>Pending</t>
        </is>
      </c>
      <c r="G19" s="3" t="n"/>
      <c r="H19" s="366" t="inlineStr">
        <is>
          <t>Done</t>
        </is>
      </c>
      <c r="I19" s="149" t="n"/>
      <c r="J19" s="55" t="n"/>
    </row>
    <row r="20" ht="24" customHeight="1">
      <c r="B20" s="14" t="inlineStr">
        <is>
          <t>CC_011</t>
        </is>
      </c>
      <c r="C20" s="14" t="inlineStr">
        <is>
          <t>Currency Conversion - Config Disable</t>
        </is>
      </c>
      <c r="D20" s="12" t="inlineStr">
        <is>
          <t>Verify on Create/Modify model screen.</t>
        </is>
      </c>
      <c r="E20" s="12" t="inlineStr">
        <is>
          <t>No related field should be displayed.</t>
        </is>
      </c>
      <c r="F20" s="26" t="inlineStr">
        <is>
          <t>Pending</t>
        </is>
      </c>
      <c r="G20" s="3" t="n"/>
      <c r="H20" s="366" t="inlineStr">
        <is>
          <t>Done</t>
        </is>
      </c>
      <c r="I20" s="149" t="n"/>
      <c r="J20" s="55" t="n"/>
    </row>
    <row r="21" ht="24" customHeight="1">
      <c r="B21" s="14" t="inlineStr">
        <is>
          <t>CC_012</t>
        </is>
      </c>
      <c r="C21" s="14" t="inlineStr">
        <is>
          <t>Currency Conversion - Config Disable</t>
        </is>
      </c>
      <c r="D21" s="12" t="inlineStr">
        <is>
          <t>Verify on Add/Modify item screen.</t>
        </is>
      </c>
      <c r="E21" s="12" t="inlineStr">
        <is>
          <t>No related field should be displayed.</t>
        </is>
      </c>
      <c r="F21" s="26" t="inlineStr">
        <is>
          <t>Pending</t>
        </is>
      </c>
      <c r="G21" s="3" t="n"/>
      <c r="H21" s="366" t="inlineStr">
        <is>
          <t>Done</t>
        </is>
      </c>
      <c r="I21" s="3" t="n"/>
      <c r="J21" s="3" t="n"/>
    </row>
    <row r="22" ht="24" customHeight="1">
      <c r="B22" s="14" t="inlineStr">
        <is>
          <t>CC_013</t>
        </is>
      </c>
      <c r="C22" s="14" t="inlineStr">
        <is>
          <t>Currency Conversion - Config Disable</t>
        </is>
      </c>
      <c r="D22" s="12" t="inlineStr">
        <is>
          <t>Verify on Spreading screen.</t>
        </is>
      </c>
      <c r="E22" s="12" t="inlineStr">
        <is>
          <t>No related field should be displayed.</t>
        </is>
      </c>
      <c r="F22" s="26" t="inlineStr">
        <is>
          <t>Pending</t>
        </is>
      </c>
      <c r="G22" s="3" t="n"/>
      <c r="H22" s="366" t="inlineStr">
        <is>
          <t>Done</t>
        </is>
      </c>
      <c r="I22" s="3" t="n"/>
      <c r="J22" s="3" t="n"/>
    </row>
    <row r="23" ht="24" customHeight="1">
      <c r="B23" s="14" t="inlineStr">
        <is>
          <t>CC_014</t>
        </is>
      </c>
      <c r="C23" s="14" t="inlineStr">
        <is>
          <t>Currency Conversion - Config Disable</t>
        </is>
      </c>
      <c r="D23" s="12" t="inlineStr">
        <is>
          <t>Verify on Statement export screen.</t>
        </is>
      </c>
      <c r="E23" s="12" t="inlineStr">
        <is>
          <t>No related field should be displayed.</t>
        </is>
      </c>
      <c r="F23" s="26" t="inlineStr">
        <is>
          <t>Pending</t>
        </is>
      </c>
      <c r="G23" s="3" t="n"/>
      <c r="H23" s="366" t="inlineStr">
        <is>
          <t>Done</t>
        </is>
      </c>
      <c r="I23" s="3" t="n"/>
      <c r="J23" s="3" t="n"/>
    </row>
    <row r="24">
      <c r="B24" s="14" t="inlineStr">
        <is>
          <t>CC_015</t>
        </is>
      </c>
      <c r="C24" s="14" t="inlineStr">
        <is>
          <t>Currency Conversion - CL</t>
        </is>
      </c>
      <c r="D24" s="12" t="inlineStr">
        <is>
          <t>Verify when CL is enabled.</t>
        </is>
      </c>
      <c r="E24" s="12" t="inlineStr">
        <is>
          <t>Currency conversion should be disabled by default.</t>
        </is>
      </c>
      <c r="F24" s="26" t="inlineStr">
        <is>
          <t>Pending</t>
        </is>
      </c>
      <c r="G24" s="3" t="n"/>
      <c r="H24" s="366" t="inlineStr">
        <is>
          <t>Out of Scope</t>
        </is>
      </c>
      <c r="I24" s="3" t="n"/>
      <c r="J24" s="3" t="n"/>
    </row>
    <row r="25" ht="72" customHeight="1">
      <c r="B25" s="14" t="inlineStr">
        <is>
          <t>CC_016</t>
        </is>
      </c>
      <c r="C25" s="14" t="inlineStr">
        <is>
          <t>Currency Conversion - CL</t>
        </is>
      </c>
      <c r="D25" s="12" t="inlineStr">
        <is>
          <t>Verify below mentioned screens,.
Modify customer.
Modify Model.
Add/modify item.
Historical item.
Statement export.</t>
        </is>
      </c>
      <c r="E25" s="12" t="inlineStr">
        <is>
          <t>Currency conversion should not be enabled.</t>
        </is>
      </c>
      <c r="F25" s="26" t="inlineStr">
        <is>
          <t>Pending</t>
        </is>
      </c>
      <c r="G25" s="3" t="n"/>
      <c r="H25" s="366" t="inlineStr">
        <is>
          <t>Out of Scope</t>
        </is>
      </c>
      <c r="I25" s="3" t="n"/>
      <c r="J25" s="3" t="n"/>
    </row>
    <row r="26" ht="24" customHeight="1">
      <c r="B26" s="14" t="inlineStr">
        <is>
          <t>CC_017</t>
        </is>
      </c>
      <c r="C26" s="14" t="inlineStr">
        <is>
          <t>Currency Conversion - Customer Screen</t>
        </is>
      </c>
      <c r="D26" s="12" t="inlineStr">
        <is>
          <t>Launch Create customer screen, and observe Target Currency field.</t>
        </is>
      </c>
      <c r="E26" s="12" t="inlineStr">
        <is>
          <t>Target Currency field dropdown should be present.</t>
        </is>
      </c>
      <c r="F26" s="26" t="inlineStr">
        <is>
          <t>Pending</t>
        </is>
      </c>
      <c r="G26" s="3" t="n"/>
      <c r="H26" s="366" t="inlineStr">
        <is>
          <t>Done</t>
        </is>
      </c>
      <c r="I26" s="3" t="n"/>
      <c r="J26" s="3" t="n"/>
    </row>
    <row r="27" ht="24" customHeight="1">
      <c r="B27" s="14" t="inlineStr">
        <is>
          <t>CC_018</t>
        </is>
      </c>
      <c r="C27" s="14" t="inlineStr">
        <is>
          <t>Currency Conversion - Customer Screen</t>
        </is>
      </c>
      <c r="D27" s="12" t="inlineStr">
        <is>
          <t>Verify that field should be mandatory.</t>
        </is>
      </c>
      <c r="E27" s="12" t="inlineStr">
        <is>
          <t>A mandatory indicator should be displayed along with the field name.</t>
        </is>
      </c>
      <c r="F27" s="26" t="inlineStr">
        <is>
          <t>Pending</t>
        </is>
      </c>
      <c r="G27" s="3" t="n"/>
      <c r="H27" s="366" t="inlineStr">
        <is>
          <t>Done</t>
        </is>
      </c>
      <c r="I27" s="3" t="n"/>
      <c r="J27" s="3" t="n"/>
    </row>
    <row r="28" ht="24" customHeight="1">
      <c r="B28" s="14" t="inlineStr">
        <is>
          <t>CC_019</t>
        </is>
      </c>
      <c r="C28" s="14" t="inlineStr">
        <is>
          <t>Currency Conversion - Customer Screen</t>
        </is>
      </c>
      <c r="D28" s="12" t="inlineStr">
        <is>
          <t>Verify that the user can save customer with currency field.</t>
        </is>
      </c>
      <c r="E28" s="12" t="inlineStr">
        <is>
          <t>The customer should be created.</t>
        </is>
      </c>
      <c r="F28" s="26" t="inlineStr">
        <is>
          <t>Pending</t>
        </is>
      </c>
      <c r="G28" s="3" t="n"/>
      <c r="H28" s="366" t="inlineStr">
        <is>
          <t>Done</t>
        </is>
      </c>
      <c r="I28" s="3" t="n"/>
      <c r="J28" s="3" t="n"/>
    </row>
    <row r="29">
      <c r="B29" s="14" t="inlineStr">
        <is>
          <t>CC_020</t>
        </is>
      </c>
      <c r="C29" s="14" t="inlineStr">
        <is>
          <t>Currency Conversion - Customer Screen</t>
        </is>
      </c>
      <c r="D29" s="12" t="inlineStr">
        <is>
          <t>Verify creating item for that customer.</t>
        </is>
      </c>
      <c r="E29" s="12" t="inlineStr">
        <is>
          <t>The user should be taken to the Add Item screen.</t>
        </is>
      </c>
      <c r="F29" s="26" t="inlineStr">
        <is>
          <t>Pending</t>
        </is>
      </c>
      <c r="G29" s="3" t="n"/>
      <c r="H29" s="366" t="inlineStr">
        <is>
          <t>Done</t>
        </is>
      </c>
      <c r="I29" s="3" t="n"/>
      <c r="J29" s="3" t="n"/>
    </row>
    <row r="30" ht="24" customHeight="1">
      <c r="B30" s="14" t="inlineStr">
        <is>
          <t>CC_021</t>
        </is>
      </c>
      <c r="C30" s="14" t="inlineStr">
        <is>
          <t>Currency Conversion - Customer Screen</t>
        </is>
      </c>
      <c r="D30" s="12" t="inlineStr">
        <is>
          <t>Verify that Target Currency field matches Customer Target Currency.</t>
        </is>
      </c>
      <c r="E30" s="12" t="inlineStr">
        <is>
          <t>Target Currency field matches Customer Target Currency.</t>
        </is>
      </c>
      <c r="F30" s="26" t="inlineStr">
        <is>
          <t>Pending</t>
        </is>
      </c>
      <c r="G30" s="3" t="n"/>
      <c r="H30" s="366" t="inlineStr">
        <is>
          <t>Done</t>
        </is>
      </c>
      <c r="I30" s="3" t="n"/>
      <c r="J30" s="3" t="n"/>
    </row>
    <row r="31" ht="24" customHeight="1">
      <c r="B31" s="14" t="inlineStr">
        <is>
          <t>CC_022</t>
        </is>
      </c>
      <c r="C31" s="14" t="inlineStr">
        <is>
          <t>Currency Conversion - Customer Screen</t>
        </is>
      </c>
      <c r="D31" s="12" t="inlineStr">
        <is>
          <t>Try to save customer without Currency field selection.</t>
        </is>
      </c>
      <c r="E31" s="12" t="inlineStr">
        <is>
          <t>The customer should not be saved and should throw validation message to select Target Currency.</t>
        </is>
      </c>
      <c r="F31" s="26" t="inlineStr">
        <is>
          <t>Pending</t>
        </is>
      </c>
      <c r="G31" s="3" t="n"/>
      <c r="H31" s="366" t="inlineStr">
        <is>
          <t>Done</t>
        </is>
      </c>
      <c r="I31" s="3" t="n"/>
      <c r="J31" s="3" t="n"/>
    </row>
    <row r="32">
      <c r="B32" s="14" t="inlineStr">
        <is>
          <t>CC_023</t>
        </is>
      </c>
      <c r="C32" s="14" t="inlineStr">
        <is>
          <t>Currency Conversion - Customer Screen</t>
        </is>
      </c>
      <c r="D32" s="12" t="inlineStr">
        <is>
          <t>Existing customers screen &gt; modify any customer.</t>
        </is>
      </c>
      <c r="E32" s="12" t="inlineStr">
        <is>
          <t>Customer modify screen should be launched.</t>
        </is>
      </c>
      <c r="F32" s="26" t="inlineStr">
        <is>
          <t>Pending</t>
        </is>
      </c>
      <c r="G32" s="3" t="n"/>
      <c r="H32" s="366" t="inlineStr">
        <is>
          <t>Done</t>
        </is>
      </c>
      <c r="I32" s="3" t="n"/>
      <c r="J32" s="3" t="n"/>
    </row>
    <row r="33">
      <c r="B33" s="14" t="inlineStr">
        <is>
          <t>CC_024</t>
        </is>
      </c>
      <c r="C33" s="14" t="inlineStr">
        <is>
          <t>Currency Conversion - Customer Screen</t>
        </is>
      </c>
      <c r="D33" s="12" t="inlineStr">
        <is>
          <t>Modify the currency field and Update customer.</t>
        </is>
      </c>
      <c r="E33" s="12" t="inlineStr">
        <is>
          <t>Verify that the user can modify currency field.</t>
        </is>
      </c>
      <c r="F33" s="26" t="inlineStr">
        <is>
          <t>Pending</t>
        </is>
      </c>
      <c r="G33" s="3" t="n"/>
      <c r="H33" s="366" t="inlineStr">
        <is>
          <t>Done</t>
        </is>
      </c>
      <c r="I33" s="3" t="n"/>
      <c r="J33" s="3" t="n"/>
    </row>
    <row r="34" ht="36" customHeight="1">
      <c r="B34" s="14" t="inlineStr">
        <is>
          <t>CC_025</t>
        </is>
      </c>
      <c r="C34" s="14" t="inlineStr">
        <is>
          <t>Currency Conversion - Customer Screen</t>
        </is>
      </c>
      <c r="D34" s="12" t="inlineStr">
        <is>
          <t>Once user update the Target Currency, one alert should be shown as 'Please update customer currency and Exchange Rate for existing items'.</t>
        </is>
      </c>
      <c r="E34" s="12" t="inlineStr">
        <is>
          <t>Alert should be present on modification.</t>
        </is>
      </c>
      <c r="F34" s="26" t="inlineStr">
        <is>
          <t>Pending</t>
        </is>
      </c>
      <c r="G34" s="3" t="n"/>
      <c r="H34" s="366" t="inlineStr">
        <is>
          <t>Done</t>
        </is>
      </c>
      <c r="I34" s="3" t="n"/>
      <c r="J34" s="3" t="n"/>
    </row>
    <row r="35" ht="24" customHeight="1">
      <c r="B35" s="14" t="inlineStr">
        <is>
          <t>CC_026</t>
        </is>
      </c>
      <c r="C35" s="14" t="inlineStr">
        <is>
          <t>Currency Conversion - Customer Screen</t>
        </is>
      </c>
      <c r="D35" s="12" t="inlineStr">
        <is>
          <t>Verify that Alert should be generated only when item is created for that customer.</t>
        </is>
      </c>
      <c r="E35" s="12" t="inlineStr">
        <is>
          <t>Alert should appear only when item is present.</t>
        </is>
      </c>
      <c r="F35" s="26" t="inlineStr">
        <is>
          <t>Pending</t>
        </is>
      </c>
      <c r="G35" s="3" t="n"/>
      <c r="H35" s="366" t="inlineStr">
        <is>
          <t>Done</t>
        </is>
      </c>
      <c r="I35" s="3" t="n"/>
      <c r="J35" s="3" t="n"/>
    </row>
    <row r="36" ht="24" customHeight="1">
      <c r="B36" s="14" t="inlineStr">
        <is>
          <t>CC_027</t>
        </is>
      </c>
      <c r="C36" s="14" t="inlineStr">
        <is>
          <t>Currency Conversion - Customer Screen</t>
        </is>
      </c>
      <c r="D36" s="12" t="inlineStr">
        <is>
          <t>Verify changing currency for customer with Items present.</t>
        </is>
      </c>
      <c r="E36" s="12" t="inlineStr">
        <is>
          <t>Alert should appear for that customer.</t>
        </is>
      </c>
      <c r="F36" s="26" t="inlineStr">
        <is>
          <t>Pending</t>
        </is>
      </c>
      <c r="G36" s="3" t="n"/>
      <c r="H36" s="366" t="inlineStr">
        <is>
          <t>Done</t>
        </is>
      </c>
      <c r="I36" s="3" t="n"/>
      <c r="J36" s="3" t="n"/>
    </row>
    <row r="37" ht="24" customHeight="1">
      <c r="B37" s="14" t="inlineStr">
        <is>
          <t>CC_028</t>
        </is>
      </c>
      <c r="C37" s="14" t="inlineStr">
        <is>
          <t>Currency Conversion - Customer Screen</t>
        </is>
      </c>
      <c r="D37" s="12" t="inlineStr">
        <is>
          <t>Verify changing currency for customer without Items.</t>
        </is>
      </c>
      <c r="E37" s="12" t="inlineStr">
        <is>
          <t>Alert should not appear for that customer.</t>
        </is>
      </c>
      <c r="F37" s="26" t="inlineStr">
        <is>
          <t>Pending</t>
        </is>
      </c>
      <c r="G37" s="3" t="n"/>
      <c r="H37" s="366" t="inlineStr">
        <is>
          <t>Done</t>
        </is>
      </c>
      <c r="I37" s="3" t="n"/>
      <c r="J37" s="3" t="n"/>
    </row>
    <row r="38" ht="24" customHeight="1">
      <c r="B38" s="14" t="inlineStr">
        <is>
          <t>CC_029</t>
        </is>
      </c>
      <c r="C38" s="14" t="inlineStr">
        <is>
          <t>Currency Conversion - Customer Screen</t>
        </is>
      </c>
      <c r="D38" s="12" t="inlineStr">
        <is>
          <t>Verify updated currency should be auto populated for new created items.</t>
        </is>
      </c>
      <c r="E38" s="12" t="inlineStr">
        <is>
          <t>Currency should be auto populated.</t>
        </is>
      </c>
      <c r="F38" s="26" t="inlineStr">
        <is>
          <t>Pending</t>
        </is>
      </c>
      <c r="G38" s="3" t="n"/>
      <c r="H38" s="366" t="inlineStr">
        <is>
          <t>Done</t>
        </is>
      </c>
      <c r="I38" s="3" t="n"/>
      <c r="J38" s="3" t="n"/>
    </row>
    <row r="39">
      <c r="B39" s="14" t="inlineStr">
        <is>
          <t>CC_030</t>
        </is>
      </c>
      <c r="C39" s="14" t="inlineStr">
        <is>
          <t>Currency Conversion - Model Screen</t>
        </is>
      </c>
      <c r="D39" s="12" t="inlineStr">
        <is>
          <t>Log in to SS &gt; Spreading &gt; New Model.</t>
        </is>
      </c>
      <c r="E39" s="12" t="inlineStr">
        <is>
          <t>Create Model screen should be launched.</t>
        </is>
      </c>
      <c r="F39" s="26" t="inlineStr">
        <is>
          <t>Pending</t>
        </is>
      </c>
      <c r="G39" s="3" t="n"/>
      <c r="H39" s="366" t="inlineStr">
        <is>
          <t>Done</t>
        </is>
      </c>
      <c r="I39" s="3" t="n"/>
      <c r="J39" s="3" t="n"/>
    </row>
    <row r="40" ht="24" customHeight="1">
      <c r="B40" s="14" t="inlineStr">
        <is>
          <t>CC_031</t>
        </is>
      </c>
      <c r="C40" s="14" t="inlineStr">
        <is>
          <t>Currency Conversion - Model Screen</t>
        </is>
      </c>
      <c r="D40" s="12" t="inlineStr">
        <is>
          <t>Verify that "Unit Scale Conversion" field is relabeled as "Unit/Currency Conversion".</t>
        </is>
      </c>
      <c r="E40" s="12" t="inlineStr">
        <is>
          <t>Field name should be updated/relabeled.</t>
        </is>
      </c>
      <c r="F40" s="26" t="inlineStr">
        <is>
          <t>Pending</t>
        </is>
      </c>
      <c r="G40" s="3" t="n"/>
      <c r="H40" s="366" t="inlineStr">
        <is>
          <t>Done</t>
        </is>
      </c>
      <c r="I40" s="3" t="n"/>
      <c r="J40" s="3" t="n"/>
    </row>
    <row r="41" ht="36" customHeight="1">
      <c r="B41" s="14" t="inlineStr">
        <is>
          <t>CC_032</t>
        </is>
      </c>
      <c r="C41" s="14" t="inlineStr">
        <is>
          <t>Currency Conversion - Model Screen</t>
        </is>
      </c>
      <c r="D41" s="12" t="inlineStr">
        <is>
          <t>Verify that Value selected as 'yes' or 'no' in Unit/Currency Conversion field will be applicable for both Unit and Currency Conversion in a line item.</t>
        </is>
      </c>
      <c r="E41" s="12" t="inlineStr">
        <is>
          <t>Value should be applicable for Unit and currency, either Yes or No.</t>
        </is>
      </c>
      <c r="F41" s="26" t="inlineStr">
        <is>
          <t>Pending</t>
        </is>
      </c>
      <c r="G41" s="3" t="n"/>
      <c r="H41" s="366" t="inlineStr">
        <is>
          <t>Done</t>
        </is>
      </c>
      <c r="I41" s="3" t="n"/>
      <c r="J41" s="3" t="n"/>
    </row>
    <row r="42" ht="24" customHeight="1">
      <c r="B42" s="14" t="inlineStr">
        <is>
          <t>CC_033</t>
        </is>
      </c>
      <c r="C42" s="14" t="inlineStr">
        <is>
          <t>Currency Conversion - Model Screen</t>
        </is>
      </c>
      <c r="D42" s="12" t="inlineStr">
        <is>
          <t>Verify that existing customers will not have any impact on them,.</t>
        </is>
      </c>
      <c r="E42" s="12" t="inlineStr">
        <is>
          <t>Existing customers will show Target Currency same as Source Currency in latest item.</t>
        </is>
      </c>
      <c r="F42" s="26" t="inlineStr">
        <is>
          <t>Pending</t>
        </is>
      </c>
      <c r="G42" s="3" t="n"/>
      <c r="H42" s="366" t="inlineStr">
        <is>
          <t>Done</t>
        </is>
      </c>
      <c r="I42" s="3" t="n"/>
      <c r="J42" s="3" t="n"/>
    </row>
    <row r="43" ht="24" customHeight="1">
      <c r="B43" s="14" t="inlineStr">
        <is>
          <t>CC_034</t>
        </is>
      </c>
      <c r="C43" s="14" t="inlineStr">
        <is>
          <t>Currency Conversion - Model Screen</t>
        </is>
      </c>
      <c r="D43" s="12" t="inlineStr">
        <is>
          <t>Log in to SS &gt; Spreading &gt; Existing Models.</t>
        </is>
      </c>
      <c r="E43" s="12" t="inlineStr">
        <is>
          <t>Model list should be launched.</t>
        </is>
      </c>
      <c r="F43" s="26" t="inlineStr">
        <is>
          <t>Pending</t>
        </is>
      </c>
      <c r="G43" s="3" t="n"/>
      <c r="H43" s="366" t="inlineStr">
        <is>
          <t>Done</t>
        </is>
      </c>
      <c r="I43" s="3" t="n"/>
      <c r="J43" s="3" t="n"/>
    </row>
    <row r="44">
      <c r="B44" s="14" t="inlineStr">
        <is>
          <t>CC_035</t>
        </is>
      </c>
      <c r="C44" s="14" t="inlineStr">
        <is>
          <t>Currency Conversion - Model Screen</t>
        </is>
      </c>
      <c r="D44" s="12" t="inlineStr">
        <is>
          <t>Click Any model's actions button &gt; modify.</t>
        </is>
      </c>
      <c r="E44" s="12" t="inlineStr">
        <is>
          <t>Model modify screen should be launched.</t>
        </is>
      </c>
      <c r="F44" s="26" t="inlineStr">
        <is>
          <t>Pending</t>
        </is>
      </c>
      <c r="G44" s="3" t="n"/>
      <c r="H44" s="366" t="inlineStr">
        <is>
          <t>Done</t>
        </is>
      </c>
      <c r="I44" s="3" t="n"/>
      <c r="J44" s="3" t="n"/>
    </row>
    <row r="45" ht="36" customHeight="1">
      <c r="B45" s="14" t="inlineStr">
        <is>
          <t>CC_036</t>
        </is>
      </c>
      <c r="C45" s="14" t="inlineStr">
        <is>
          <t>Currency Conversion - Model Screen</t>
        </is>
      </c>
      <c r="D45" s="12" t="inlineStr">
        <is>
          <t>Verify that "Unit Scale Conversion" field is relabeled as "Unit/Currency Conversion".</t>
        </is>
      </c>
      <c r="E45" s="12" t="inlineStr">
        <is>
          <t>The field should be relabeled.</t>
        </is>
      </c>
      <c r="F45" s="26" t="inlineStr">
        <is>
          <t>Pending</t>
        </is>
      </c>
      <c r="G45" s="3" t="n"/>
      <c r="H45" s="366" t="inlineStr">
        <is>
          <t>Done</t>
        </is>
      </c>
      <c r="I45" s="3" t="n"/>
      <c r="J45" s="3" t="n"/>
    </row>
    <row r="46" ht="36" customHeight="1">
      <c r="B46" s="14" t="inlineStr">
        <is>
          <t>CC_037</t>
        </is>
      </c>
      <c r="C46" s="14" t="inlineStr">
        <is>
          <t>Currency Conversion - Model Screen</t>
        </is>
      </c>
      <c r="D46" s="12" t="inlineStr">
        <is>
          <t>Verify that Value selected as Yes/No should be applicable for Unit and currency in a line item.</t>
        </is>
      </c>
      <c r="E46" s="12" t="inlineStr">
        <is>
          <t>Value selected as Yes/No should be applicable for Unit and currency in a line item.</t>
        </is>
      </c>
      <c r="F46" s="26" t="inlineStr">
        <is>
          <t>Pending</t>
        </is>
      </c>
      <c r="G46" s="3" t="n"/>
      <c r="H46" s="366" t="inlineStr">
        <is>
          <t>Done</t>
        </is>
      </c>
      <c r="I46" s="3" t="n"/>
      <c r="J46" s="3" t="n"/>
    </row>
    <row r="47" ht="24" customHeight="1">
      <c r="B47" s="14" t="inlineStr">
        <is>
          <t>CC_038</t>
        </is>
      </c>
      <c r="C47" s="14" t="inlineStr">
        <is>
          <t>Currency Conversion - Model Screen</t>
        </is>
      </c>
      <c r="D47" s="12" t="inlineStr">
        <is>
          <t>Modify the Unit/Currency conversion field for model which is not in use.</t>
        </is>
      </c>
      <c r="E47" s="12" t="inlineStr">
        <is>
          <t>The user should be allowed to make modification.</t>
        </is>
      </c>
      <c r="F47" s="26" t="inlineStr">
        <is>
          <t>Pending</t>
        </is>
      </c>
      <c r="G47" s="3" t="n"/>
      <c r="H47" s="366" t="inlineStr">
        <is>
          <t>Done</t>
        </is>
      </c>
      <c r="I47" s="3" t="n"/>
      <c r="J47" s="3" t="n"/>
    </row>
    <row r="48" ht="36" customHeight="1">
      <c r="B48" s="14" t="inlineStr">
        <is>
          <t>CC_039</t>
        </is>
      </c>
      <c r="C48" s="14" t="inlineStr">
        <is>
          <t>Currency Conversion - Model Screen</t>
        </is>
      </c>
      <c r="D48" s="12" t="inlineStr">
        <is>
          <t>Modify the Unit/Currency conversion field for model which is in use.</t>
        </is>
      </c>
      <c r="E48" s="12" t="inlineStr">
        <is>
          <t>The user should not be allowed to make modification, although new line item can be added.</t>
        </is>
      </c>
      <c r="F48" s="26" t="inlineStr">
        <is>
          <t>Pending</t>
        </is>
      </c>
      <c r="G48" s="3" t="n"/>
      <c r="H48" s="366" t="inlineStr">
        <is>
          <t>Done</t>
        </is>
      </c>
      <c r="I48" s="3" t="n"/>
      <c r="J48" s="3" t="n"/>
    </row>
    <row r="49" ht="24" customHeight="1">
      <c r="B49" s="14" t="inlineStr">
        <is>
          <t>CC_040</t>
        </is>
      </c>
      <c r="C49" s="14" t="inlineStr">
        <is>
          <t>Currency Conversion - Add Item Screen</t>
        </is>
      </c>
      <c r="D49" s="12" t="inlineStr">
        <is>
          <t>Log in to SS &gt; Existing customer screen &gt; Go to any customer.</t>
        </is>
      </c>
      <c r="E49" s="12" t="inlineStr">
        <is>
          <t>Customer screen should be launched.</t>
        </is>
      </c>
      <c r="F49" s="26" t="inlineStr">
        <is>
          <t>Pending</t>
        </is>
      </c>
      <c r="G49" s="3" t="n"/>
      <c r="H49" s="366" t="inlineStr">
        <is>
          <t>Done</t>
        </is>
      </c>
      <c r="I49" s="3" t="n"/>
      <c r="J49" s="3" t="n"/>
    </row>
    <row r="50">
      <c r="B50" s="14" t="inlineStr">
        <is>
          <t>CC_041</t>
        </is>
      </c>
      <c r="C50" s="14" t="inlineStr">
        <is>
          <t>Currency Conversion - Add Item Screen</t>
        </is>
      </c>
      <c r="D50" s="12" t="inlineStr">
        <is>
          <t>Add item &gt; observe add item screen fields.</t>
        </is>
      </c>
      <c r="E50" s="12" t="inlineStr">
        <is>
          <t>The fields should be visible properly.</t>
        </is>
      </c>
      <c r="F50" s="26" t="inlineStr">
        <is>
          <t>Pending</t>
        </is>
      </c>
      <c r="G50" s="3" t="n"/>
      <c r="H50" s="366" t="inlineStr">
        <is>
          <t>Done</t>
        </is>
      </c>
      <c r="I50" s="3" t="n"/>
      <c r="J50" s="3" t="n"/>
    </row>
    <row r="51" ht="24" customHeight="1">
      <c r="B51" s="14" t="inlineStr">
        <is>
          <t>CC_042</t>
        </is>
      </c>
      <c r="C51" s="14" t="inlineStr">
        <is>
          <t>Currency Conversion - Add Item Screen</t>
        </is>
      </c>
      <c r="D51" s="12" t="inlineStr">
        <is>
          <t>Verify that Currency field should be relabeled to Source Currency field.</t>
        </is>
      </c>
      <c r="E51" s="12" t="inlineStr">
        <is>
          <t>The field should be renamed.</t>
        </is>
      </c>
      <c r="F51" s="26" t="inlineStr">
        <is>
          <t>Pending</t>
        </is>
      </c>
      <c r="G51" s="3" t="n"/>
      <c r="H51" s="366" t="inlineStr">
        <is>
          <t>Done</t>
        </is>
      </c>
      <c r="I51" s="3" t="n"/>
      <c r="J51" s="3" t="n"/>
    </row>
    <row r="52" ht="24" customHeight="1">
      <c r="B52" s="14" t="inlineStr">
        <is>
          <t>CC_043</t>
        </is>
      </c>
      <c r="C52" s="14" t="inlineStr">
        <is>
          <t>Currency Conversion - Add Item Screen</t>
        </is>
      </c>
      <c r="D52" s="12" t="inlineStr">
        <is>
          <t>Verify that new option should be present, Target Currency.</t>
        </is>
      </c>
      <c r="E52" s="12" t="inlineStr">
        <is>
          <t>Verify that the user can select the Target Currency option.</t>
        </is>
      </c>
      <c r="F52" s="26" t="inlineStr">
        <is>
          <t>Pending</t>
        </is>
      </c>
      <c r="G52" s="3" t="n"/>
      <c r="H52" s="366" t="inlineStr">
        <is>
          <t>Done</t>
        </is>
      </c>
      <c r="I52" s="3" t="n"/>
      <c r="J52" s="3" t="n"/>
    </row>
    <row r="53">
      <c r="B53" s="14" t="inlineStr">
        <is>
          <t>CC_044</t>
        </is>
      </c>
      <c r="C53" s="14" t="inlineStr">
        <is>
          <t>Currency Conversion - Add Item Screen</t>
        </is>
      </c>
      <c r="D53" s="12" t="inlineStr">
        <is>
          <t>Verify that Target Currency should be mandatory field.</t>
        </is>
      </c>
      <c r="E53" s="12" t="inlineStr">
        <is>
          <t>A mandatory (*) indicator should be displayed.</t>
        </is>
      </c>
      <c r="F53" s="26" t="inlineStr">
        <is>
          <t>Pending</t>
        </is>
      </c>
      <c r="G53" s="3" t="n"/>
      <c r="H53" s="366" t="inlineStr">
        <is>
          <t>Done</t>
        </is>
      </c>
      <c r="I53" s="3" t="n"/>
      <c r="J53" s="3" t="n"/>
    </row>
    <row r="54" ht="24" customHeight="1">
      <c r="B54" s="14" t="inlineStr">
        <is>
          <t>CC_045</t>
        </is>
      </c>
      <c r="C54" s="14" t="inlineStr">
        <is>
          <t>Currency Conversion - Add Item Screen</t>
        </is>
      </c>
      <c r="D54" s="12" t="inlineStr">
        <is>
          <t>Verify that By default Target Currency should be same as Customer Target Currency.</t>
        </is>
      </c>
      <c r="E54" s="12" t="inlineStr">
        <is>
          <t>The field should be same.</t>
        </is>
      </c>
      <c r="F54" s="26" t="inlineStr">
        <is>
          <t>Pending</t>
        </is>
      </c>
      <c r="G54" s="3" t="n"/>
      <c r="H54" s="366" t="inlineStr">
        <is>
          <t>Done</t>
        </is>
      </c>
      <c r="I54" s="3" t="n"/>
      <c r="J54" s="3" t="n"/>
    </row>
    <row r="55" ht="24" customHeight="1">
      <c r="B55" s="14" t="inlineStr">
        <is>
          <t>CC_046</t>
        </is>
      </c>
      <c r="C55" s="14" t="inlineStr">
        <is>
          <t>Currency Conversion - Add Item Screen</t>
        </is>
      </c>
      <c r="D55" s="12" t="inlineStr">
        <is>
          <t>Verify that if Customer Target Currency is USD, then check Target Currency in Add item screen.</t>
        </is>
      </c>
      <c r="E55" s="12" t="inlineStr">
        <is>
          <t>The field should show USD by default.</t>
        </is>
      </c>
      <c r="F55" s="26" t="inlineStr">
        <is>
          <t>Pending</t>
        </is>
      </c>
      <c r="G55" s="3" t="n"/>
      <c r="H55" s="366" t="inlineStr">
        <is>
          <t>Done</t>
        </is>
      </c>
      <c r="I55" s="3" t="n"/>
      <c r="J55" s="3" t="n"/>
    </row>
    <row r="56">
      <c r="B56" s="14" t="inlineStr">
        <is>
          <t>CC_047</t>
        </is>
      </c>
      <c r="C56" s="14" t="inlineStr">
        <is>
          <t>Currency Conversion - Add Item Screen</t>
        </is>
      </c>
      <c r="D56" s="12" t="inlineStr">
        <is>
          <t>Verify when Source Currency and Target Currency are same.</t>
        </is>
      </c>
      <c r="E56" s="12" t="inlineStr">
        <is>
          <t>Then Exchange Rate should be blank and disabled.</t>
        </is>
      </c>
      <c r="F56" s="26" t="inlineStr">
        <is>
          <t>Pending</t>
        </is>
      </c>
      <c r="G56" s="3" t="n"/>
      <c r="H56" s="366" t="inlineStr">
        <is>
          <t>Done</t>
        </is>
      </c>
      <c r="I56" s="3" t="n"/>
      <c r="J56" s="3" t="n"/>
    </row>
    <row r="57">
      <c r="B57" s="14" t="inlineStr">
        <is>
          <t>CC_048</t>
        </is>
      </c>
      <c r="C57" s="14" t="inlineStr">
        <is>
          <t>Currency Conversion - Add Item Screen</t>
        </is>
      </c>
      <c r="D57" s="12" t="inlineStr">
        <is>
          <t>Verify with the above case, when conversion is applied.</t>
        </is>
      </c>
      <c r="E57" s="12" t="inlineStr">
        <is>
          <t>Conversion applied should be.
1.</t>
        </is>
      </c>
      <c r="F57" s="26" t="inlineStr">
        <is>
          <t>Pending</t>
        </is>
      </c>
      <c r="G57" s="3" t="n"/>
      <c r="H57" s="366" t="inlineStr">
        <is>
          <t>Done</t>
        </is>
      </c>
      <c r="I57" s="3" t="n"/>
      <c r="J57" s="3" t="n"/>
    </row>
    <row r="58" ht="24" customHeight="1">
      <c r="B58" s="14" t="inlineStr">
        <is>
          <t>CC_049</t>
        </is>
      </c>
      <c r="C58" s="14" t="inlineStr">
        <is>
          <t>Currency Conversion - Add Item Screen</t>
        </is>
      </c>
      <c r="D58" s="12" t="inlineStr">
        <is>
          <t>Verify that user is allowed to input Exchange Rate as decimal value.</t>
        </is>
      </c>
      <c r="E58" s="12" t="inlineStr">
        <is>
          <t>Decimal value allowed is up to 5 decimal point.</t>
        </is>
      </c>
      <c r="F58" s="26" t="inlineStr">
        <is>
          <t>Pending</t>
        </is>
      </c>
      <c r="G58" s="3" t="n"/>
      <c r="H58" s="366" t="inlineStr">
        <is>
          <t>Done</t>
        </is>
      </c>
      <c r="I58" s="3" t="n"/>
      <c r="J58" s="3" t="n"/>
    </row>
    <row r="59" ht="24" customHeight="1">
      <c r="B59" s="14" t="inlineStr">
        <is>
          <t>CC_050</t>
        </is>
      </c>
      <c r="C59" s="14" t="inlineStr">
        <is>
          <t>Currency Conversion - Add Item Screen</t>
        </is>
      </c>
      <c r="D59" s="12" t="inlineStr">
        <is>
          <t>Verify that Exchane rate field should be active and mandatory.</t>
        </is>
      </c>
      <c r="E59" s="12" t="inlineStr">
        <is>
          <t>The field should be active and mandatory with a sign.</t>
        </is>
      </c>
      <c r="F59" s="26" t="inlineStr">
        <is>
          <t>Pending</t>
        </is>
      </c>
      <c r="G59" s="3" t="n"/>
      <c r="H59" s="366" t="inlineStr">
        <is>
          <t>Done</t>
        </is>
      </c>
      <c r="I59" s="3" t="n"/>
      <c r="J59" s="3" t="n"/>
    </row>
    <row r="60" ht="24" customHeight="1">
      <c r="B60" s="14" t="inlineStr">
        <is>
          <t>CC_051</t>
        </is>
      </c>
      <c r="C60" s="14" t="inlineStr">
        <is>
          <t>Currency Conversion - Add Item Screen</t>
        </is>
      </c>
      <c r="D60" s="12" t="inlineStr">
        <is>
          <t>Verify that for every new item, Exchange Rate should be blank and mandatory.</t>
        </is>
      </c>
      <c r="E60" s="12" t="inlineStr">
        <is>
          <t>For every new item, Exchange Rate should be blank and mandatory.</t>
        </is>
      </c>
      <c r="F60" s="26" t="inlineStr">
        <is>
          <t>Pending</t>
        </is>
      </c>
      <c r="G60" s="3" t="n"/>
      <c r="H60" s="366" t="inlineStr">
        <is>
          <t>Done</t>
        </is>
      </c>
      <c r="I60" s="3" t="n"/>
      <c r="J60" s="3" t="n"/>
    </row>
    <row r="61">
      <c r="B61" s="14" t="inlineStr">
        <is>
          <t>CC_052</t>
        </is>
      </c>
      <c r="C61" s="14" t="inlineStr">
        <is>
          <t>Currency Conversion - Modify Item Screen</t>
        </is>
      </c>
      <c r="D61" s="12" t="inlineStr">
        <is>
          <t>Go to Existing customer screen &gt; and view item.</t>
        </is>
      </c>
      <c r="E61" s="12" t="inlineStr">
        <is>
          <t>Item listing screen should be visible.</t>
        </is>
      </c>
      <c r="F61" s="26" t="inlineStr">
        <is>
          <t>Pending</t>
        </is>
      </c>
      <c r="G61" s="3" t="n"/>
      <c r="H61" s="366" t="inlineStr">
        <is>
          <t>Done</t>
        </is>
      </c>
      <c r="I61" s="3" t="n"/>
      <c r="J61" s="3" t="n"/>
    </row>
    <row r="62">
      <c r="B62" s="14" t="inlineStr">
        <is>
          <t>CC_053</t>
        </is>
      </c>
      <c r="C62" s="14" t="inlineStr">
        <is>
          <t>Currency Conversion - Modify Item Screen</t>
        </is>
      </c>
      <c r="D62" s="12" t="inlineStr">
        <is>
          <t>Modify any item &gt; Observe Target Currency field.</t>
        </is>
      </c>
      <c r="E62" s="12" t="inlineStr">
        <is>
          <t>The Target Currency field should be displayed.</t>
        </is>
      </c>
      <c r="F62" s="26" t="inlineStr">
        <is>
          <t>Pending</t>
        </is>
      </c>
      <c r="G62" s="3" t="n"/>
      <c r="H62" s="366" t="inlineStr">
        <is>
          <t>Done</t>
        </is>
      </c>
      <c r="I62" s="3" t="n"/>
      <c r="J62" s="3" t="n"/>
    </row>
    <row r="63">
      <c r="B63" s="14" t="inlineStr">
        <is>
          <t>CC_054</t>
        </is>
      </c>
      <c r="C63" s="14" t="inlineStr">
        <is>
          <t>Currency Conversion - Modify Item Screen</t>
        </is>
      </c>
      <c r="D63" s="12" t="inlineStr">
        <is>
          <t>Verify Source Currency field.</t>
        </is>
      </c>
      <c r="E63" s="12" t="inlineStr">
        <is>
          <t>The Source Currency field should be displayed.</t>
        </is>
      </c>
      <c r="F63" s="26" t="inlineStr">
        <is>
          <t>Pending</t>
        </is>
      </c>
      <c r="G63" s="3" t="n"/>
      <c r="H63" s="366" t="inlineStr">
        <is>
          <t>Done</t>
        </is>
      </c>
      <c r="I63" s="3" t="n"/>
      <c r="J63" s="3" t="n"/>
    </row>
    <row r="64" ht="24" customHeight="1">
      <c r="B64" s="14" t="inlineStr">
        <is>
          <t>CC_055</t>
        </is>
      </c>
      <c r="C64" s="14" t="inlineStr">
        <is>
          <t>Currency Conversion - Modify Item Screen</t>
        </is>
      </c>
      <c r="D64" s="12" t="inlineStr">
        <is>
          <t>Verify Exchange Rate.</t>
        </is>
      </c>
      <c r="E64" s="12" t="inlineStr">
        <is>
          <t>The Exchange Rate should contain data, since it is a mandatory field.</t>
        </is>
      </c>
      <c r="F64" s="26" t="inlineStr">
        <is>
          <t>Pending</t>
        </is>
      </c>
      <c r="G64" s="3" t="n"/>
      <c r="H64" s="366" t="inlineStr">
        <is>
          <t>Done</t>
        </is>
      </c>
      <c r="I64" s="3" t="n"/>
      <c r="J64" s="3" t="n"/>
    </row>
    <row r="65" ht="24" customHeight="1">
      <c r="B65" s="14" t="inlineStr">
        <is>
          <t>CC_056</t>
        </is>
      </c>
      <c r="C65" s="14" t="inlineStr">
        <is>
          <t>Currency Conversion - Modify Item Screen</t>
        </is>
      </c>
      <c r="D65" s="12" t="inlineStr">
        <is>
          <t>Modify Target Currency, set other than Customer Target Currency,.</t>
        </is>
      </c>
      <c r="E65" s="12" t="inlineStr">
        <is>
          <t>Verify that the user can modify and save.</t>
        </is>
      </c>
      <c r="F65" s="26" t="inlineStr">
        <is>
          <t>Pending</t>
        </is>
      </c>
      <c r="G65" s="3" t="n"/>
      <c r="H65" s="366" t="inlineStr">
        <is>
          <t>Done</t>
        </is>
      </c>
      <c r="I65" s="3" t="n"/>
      <c r="J65" s="3" t="n"/>
    </row>
    <row r="66">
      <c r="B66" s="14" t="inlineStr">
        <is>
          <t>CC_057</t>
        </is>
      </c>
      <c r="C66" s="14" t="inlineStr">
        <is>
          <t>Currency Conversion - Modify Item Screen</t>
        </is>
      </c>
      <c r="D66" s="12" t="inlineStr">
        <is>
          <t>Change the Exchange Rate and save.</t>
        </is>
      </c>
      <c r="E66" s="12" t="inlineStr">
        <is>
          <t>Verify that the user can change Exchange Rate.</t>
        </is>
      </c>
      <c r="F66" s="26" t="inlineStr">
        <is>
          <t>Pending</t>
        </is>
      </c>
      <c r="G66" s="3" t="n"/>
      <c r="H66" s="366" t="inlineStr">
        <is>
          <t>Done</t>
        </is>
      </c>
      <c r="I66" s="3" t="n"/>
      <c r="J66" s="3" t="n"/>
    </row>
    <row r="67" ht="36" customHeight="1">
      <c r="B67" s="14" t="inlineStr">
        <is>
          <t>CC_058</t>
        </is>
      </c>
      <c r="C67" s="14" t="inlineStr">
        <is>
          <t>Currency Conversion - Modify Item Screen</t>
        </is>
      </c>
      <c r="D67" s="12" t="inlineStr">
        <is>
          <t>Precondition:
Any item should be in a Spread state( submitted).
Modify that item &gt; change Target Currency and save.</t>
        </is>
      </c>
      <c r="E67" s="12" t="inlineStr">
        <is>
          <t>The user should be allowed to change the Target Currency for Submitted items as well.</t>
        </is>
      </c>
      <c r="F67" s="26" t="inlineStr">
        <is>
          <t>Pending</t>
        </is>
      </c>
      <c r="G67" s="3" t="n"/>
      <c r="H67" s="366" t="inlineStr">
        <is>
          <t>Done</t>
        </is>
      </c>
      <c r="I67" s="3" t="n"/>
      <c r="J67" s="3" t="n"/>
    </row>
    <row r="68" ht="24" customHeight="1">
      <c r="B68" s="14" t="inlineStr">
        <is>
          <t>CC_059</t>
        </is>
      </c>
      <c r="C68" s="14" t="inlineStr">
        <is>
          <t>Currency Conversion - Modify Item Screen</t>
        </is>
      </c>
      <c r="D68" s="12" t="inlineStr">
        <is>
          <t>Verify when after user change the Target Currency for any item, and create new item.</t>
        </is>
      </c>
      <c r="E68" s="12" t="inlineStr">
        <is>
          <t>For new added item, by default Target Currency still be same as Customer Target Currency.</t>
        </is>
      </c>
      <c r="F68" s="26" t="inlineStr">
        <is>
          <t>Pending</t>
        </is>
      </c>
      <c r="G68" s="3" t="n"/>
      <c r="H68" s="366" t="inlineStr">
        <is>
          <t>Done</t>
        </is>
      </c>
      <c r="I68" s="3" t="n"/>
      <c r="J68" s="3" t="n"/>
    </row>
    <row r="69" ht="24" customHeight="1">
      <c r="B69" s="14" t="inlineStr">
        <is>
          <t>CC_060</t>
        </is>
      </c>
      <c r="C69" s="14" t="inlineStr">
        <is>
          <t>Currency Conversion - Modify Item Screen</t>
        </is>
      </c>
      <c r="D69" s="12" t="inlineStr">
        <is>
          <t>Go to Spreading screen &gt; Launch any old customer before Target Currency was implemented.</t>
        </is>
      </c>
      <c r="E69" s="12" t="inlineStr">
        <is>
          <t>Verify that the user can launch the customer item list screen.</t>
        </is>
      </c>
      <c r="F69" s="26" t="inlineStr">
        <is>
          <t>Pending</t>
        </is>
      </c>
      <c r="G69" s="3" t="n"/>
      <c r="H69" s="366" t="inlineStr">
        <is>
          <t>Done</t>
        </is>
      </c>
      <c r="I69" s="3" t="n"/>
      <c r="J69" s="3" t="n"/>
    </row>
    <row r="70">
      <c r="B70" s="14" t="inlineStr">
        <is>
          <t>CC_061</t>
        </is>
      </c>
      <c r="C70" s="14" t="inlineStr">
        <is>
          <t>Currency Conversion - Modify Item Screen</t>
        </is>
      </c>
      <c r="D70" s="12" t="inlineStr">
        <is>
          <t>Verify historical items in that customer.</t>
        </is>
      </c>
      <c r="E70" s="12" t="inlineStr">
        <is>
          <t>The items should be present.</t>
        </is>
      </c>
      <c r="F70" s="26" t="inlineStr">
        <is>
          <t>Pending</t>
        </is>
      </c>
      <c r="G70" s="3" t="n"/>
      <c r="H70" s="366" t="inlineStr">
        <is>
          <t>Out of Scope</t>
        </is>
      </c>
      <c r="I70" s="3" t="n"/>
      <c r="J70" s="3" t="n"/>
    </row>
    <row r="71">
      <c r="B71" s="14" t="inlineStr">
        <is>
          <t>CC_062</t>
        </is>
      </c>
      <c r="C71" s="14" t="inlineStr">
        <is>
          <t>Currency Conversion - Modify Item Screen</t>
        </is>
      </c>
      <c r="D71" s="12" t="inlineStr">
        <is>
          <t>Modify item &gt; View Source Currency field.</t>
        </is>
      </c>
      <c r="E71" s="12" t="inlineStr">
        <is>
          <t>The Source Currency field should be displayed.</t>
        </is>
      </c>
      <c r="F71" s="26" t="inlineStr">
        <is>
          <t>Pending</t>
        </is>
      </c>
      <c r="G71" s="3" t="n"/>
      <c r="H71" s="366" t="inlineStr">
        <is>
          <t>Done</t>
        </is>
      </c>
      <c r="I71" s="3" t="n"/>
      <c r="J71" s="3" t="n"/>
    </row>
    <row r="72" ht="24" customHeight="1">
      <c r="B72" s="14" t="inlineStr">
        <is>
          <t>CC_063</t>
        </is>
      </c>
      <c r="C72" s="14" t="inlineStr">
        <is>
          <t>Currency Conversion - Modify Item Screen</t>
        </is>
      </c>
      <c r="D72" s="12" t="inlineStr">
        <is>
          <t>Verify Target Currency field.</t>
        </is>
      </c>
      <c r="E72" s="12" t="inlineStr">
        <is>
          <t>The Target Currency field should match Source Currency and should be blank by default.</t>
        </is>
      </c>
      <c r="F72" s="26" t="inlineStr">
        <is>
          <t>Pending</t>
        </is>
      </c>
      <c r="G72" s="3" t="n"/>
      <c r="H72" s="366" t="inlineStr">
        <is>
          <t>Done</t>
        </is>
      </c>
      <c r="I72" s="3" t="n"/>
      <c r="J72" s="3" t="n"/>
    </row>
    <row r="73" ht="24" customHeight="1">
      <c r="B73" s="14" t="inlineStr">
        <is>
          <t>CC_064</t>
        </is>
      </c>
      <c r="C73" s="14" t="inlineStr">
        <is>
          <t>Currency Conversion - Modify Item Screen</t>
        </is>
      </c>
      <c r="D73" s="12" t="inlineStr">
        <is>
          <t>Verify Modifying Target Currency for that item &gt; save,.</t>
        </is>
      </c>
      <c r="E73" s="12" t="inlineStr">
        <is>
          <t>The user should be allowed to change the Target Currency for historical items.</t>
        </is>
      </c>
      <c r="F73" s="26" t="inlineStr">
        <is>
          <t>Pending</t>
        </is>
      </c>
      <c r="G73" s="3" t="n"/>
      <c r="H73" s="366" t="inlineStr">
        <is>
          <t>Done</t>
        </is>
      </c>
      <c r="I73" s="3" t="n"/>
      <c r="J73" s="3" t="n"/>
    </row>
    <row r="74" ht="24" customHeight="1">
      <c r="B74" s="14" t="inlineStr">
        <is>
          <t>CC_065</t>
        </is>
      </c>
      <c r="C74" s="14" t="inlineStr">
        <is>
          <t>Currency Conversion - Modify Item Screen</t>
        </is>
      </c>
      <c r="D74" s="12" t="inlineStr">
        <is>
          <t>In Add item screen &gt; Modify the Target Currency other than Customer Target Currency.</t>
        </is>
      </c>
      <c r="E74" s="12" t="inlineStr">
        <is>
          <t>Verify that the user can modify the Target Currency.</t>
        </is>
      </c>
      <c r="F74" s="26" t="inlineStr">
        <is>
          <t>Pending</t>
        </is>
      </c>
      <c r="G74" s="3" t="n"/>
      <c r="H74" s="366" t="inlineStr">
        <is>
          <t>Done</t>
        </is>
      </c>
      <c r="I74" s="3" t="n"/>
      <c r="J74" s="3" t="n"/>
    </row>
    <row r="75" ht="24" customHeight="1">
      <c r="B75" s="14" t="inlineStr">
        <is>
          <t>CC_066</t>
        </is>
      </c>
      <c r="C75" s="14" t="inlineStr">
        <is>
          <t>Currency Conversion - Modify Item Screen</t>
        </is>
      </c>
      <c r="D75" s="12" t="inlineStr">
        <is>
          <t>Modify the Customer Target Currency in Modify customer screen.</t>
        </is>
      </c>
      <c r="E75" s="12" t="inlineStr">
        <is>
          <t>Verify that the user can modify the customer Target Currency.</t>
        </is>
      </c>
      <c r="F75" s="26" t="inlineStr">
        <is>
          <t>Pending</t>
        </is>
      </c>
      <c r="G75" s="3" t="n"/>
      <c r="H75" s="366" t="inlineStr">
        <is>
          <t>Done</t>
        </is>
      </c>
      <c r="I75" s="3" t="n"/>
      <c r="J75" s="3" t="n"/>
    </row>
    <row r="76" ht="24" customHeight="1">
      <c r="B76" s="14" t="inlineStr">
        <is>
          <t>CC_067</t>
        </is>
      </c>
      <c r="C76" s="14" t="inlineStr">
        <is>
          <t>Currency Conversion - Modify Item Screen</t>
        </is>
      </c>
      <c r="D76" s="12" t="inlineStr">
        <is>
          <t>Once customer Target Currency is modified, create new item.</t>
        </is>
      </c>
      <c r="E76" s="12" t="inlineStr">
        <is>
          <t>New item should show Target Currency same as new Customer Target Currency.</t>
        </is>
      </c>
      <c r="F76" s="26" t="inlineStr">
        <is>
          <t>Pending</t>
        </is>
      </c>
      <c r="G76" s="3" t="n"/>
      <c r="H76" s="366" t="inlineStr">
        <is>
          <t>Done</t>
        </is>
      </c>
      <c r="I76" s="3" t="n"/>
      <c r="J76" s="3" t="n"/>
    </row>
    <row r="77" ht="24" customHeight="1">
      <c r="B77" s="14" t="inlineStr">
        <is>
          <t>CC_068</t>
        </is>
      </c>
      <c r="C77" s="14" t="inlineStr">
        <is>
          <t>Currency Conversion - Modify Item Screen</t>
        </is>
      </c>
      <c r="D77" s="12" t="inlineStr">
        <is>
          <t>Modify any item &gt; change the Exchange Rate and enter up to decimal point more than.
5.</t>
        </is>
      </c>
      <c r="E77" s="12" t="inlineStr">
        <is>
          <t>More than 5 decimal point value should not be supported.</t>
        </is>
      </c>
      <c r="F77" s="26" t="inlineStr">
        <is>
          <t>Pending</t>
        </is>
      </c>
      <c r="G77" s="3" t="n"/>
      <c r="H77" s="366" t="inlineStr">
        <is>
          <t>Done</t>
        </is>
      </c>
      <c r="I77" s="3" t="n"/>
      <c r="J77" s="3" t="n"/>
    </row>
    <row r="78">
      <c r="B78" s="14" t="inlineStr">
        <is>
          <t>CC_069</t>
        </is>
      </c>
      <c r="C78" s="14" t="inlineStr">
        <is>
          <t>Currency Conversion - Modify Item Screen</t>
        </is>
      </c>
      <c r="D78" s="12" t="inlineStr">
        <is>
          <t>Set the Exchange Rate up to 1 decimal point.</t>
        </is>
      </c>
      <c r="E78" s="12" t="inlineStr">
        <is>
          <t>Verify that the user can set up to 5 decimal point.</t>
        </is>
      </c>
      <c r="F78" s="26" t="inlineStr">
        <is>
          <t>Pending</t>
        </is>
      </c>
      <c r="G78" s="3" t="n"/>
      <c r="H78" s="366" t="inlineStr">
        <is>
          <t>Done</t>
        </is>
      </c>
      <c r="I78" s="3" t="n"/>
      <c r="J78" s="3" t="n"/>
    </row>
    <row r="79">
      <c r="B79" s="14" t="inlineStr">
        <is>
          <t>CC_070</t>
        </is>
      </c>
      <c r="C79" s="14" t="inlineStr">
        <is>
          <t>Currency Conversion - Modify Item Screen</t>
        </is>
      </c>
      <c r="D79" s="12" t="inlineStr">
        <is>
          <t>Try to change the Source Currency and save.</t>
        </is>
      </c>
      <c r="E79" s="12" t="inlineStr">
        <is>
          <t>The user should be allowed to change the Source Currency.</t>
        </is>
      </c>
      <c r="F79" s="26" t="inlineStr">
        <is>
          <t>Pending</t>
        </is>
      </c>
      <c r="G79" s="3" t="n"/>
      <c r="H79" s="366" t="inlineStr">
        <is>
          <t>Done</t>
        </is>
      </c>
      <c r="I79" s="3" t="n"/>
      <c r="J79" s="3" t="n"/>
    </row>
    <row r="80" ht="24" customHeight="1">
      <c r="B80" s="14" t="inlineStr">
        <is>
          <t>CC_071</t>
        </is>
      </c>
      <c r="C80" s="14" t="inlineStr">
        <is>
          <t>Currency Conversion - Modify Item Screen</t>
        </is>
      </c>
      <c r="D80" s="12" t="inlineStr">
        <is>
          <t>Set Source Currency and Target Currency same, observe Exchange Rate.</t>
        </is>
      </c>
      <c r="E80" s="12" t="inlineStr">
        <is>
          <t>Exchange Rate should be changed to blank and disabled.</t>
        </is>
      </c>
      <c r="F80" s="26" t="inlineStr">
        <is>
          <t>Pending</t>
        </is>
      </c>
      <c r="G80" s="3" t="n"/>
      <c r="H80" s="366" t="inlineStr">
        <is>
          <t>Done</t>
        </is>
      </c>
      <c r="I80" s="3" t="n"/>
      <c r="J80" s="3" t="n"/>
    </row>
    <row r="81" ht="24" customHeight="1">
      <c r="B81" s="14" t="inlineStr">
        <is>
          <t>CC_072</t>
        </is>
      </c>
      <c r="C81" s="14" t="inlineStr">
        <is>
          <t>Currency Conversion - Map to Customer</t>
        </is>
      </c>
      <c r="D81" s="12" t="inlineStr">
        <is>
          <t>Add item &gt; upload any file from file store.</t>
        </is>
      </c>
      <c r="E81" s="12" t="inlineStr">
        <is>
          <t>Verify that the user can select file.</t>
        </is>
      </c>
      <c r="F81" s="26" t="inlineStr">
        <is>
          <t>Pending</t>
        </is>
      </c>
      <c r="G81" s="3" t="n"/>
      <c r="H81" s="366" t="inlineStr">
        <is>
          <t>Done</t>
        </is>
      </c>
      <c r="I81" s="3" t="n"/>
      <c r="J81" s="3" t="n"/>
    </row>
    <row r="82" ht="36" customHeight="1">
      <c r="B82" s="14" t="inlineStr">
        <is>
          <t>CC_073</t>
        </is>
      </c>
      <c r="C82" s="14" t="inlineStr">
        <is>
          <t>Currency Conversion - Map to Customer</t>
        </is>
      </c>
      <c r="D82" s="12" t="inlineStr">
        <is>
          <t>Map to customer &gt; observe currency fields in item metadata screen.</t>
        </is>
      </c>
      <c r="E82" s="12" t="inlineStr">
        <is>
          <t>Source Currency, Target Currency, Exchange Rate fields should be present.</t>
        </is>
      </c>
      <c r="F82" s="26" t="inlineStr">
        <is>
          <t>Pending</t>
        </is>
      </c>
      <c r="G82" s="3" t="n"/>
      <c r="H82" s="366" t="inlineStr">
        <is>
          <t>Done</t>
        </is>
      </c>
      <c r="I82" s="3" t="n"/>
      <c r="J82" s="3" t="n"/>
    </row>
    <row r="83" ht="36" customHeight="1">
      <c r="B83" s="14" t="inlineStr">
        <is>
          <t>CC_074</t>
        </is>
      </c>
      <c r="C83" s="14" t="inlineStr">
        <is>
          <t>Currency Conversion - Map to Customer</t>
        </is>
      </c>
      <c r="D83" s="12" t="inlineStr">
        <is>
          <t>Verify that Currency field should be relabeled to Source Currency field.</t>
        </is>
      </c>
      <c r="E83" s="12" t="inlineStr">
        <is>
          <t>The field should be renamed.</t>
        </is>
      </c>
      <c r="F83" s="26" t="inlineStr">
        <is>
          <t>Pending</t>
        </is>
      </c>
      <c r="G83" s="3" t="n"/>
      <c r="H83" s="366" t="inlineStr">
        <is>
          <t>Done</t>
        </is>
      </c>
      <c r="I83" s="3" t="n"/>
      <c r="J83" s="3" t="n"/>
    </row>
    <row r="84" ht="24" customHeight="1">
      <c r="B84" s="14" t="inlineStr">
        <is>
          <t>CC_075</t>
        </is>
      </c>
      <c r="C84" s="14" t="inlineStr">
        <is>
          <t>Currency Conversion - Map to Customer</t>
        </is>
      </c>
      <c r="D84" s="12" t="inlineStr">
        <is>
          <t>Verify that Target Currency should be mandatory field.</t>
        </is>
      </c>
      <c r="E84" s="12" t="inlineStr">
        <is>
          <t>A mandatory (*) indicator should be displayed.</t>
        </is>
      </c>
      <c r="F84" s="26" t="inlineStr">
        <is>
          <t>Pending</t>
        </is>
      </c>
      <c r="G84" s="3" t="n"/>
      <c r="H84" s="366" t="inlineStr">
        <is>
          <t>Done</t>
        </is>
      </c>
      <c r="I84" s="3" t="n"/>
      <c r="J84" s="3" t="n"/>
    </row>
    <row r="85" ht="36" customHeight="1">
      <c r="B85" s="14" t="inlineStr">
        <is>
          <t>CC_076</t>
        </is>
      </c>
      <c r="C85" s="14" t="inlineStr">
        <is>
          <t>Currency Conversion - Map to Customer</t>
        </is>
      </c>
      <c r="D85" s="12" t="inlineStr">
        <is>
          <t>Verify that By default Target Currency should be same as Customer Target Currency.</t>
        </is>
      </c>
      <c r="E85" s="12" t="inlineStr">
        <is>
          <t>The field should be same.</t>
        </is>
      </c>
      <c r="F85" s="26" t="inlineStr">
        <is>
          <t>Pending</t>
        </is>
      </c>
      <c r="G85" s="3" t="n"/>
      <c r="H85" s="366" t="inlineStr">
        <is>
          <t>Done</t>
        </is>
      </c>
      <c r="I85" s="3" t="n"/>
      <c r="J85" s="3" t="n"/>
    </row>
    <row r="86" ht="24" customHeight="1">
      <c r="B86" s="14" t="inlineStr">
        <is>
          <t>CC_077</t>
        </is>
      </c>
      <c r="C86" s="14" t="inlineStr">
        <is>
          <t>Currency Conversion - Map to Customer</t>
        </is>
      </c>
      <c r="D86" s="12" t="inlineStr">
        <is>
          <t>Verify when Source Currency and Target Currency are same.</t>
        </is>
      </c>
      <c r="E86" s="12" t="inlineStr">
        <is>
          <t>Then Exchange Rate should be blank and disabled.</t>
        </is>
      </c>
      <c r="F86" s="26" t="inlineStr">
        <is>
          <t>Pending</t>
        </is>
      </c>
      <c r="G86" s="3" t="n"/>
      <c r="H86" s="366" t="inlineStr">
        <is>
          <t>Done</t>
        </is>
      </c>
      <c r="I86" s="3" t="n"/>
      <c r="J86" s="3" t="n"/>
    </row>
    <row r="87" ht="24" customHeight="1">
      <c r="B87" s="14" t="inlineStr">
        <is>
          <t>CC_078</t>
        </is>
      </c>
      <c r="C87" s="14" t="inlineStr">
        <is>
          <t>Currency Conversion - Map to Customer</t>
        </is>
      </c>
      <c r="D87" s="12" t="inlineStr">
        <is>
          <t>Verify with the above case, when conversion is applied.</t>
        </is>
      </c>
      <c r="E87" s="12" t="inlineStr">
        <is>
          <t>Conversion applied should be.
1.</t>
        </is>
      </c>
      <c r="F87" s="26" t="inlineStr">
        <is>
          <t>Pending</t>
        </is>
      </c>
      <c r="G87" s="3" t="n"/>
      <c r="H87" s="366" t="inlineStr">
        <is>
          <t>Done</t>
        </is>
      </c>
      <c r="I87" s="3" t="n"/>
      <c r="J87" s="3" t="n"/>
    </row>
    <row r="88" ht="36" customHeight="1">
      <c r="B88" s="14" t="inlineStr">
        <is>
          <t>CC_079</t>
        </is>
      </c>
      <c r="C88" s="14" t="inlineStr">
        <is>
          <t>Currency Conversion - Map to Customer</t>
        </is>
      </c>
      <c r="D88" s="12" t="inlineStr">
        <is>
          <t>Verify that user is allowed to input Exchange Rate as decimal value.</t>
        </is>
      </c>
      <c r="E88" s="12" t="inlineStr">
        <is>
          <t>Decimal value allowed is up to 5 decimal point.</t>
        </is>
      </c>
      <c r="F88" s="26" t="inlineStr">
        <is>
          <t>Pending</t>
        </is>
      </c>
      <c r="G88" s="3" t="n"/>
      <c r="H88" s="366" t="inlineStr">
        <is>
          <t>Done</t>
        </is>
      </c>
      <c r="I88" s="3" t="n"/>
      <c r="J88" s="3" t="n"/>
    </row>
    <row r="89" ht="36" customHeight="1">
      <c r="B89" s="14" t="inlineStr">
        <is>
          <t>CC_080</t>
        </is>
      </c>
      <c r="C89" s="14" t="inlineStr">
        <is>
          <t>Currency Conversion - Map to Customer</t>
        </is>
      </c>
      <c r="D89" s="12" t="inlineStr">
        <is>
          <t>Verify that Exchange Rate field should be active and mandatory.</t>
        </is>
      </c>
      <c r="E89" s="12" t="inlineStr">
        <is>
          <t>The field should be active and mandatory with a sign.</t>
        </is>
      </c>
      <c r="F89" s="26" t="inlineStr">
        <is>
          <t>Pending</t>
        </is>
      </c>
      <c r="G89" s="3" t="n"/>
      <c r="H89" s="366" t="inlineStr">
        <is>
          <t>Done</t>
        </is>
      </c>
      <c r="I89" s="3" t="n"/>
      <c r="J89" s="3" t="n"/>
    </row>
    <row r="90" ht="24" customHeight="1">
      <c r="B90" s="14" t="inlineStr">
        <is>
          <t>CC_081</t>
        </is>
      </c>
      <c r="C90" s="14" t="inlineStr">
        <is>
          <t>Currency Conversion - Spreading Screen</t>
        </is>
      </c>
      <c r="D90" s="12" t="inlineStr">
        <is>
          <t>Navigate to Spreading screen and verify item metadata screen.</t>
        </is>
      </c>
      <c r="E90" s="12" t="inlineStr">
        <is>
          <t>Target Currency, Source Currency and Exchange Rate should be shown as selected while item creation.</t>
        </is>
      </c>
      <c r="F90" s="26" t="inlineStr">
        <is>
          <t>Pending</t>
        </is>
      </c>
      <c r="G90" s="3" t="n"/>
      <c r="H90" s="366" t="inlineStr">
        <is>
          <t>Done</t>
        </is>
      </c>
      <c r="I90" s="3" t="n"/>
      <c r="J90" s="3" t="n"/>
    </row>
    <row r="91" ht="24" customHeight="1">
      <c r="B91" s="14" t="inlineStr">
        <is>
          <t>CC_082</t>
        </is>
      </c>
      <c r="C91" s="14" t="inlineStr">
        <is>
          <t>Currency Conversion - Spreading Screen</t>
        </is>
      </c>
      <c r="D91" s="12" t="inlineStr">
        <is>
          <t>Click Edit icon in item metadata popup.
Change Source Currency, Target Currency or Exchange Rate.</t>
        </is>
      </c>
      <c r="E91" s="12" t="inlineStr">
        <is>
          <t>The user should be allowed to edit the options and update.</t>
        </is>
      </c>
      <c r="F91" s="26" t="inlineStr">
        <is>
          <t>Pending</t>
        </is>
      </c>
      <c r="G91" s="3" t="n"/>
      <c r="H91" s="366" t="inlineStr">
        <is>
          <t>Done</t>
        </is>
      </c>
      <c r="I91" s="3" t="n"/>
      <c r="J91" s="3" t="n"/>
    </row>
    <row r="92" ht="24" customHeight="1">
      <c r="B92" s="14" t="inlineStr">
        <is>
          <t>CC_083</t>
        </is>
      </c>
      <c r="C92" s="14" t="inlineStr">
        <is>
          <t>Currency Conversion - Spreading Screen</t>
        </is>
      </c>
      <c r="D92" s="12" t="inlineStr">
        <is>
          <t>Modify Target Currency from Customer modify screen and view changes in Spreading screen item details.</t>
        </is>
      </c>
      <c r="E92" s="12" t="inlineStr">
        <is>
          <t>Metadata should NOT be updated automatically in all the screens.</t>
        </is>
      </c>
      <c r="F92" s="26" t="inlineStr">
        <is>
          <t>Pending</t>
        </is>
      </c>
      <c r="G92" s="3" t="n"/>
      <c r="H92" s="366" t="inlineStr">
        <is>
          <t>Done</t>
        </is>
      </c>
      <c r="I92" s="3" t="n"/>
      <c r="J92" s="3" t="n"/>
    </row>
    <row r="93" ht="24" customHeight="1">
      <c r="B93" s="14" t="inlineStr">
        <is>
          <t>CC_084</t>
        </is>
      </c>
      <c r="C93" s="14" t="inlineStr">
        <is>
          <t>Currency Conversion - Spreading Screen</t>
        </is>
      </c>
      <c r="D93" s="12" t="inlineStr">
        <is>
          <t>Click Show currency ribbon, and try to click Currency dropdown.</t>
        </is>
      </c>
      <c r="E93" s="12" t="inlineStr">
        <is>
          <t>Dropdown should not be clickable and user should not be able to modify Currency.</t>
        </is>
      </c>
      <c r="F93" s="26" t="inlineStr">
        <is>
          <t>Pending</t>
        </is>
      </c>
      <c r="G93" s="3" t="n"/>
      <c r="H93" s="366" t="inlineStr">
        <is>
          <t>Done</t>
        </is>
      </c>
      <c r="I93" s="3" t="n"/>
      <c r="J93" s="3" t="n"/>
    </row>
    <row r="94" ht="24" customHeight="1">
      <c r="B94" s="14" t="inlineStr">
        <is>
          <t>CC_085</t>
        </is>
      </c>
      <c r="C94" s="14" t="inlineStr">
        <is>
          <t>Currency Conversion - Submit and Continue Screen</t>
        </is>
      </c>
      <c r="D94" s="12" t="inlineStr">
        <is>
          <t>Map values in model side and Submit and Continue spread.</t>
        </is>
      </c>
      <c r="E94" s="12" t="inlineStr">
        <is>
          <t>Submit and Continue popup window should appear.</t>
        </is>
      </c>
      <c r="F94" s="26" t="inlineStr">
        <is>
          <t>Pending</t>
        </is>
      </c>
      <c r="G94" s="3" t="n"/>
      <c r="H94" s="366" t="inlineStr">
        <is>
          <t>Done</t>
        </is>
      </c>
      <c r="I94" s="3" t="n"/>
      <c r="J94" s="3" t="n"/>
    </row>
    <row r="95" ht="24" customHeight="1">
      <c r="B95" s="14" t="inlineStr">
        <is>
          <t>CC_086</t>
        </is>
      </c>
      <c r="C95" s="14" t="inlineStr">
        <is>
          <t>Currency Conversion - Submit and Continue Screen</t>
        </is>
      </c>
      <c r="D95" s="12" t="inlineStr">
        <is>
          <t>Observe new fields present in Popup window, Currency relabeled to Source Currency.</t>
        </is>
      </c>
      <c r="E95" s="12" t="inlineStr">
        <is>
          <t>Source Currency dropdown should be present.</t>
        </is>
      </c>
      <c r="F95" s="26" t="inlineStr">
        <is>
          <t>Pending</t>
        </is>
      </c>
      <c r="G95" s="3" t="n"/>
      <c r="H95" s="366" t="inlineStr">
        <is>
          <t>Done</t>
        </is>
      </c>
      <c r="I95" s="3" t="n"/>
      <c r="J95" s="3" t="n"/>
    </row>
    <row r="96" ht="24" customHeight="1">
      <c r="B96" s="14" t="inlineStr">
        <is>
          <t>CC_087</t>
        </is>
      </c>
      <c r="C96" s="14" t="inlineStr">
        <is>
          <t>Currency Conversion - Submit and Continue Screen</t>
        </is>
      </c>
      <c r="D96" s="12" t="inlineStr">
        <is>
          <t>Verify that data in Source Currency dropdown matches item creation screen.</t>
        </is>
      </c>
      <c r="E96" s="12" t="inlineStr">
        <is>
          <t>The displayed data should be correct.</t>
        </is>
      </c>
      <c r="F96" s="26" t="inlineStr">
        <is>
          <t>Pending</t>
        </is>
      </c>
      <c r="G96" s="3" t="n"/>
      <c r="H96" s="366" t="inlineStr">
        <is>
          <t>Done</t>
        </is>
      </c>
      <c r="I96" s="3" t="n"/>
      <c r="J96" s="3" t="n"/>
    </row>
    <row r="97" ht="24" customHeight="1">
      <c r="B97" s="14" t="inlineStr">
        <is>
          <t>CC_088</t>
        </is>
      </c>
      <c r="C97" s="14" t="inlineStr">
        <is>
          <t>Currency Conversion - Submit and Continue Screen</t>
        </is>
      </c>
      <c r="D97" s="12" t="inlineStr">
        <is>
          <t>Verify Target Currency dropdown.</t>
        </is>
      </c>
      <c r="E97" s="12" t="inlineStr">
        <is>
          <t>Target Currency should be same as Customer Target Currency.</t>
        </is>
      </c>
      <c r="F97" s="26" t="inlineStr">
        <is>
          <t>Pending</t>
        </is>
      </c>
      <c r="G97" s="3" t="n"/>
      <c r="H97" s="366" t="inlineStr">
        <is>
          <t>Done</t>
        </is>
      </c>
      <c r="I97" s="3" t="n"/>
      <c r="J97" s="3" t="n"/>
    </row>
    <row r="98" ht="24" customHeight="1">
      <c r="B98" s="14" t="inlineStr">
        <is>
          <t>CC_089</t>
        </is>
      </c>
      <c r="C98" s="14" t="inlineStr">
        <is>
          <t>Currency Conversion - Submit and Continue Screen</t>
        </is>
      </c>
      <c r="D98" s="12" t="inlineStr">
        <is>
          <t>Verify Exchange Rate field should be blank and mandatory.</t>
        </is>
      </c>
      <c r="E98" s="12" t="inlineStr">
        <is>
          <t>The user should be allowed to enter a value in the Exchange Rate field.</t>
        </is>
      </c>
      <c r="F98" s="26" t="inlineStr">
        <is>
          <t>Pending</t>
        </is>
      </c>
      <c r="G98" s="3" t="n"/>
      <c r="H98" s="366" t="inlineStr">
        <is>
          <t>Done</t>
        </is>
      </c>
      <c r="I98" s="3" t="n"/>
      <c r="J98" s="3" t="n"/>
    </row>
    <row r="99" ht="24" customHeight="1">
      <c r="B99" s="14" t="inlineStr">
        <is>
          <t>CC_090</t>
        </is>
      </c>
      <c r="C99" s="14" t="inlineStr">
        <is>
          <t>Currency Conversion - Submit and Continue Screen</t>
        </is>
      </c>
      <c r="D99" s="12" t="inlineStr">
        <is>
          <t>Try to submit without inputting value in Exchange Rate.</t>
        </is>
      </c>
      <c r="E99" s="12" t="inlineStr">
        <is>
          <t>Submit button should not be enabled.</t>
        </is>
      </c>
      <c r="F99" s="26" t="inlineStr">
        <is>
          <t>Pending</t>
        </is>
      </c>
      <c r="G99" s="3" t="n"/>
      <c r="H99" s="366" t="inlineStr">
        <is>
          <t>Done</t>
        </is>
      </c>
      <c r="I99" s="3" t="n"/>
      <c r="J99" s="3" t="n"/>
    </row>
    <row r="100" ht="36" customHeight="1">
      <c r="B100" s="14" t="inlineStr">
        <is>
          <t>CC_091</t>
        </is>
      </c>
      <c r="C100" s="14" t="inlineStr">
        <is>
          <t>Currency Conversion - Submit and Continue Screen</t>
        </is>
      </c>
      <c r="D100" s="12" t="inlineStr">
        <is>
          <t>Change Target Currency same as Source Currency.
Observe Exchange Rate.</t>
        </is>
      </c>
      <c r="E100" s="12" t="inlineStr">
        <is>
          <t>Verify that the user can change Target Currency from dropdown and Exchange Rate should be disabled and will be considered as 1 by default.</t>
        </is>
      </c>
      <c r="F100" s="26" t="inlineStr">
        <is>
          <t>Pending</t>
        </is>
      </c>
      <c r="G100" s="3" t="n"/>
      <c r="H100" s="366" t="inlineStr">
        <is>
          <t>Done</t>
        </is>
      </c>
      <c r="I100" s="3" t="n"/>
      <c r="J100" s="3" t="n"/>
    </row>
    <row r="101" ht="36" customHeight="1">
      <c r="B101" s="14" t="inlineStr">
        <is>
          <t>CC_092</t>
        </is>
      </c>
      <c r="C101" s="14" t="inlineStr">
        <is>
          <t>Currency Conversion - Submit and Continue Screen</t>
        </is>
      </c>
      <c r="D101" s="12" t="inlineStr">
        <is>
          <t>Verify changing Source Currency same as Target Currency.
Observe Exchange Rate.</t>
        </is>
      </c>
      <c r="E101" s="12" t="inlineStr">
        <is>
          <t>Verify that the user can change Source Currency from dropdown and Exchange Rate should be disabled and will be considered as 1 by default.</t>
        </is>
      </c>
      <c r="F101" s="26" t="inlineStr">
        <is>
          <t>Pending</t>
        </is>
      </c>
      <c r="G101" s="3" t="n"/>
      <c r="H101" s="366" t="inlineStr">
        <is>
          <t>Done</t>
        </is>
      </c>
      <c r="I101" s="3" t="n"/>
      <c r="J101" s="3" t="n"/>
    </row>
    <row r="102" ht="24" customHeight="1">
      <c r="B102" s="14" t="inlineStr">
        <is>
          <t>CC_093</t>
        </is>
      </c>
      <c r="C102" s="14" t="inlineStr">
        <is>
          <t>Currency Conversion - Submit and Continue Screen</t>
        </is>
      </c>
      <c r="D102" s="12" t="inlineStr">
        <is>
          <t>Try to add symbols, or other characters in Exchange Rate field.</t>
        </is>
      </c>
      <c r="E102" s="12" t="inlineStr">
        <is>
          <t>The system should not allow any of them.</t>
        </is>
      </c>
      <c r="F102" s="26" t="inlineStr">
        <is>
          <t>Pending</t>
        </is>
      </c>
      <c r="G102" s="3" t="n"/>
      <c r="H102" s="366" t="inlineStr">
        <is>
          <t>Done</t>
        </is>
      </c>
      <c r="I102" s="3" t="n"/>
      <c r="J102" s="3" t="n"/>
    </row>
    <row r="103" ht="24" customHeight="1">
      <c r="B103" s="14" t="inlineStr">
        <is>
          <t>CC_094</t>
        </is>
      </c>
      <c r="C103" s="14" t="inlineStr">
        <is>
          <t>Currency Conversion - Submit and Continue Screen</t>
        </is>
      </c>
      <c r="D103" s="12" t="inlineStr">
        <is>
          <t>Verify adding more than 5 decimal places in Exchange Rate.</t>
        </is>
      </c>
      <c r="E103" s="12" t="inlineStr">
        <is>
          <t>The system should only allow up to 5 decimal places value.</t>
        </is>
      </c>
      <c r="F103" s="26" t="inlineStr">
        <is>
          <t>Pending</t>
        </is>
      </c>
      <c r="G103" s="3" t="n"/>
      <c r="H103" s="366" t="inlineStr">
        <is>
          <t>Done</t>
        </is>
      </c>
      <c r="I103" s="3" t="n"/>
      <c r="J103" s="3" t="n"/>
    </row>
    <row r="104" ht="24" customHeight="1">
      <c r="B104" s="14" t="inlineStr">
        <is>
          <t>CC_095</t>
        </is>
      </c>
      <c r="C104" s="14" t="inlineStr">
        <is>
          <t>Currency Conversion - Submit and Continue Screen</t>
        </is>
      </c>
      <c r="D104" s="12" t="inlineStr">
        <is>
          <t>Submit with all metadata fields and verify same in subsequent period item details.</t>
        </is>
      </c>
      <c r="E104" s="12" t="inlineStr">
        <is>
          <t>Metadata should be same as selected earlier in all the screens.</t>
        </is>
      </c>
      <c r="F104" s="26" t="inlineStr">
        <is>
          <t>Pending</t>
        </is>
      </c>
      <c r="G104" s="3" t="n"/>
      <c r="H104" s="366" t="inlineStr">
        <is>
          <t>Done</t>
        </is>
      </c>
      <c r="I104" s="3" t="n"/>
      <c r="J104" s="3" t="n"/>
    </row>
    <row r="105" ht="24" customHeight="1">
      <c r="B105" s="14" t="inlineStr">
        <is>
          <t>CC_096</t>
        </is>
      </c>
      <c r="C105" s="14" t="inlineStr">
        <is>
          <t>Source Currency - Export Statement</t>
        </is>
      </c>
      <c r="D105" s="12" t="inlineStr">
        <is>
          <t>Spreading &gt; Statement export screen.</t>
        </is>
      </c>
      <c r="E105" s="12" t="inlineStr">
        <is>
          <t>Statement export screen should be launched.</t>
        </is>
      </c>
      <c r="F105" s="26" t="inlineStr">
        <is>
          <t>Pending</t>
        </is>
      </c>
      <c r="G105" s="3" t="n"/>
      <c r="H105" s="366" t="inlineStr">
        <is>
          <t>Done</t>
        </is>
      </c>
      <c r="I105" s="3" t="n"/>
      <c r="J105" s="3" t="n"/>
    </row>
    <row r="106" ht="24" customHeight="1">
      <c r="B106" s="14" t="inlineStr">
        <is>
          <t>CC_097</t>
        </is>
      </c>
      <c r="C106" s="14" t="inlineStr">
        <is>
          <t>Source Currency - Export Statement</t>
        </is>
      </c>
      <c r="D106" s="12" t="inlineStr">
        <is>
          <t>Observe new checkbox labeled as Source Currency.</t>
        </is>
      </c>
      <c r="E106" s="12" t="inlineStr">
        <is>
          <t>Checkbox should be present, and in working state.</t>
        </is>
      </c>
      <c r="F106" s="26" t="inlineStr">
        <is>
          <t>Pending</t>
        </is>
      </c>
      <c r="G106" s="3" t="n"/>
      <c r="H106" s="366" t="inlineStr">
        <is>
          <t>Done</t>
        </is>
      </c>
      <c r="I106" s="3" t="n"/>
      <c r="J106" s="3" t="n"/>
    </row>
    <row r="107" ht="24" customHeight="1">
      <c r="B107" s="14" t="inlineStr">
        <is>
          <t>CC_098</t>
        </is>
      </c>
      <c r="C107" s="14" t="inlineStr">
        <is>
          <t>Source Currency - Export Statement</t>
        </is>
      </c>
      <c r="D107" s="12" t="inlineStr">
        <is>
          <t>Select any model &gt; search customers.</t>
        </is>
      </c>
      <c r="E107" s="12" t="inlineStr">
        <is>
          <t>Customer list should be displayed against the model selected.</t>
        </is>
      </c>
      <c r="F107" s="26" t="inlineStr">
        <is>
          <t>Pending</t>
        </is>
      </c>
      <c r="G107" s="3" t="n"/>
      <c r="H107" s="366" t="inlineStr">
        <is>
          <t>Done</t>
        </is>
      </c>
      <c r="I107" s="3" t="n"/>
      <c r="J107" s="3" t="n"/>
    </row>
    <row r="108" ht="24" customHeight="1">
      <c r="B108" s="14" t="inlineStr">
        <is>
          <t>CC_099</t>
        </is>
      </c>
      <c r="C108" s="14" t="inlineStr">
        <is>
          <t>Source Currency - Export Statement</t>
        </is>
      </c>
      <c r="D108" s="12" t="inlineStr">
        <is>
          <t>Select Source Currency checkbox and export statement.</t>
        </is>
      </c>
      <c r="E108" s="12" t="inlineStr">
        <is>
          <t>Verify that the user can generate statement for the selected customer.</t>
        </is>
      </c>
      <c r="F108" s="26" t="inlineStr">
        <is>
          <t>Pending</t>
        </is>
      </c>
      <c r="G108" s="3" t="n"/>
      <c r="H108" s="366" t="inlineStr">
        <is>
          <t>Done</t>
        </is>
      </c>
      <c r="I108" s="3" t="n"/>
      <c r="J108" s="3" t="n"/>
    </row>
    <row r="109" ht="24" customHeight="1">
      <c r="B109" s="14" t="inlineStr">
        <is>
          <t>CC_100</t>
        </is>
      </c>
      <c r="C109" s="14" t="inlineStr">
        <is>
          <t>Source Currency - Export Statement</t>
        </is>
      </c>
      <c r="D109" s="12" t="inlineStr">
        <is>
          <t>Observe exported statement, it will show sheet named as &lt;Source-Status-Company name &gt;.</t>
        </is>
      </c>
      <c r="E109" s="12" t="inlineStr">
        <is>
          <t>Sheet name should be in the mentioned format.</t>
        </is>
      </c>
      <c r="F109" s="26" t="inlineStr">
        <is>
          <t>Pending</t>
        </is>
      </c>
      <c r="G109" s="3" t="n"/>
      <c r="H109" s="366" t="inlineStr">
        <is>
          <t>Done</t>
        </is>
      </c>
      <c r="I109" s="3" t="n"/>
      <c r="J109" s="3" t="n"/>
    </row>
    <row r="110" ht="24" customHeight="1">
      <c r="B110" s="14" t="inlineStr">
        <is>
          <t>CC_101</t>
        </is>
      </c>
      <c r="C110" s="14" t="inlineStr">
        <is>
          <t>Source Currency - Export Statement</t>
        </is>
      </c>
      <c r="D110" s="12" t="inlineStr">
        <is>
          <t>Verify that show Unit should show values in currency column respective to exported Source Currency sheet.</t>
        </is>
      </c>
      <c r="E110" s="12" t="inlineStr">
        <is>
          <t>Currency column should show the correct currency.</t>
        </is>
      </c>
      <c r="F110" s="26" t="inlineStr">
        <is>
          <t>Pending</t>
        </is>
      </c>
      <c r="G110" s="3" t="n"/>
      <c r="H110" s="366" t="inlineStr">
        <is>
          <t>Done</t>
        </is>
      </c>
      <c r="I110" s="3" t="n"/>
      <c r="J110" s="3" t="n"/>
    </row>
    <row r="111" ht="36" customHeight="1">
      <c r="B111" s="14" t="inlineStr">
        <is>
          <t>CC_102</t>
        </is>
      </c>
      <c r="C111" s="14" t="inlineStr">
        <is>
          <t>Source Currency - Export Statement</t>
        </is>
      </c>
      <c r="D111" s="12" t="inlineStr">
        <is>
          <t>Verify that Source Currency report metadata should show only Source Currency (with value) and Target Currency (blank), Exchange Rate (blank) fields.</t>
        </is>
      </c>
      <c r="E111" s="12" t="inlineStr">
        <is>
          <t>Target Currency and Exchange Rate field should be blank for Source Currency report.</t>
        </is>
      </c>
      <c r="F111" s="26" t="inlineStr">
        <is>
          <t>Pending</t>
        </is>
      </c>
      <c r="G111" s="3" t="n"/>
      <c r="H111" s="366" t="inlineStr">
        <is>
          <t>Done</t>
        </is>
      </c>
      <c r="I111" s="3" t="n"/>
      <c r="J111" s="3" t="n"/>
    </row>
    <row r="112" ht="24" customHeight="1">
      <c r="B112" s="14" t="inlineStr">
        <is>
          <t>CC_103</t>
        </is>
      </c>
      <c r="C112" s="14" t="inlineStr">
        <is>
          <t>Source Currency - Export Statement</t>
        </is>
      </c>
      <c r="D112" s="12" t="inlineStr">
        <is>
          <t>Statement export &gt; select any customer from the list with draft items.</t>
        </is>
      </c>
      <c r="E112" s="12" t="inlineStr">
        <is>
          <t>Customer with draft data should be selected.</t>
        </is>
      </c>
      <c r="F112" s="26" t="inlineStr">
        <is>
          <t>Pending</t>
        </is>
      </c>
      <c r="G112" s="3" t="n"/>
      <c r="H112" s="366" t="inlineStr">
        <is>
          <t>Done</t>
        </is>
      </c>
      <c r="I112" s="3" t="n"/>
      <c r="J112" s="3" t="n"/>
    </row>
    <row r="113" ht="24" customHeight="1">
      <c r="B113" s="14" t="inlineStr">
        <is>
          <t>CC_104</t>
        </is>
      </c>
      <c r="C113" s="14" t="inlineStr">
        <is>
          <t>Source Currency - Export Statement</t>
        </is>
      </c>
      <c r="D113" s="12" t="inlineStr">
        <is>
          <t>Check Source Currency checkbox and export statement.</t>
        </is>
      </c>
      <c r="E113" s="12" t="inlineStr">
        <is>
          <t>Checkbox should be selected and statement should be exported.</t>
        </is>
      </c>
      <c r="F113" s="26" t="inlineStr">
        <is>
          <t>Pending</t>
        </is>
      </c>
      <c r="G113" s="3" t="n"/>
      <c r="H113" s="366" t="inlineStr">
        <is>
          <t>Done</t>
        </is>
      </c>
      <c r="I113" s="3" t="n"/>
      <c r="J113" s="3" t="n"/>
    </row>
    <row r="114" ht="24" customHeight="1">
      <c r="B114" s="14" t="inlineStr">
        <is>
          <t>CC_105</t>
        </is>
      </c>
      <c r="C114" s="14" t="inlineStr">
        <is>
          <t>Source Currency - Export Statement</t>
        </is>
      </c>
      <c r="D114" s="12" t="inlineStr">
        <is>
          <t>Launch exported statement and observe sheet name.</t>
        </is>
      </c>
      <c r="E114" s="12" t="inlineStr">
        <is>
          <t>Sheet name should be &lt;Company name-Draft-Source &gt;.</t>
        </is>
      </c>
      <c r="F114" s="26" t="inlineStr">
        <is>
          <t>Pending</t>
        </is>
      </c>
      <c r="G114" s="3" t="n"/>
      <c r="H114" s="366" t="inlineStr">
        <is>
          <t>Done</t>
        </is>
      </c>
      <c r="I114" s="3" t="n"/>
      <c r="J114" s="3" t="n"/>
    </row>
    <row r="115" ht="24" customHeight="1">
      <c r="B115" s="14" t="inlineStr">
        <is>
          <t>CC_106</t>
        </is>
      </c>
      <c r="C115" s="14" t="inlineStr">
        <is>
          <t>Source Currency - Export Statement</t>
        </is>
      </c>
      <c r="D115" s="12" t="inlineStr">
        <is>
          <t>Verify the same for Customer have both Draft and submitted items,.</t>
        </is>
      </c>
      <c r="E115" s="12" t="inlineStr">
        <is>
          <t>Statement should be exported.</t>
        </is>
      </c>
      <c r="F115" s="26" t="inlineStr">
        <is>
          <t>Pending</t>
        </is>
      </c>
      <c r="G115" s="3" t="n"/>
      <c r="H115" s="366" t="inlineStr">
        <is>
          <t>Done</t>
        </is>
      </c>
      <c r="I115" s="3" t="n"/>
      <c r="J115" s="3" t="n"/>
    </row>
    <row r="116" ht="24" customHeight="1">
      <c r="B116" s="14" t="inlineStr">
        <is>
          <t>CC_107</t>
        </is>
      </c>
      <c r="C116" s="14" t="inlineStr">
        <is>
          <t>Source Currency - Export Statement</t>
        </is>
      </c>
      <c r="D116" s="12" t="inlineStr">
        <is>
          <t>Launch statement excel sheet &gt; There should be 2 different sheet.</t>
        </is>
      </c>
      <c r="E116" s="12" t="inlineStr">
        <is>
          <t>Sheet name should be &lt;Source-Draft-Company name &gt; &lt;Source-Spread-Company name &gt;.</t>
        </is>
      </c>
      <c r="F116" s="26" t="inlineStr">
        <is>
          <t>Pending</t>
        </is>
      </c>
      <c r="G116" s="3" t="n"/>
      <c r="H116" s="366" t="inlineStr">
        <is>
          <t>Done</t>
        </is>
      </c>
      <c r="I116" s="3" t="n"/>
      <c r="J116" s="3" t="n"/>
    </row>
    <row r="117" ht="36" customHeight="1">
      <c r="B117" s="14" t="inlineStr">
        <is>
          <t>CC_108</t>
        </is>
      </c>
      <c r="C117" s="14" t="inlineStr">
        <is>
          <t>Source Currency - Export Statement</t>
        </is>
      </c>
      <c r="D117" s="12" t="inlineStr">
        <is>
          <t>Verify that Source Currency report metadata should show only Source Currency (with value) and Target Currency (blank), Exchange Rate (blank) fields.</t>
        </is>
      </c>
      <c r="E117" s="12" t="inlineStr">
        <is>
          <t>Target Currency and Exchange Rate should be blank in Source Currency statement.</t>
        </is>
      </c>
      <c r="F117" s="26" t="inlineStr">
        <is>
          <t>Pending</t>
        </is>
      </c>
      <c r="G117" s="3" t="n"/>
      <c r="H117" s="366" t="inlineStr">
        <is>
          <t>Done</t>
        </is>
      </c>
      <c r="I117" s="3" t="n"/>
      <c r="J117" s="3" t="n"/>
    </row>
    <row r="118" ht="24" customHeight="1">
      <c r="B118" s="14" t="inlineStr">
        <is>
          <t>CC_109</t>
        </is>
      </c>
      <c r="C118" s="14" t="inlineStr">
        <is>
          <t>Source Currency - Export Statement</t>
        </is>
      </c>
      <c r="D118" s="12" t="inlineStr">
        <is>
          <t>Statement export &gt; select any customer from the list with Spread state items.</t>
        </is>
      </c>
      <c r="E118" s="12" t="inlineStr">
        <is>
          <t>Customer with Spread data should be selected.</t>
        </is>
      </c>
      <c r="F118" s="26" t="inlineStr">
        <is>
          <t>Pending</t>
        </is>
      </c>
      <c r="G118" s="3" t="n"/>
      <c r="H118" s="366" t="inlineStr">
        <is>
          <t>Done</t>
        </is>
      </c>
      <c r="I118" s="3" t="n"/>
      <c r="J118" s="3" t="n"/>
    </row>
    <row r="119" ht="24" customHeight="1">
      <c r="B119" s="14" t="inlineStr">
        <is>
          <t>CC_110</t>
        </is>
      </c>
      <c r="C119" s="14" t="inlineStr">
        <is>
          <t>Source Currency - Export Statement</t>
        </is>
      </c>
      <c r="D119" s="12" t="inlineStr">
        <is>
          <t>Check Source Currency checkbox and export statement.</t>
        </is>
      </c>
      <c r="E119" s="12" t="inlineStr">
        <is>
          <t>Checkbox should be selected and statement should be exported.</t>
        </is>
      </c>
      <c r="F119" s="26" t="inlineStr">
        <is>
          <t>Pending</t>
        </is>
      </c>
      <c r="G119" s="3" t="n"/>
      <c r="H119" s="366" t="inlineStr">
        <is>
          <t>Done</t>
        </is>
      </c>
      <c r="I119" s="3" t="n"/>
      <c r="J119" s="3" t="n"/>
    </row>
    <row r="120" ht="24" customHeight="1">
      <c r="B120" s="14" t="inlineStr">
        <is>
          <t>CC_111</t>
        </is>
      </c>
      <c r="C120" s="14" t="inlineStr">
        <is>
          <t>Source Currency - Export Statement</t>
        </is>
      </c>
      <c r="D120" s="12" t="inlineStr">
        <is>
          <t>Launch exported statement and observe sheet name.</t>
        </is>
      </c>
      <c r="E120" s="12" t="inlineStr">
        <is>
          <t>Sheet name should be &lt;Source-Spread-Company name &gt;.</t>
        </is>
      </c>
      <c r="F120" s="26" t="inlineStr">
        <is>
          <t>Pending</t>
        </is>
      </c>
      <c r="G120" s="3" t="n"/>
      <c r="H120" s="366" t="inlineStr">
        <is>
          <t>Done</t>
        </is>
      </c>
      <c r="I120" s="3" t="n"/>
      <c r="J120" s="3" t="n"/>
    </row>
    <row r="121" ht="24" customHeight="1">
      <c r="B121" s="14" t="inlineStr">
        <is>
          <t>CC_112</t>
        </is>
      </c>
      <c r="C121" s="14" t="inlineStr">
        <is>
          <t>Source Currency - Export Statement</t>
        </is>
      </c>
      <c r="D121" s="12" t="inlineStr">
        <is>
          <t>Verify the same for Customer have both Draft and submitted items,.</t>
        </is>
      </c>
      <c r="E121" s="12" t="inlineStr">
        <is>
          <t>Statement should be exported.</t>
        </is>
      </c>
      <c r="F121" s="26" t="inlineStr">
        <is>
          <t>Pending</t>
        </is>
      </c>
      <c r="G121" s="3" t="n"/>
      <c r="H121" s="366" t="inlineStr">
        <is>
          <t>Done</t>
        </is>
      </c>
      <c r="I121" s="3" t="n"/>
      <c r="J121" s="3" t="n"/>
    </row>
    <row r="122" ht="24" customHeight="1">
      <c r="B122" s="14" t="inlineStr">
        <is>
          <t>CC_113</t>
        </is>
      </c>
      <c r="C122" s="14" t="inlineStr">
        <is>
          <t>Source Currency - Export Statement</t>
        </is>
      </c>
      <c r="D122" s="12" t="inlineStr">
        <is>
          <t>Launch statement excel sheet &gt; There should be 2 different sheet.</t>
        </is>
      </c>
      <c r="E122" s="12" t="inlineStr">
        <is>
          <t>Sheet name should be &lt;Source-Draft-Company name &gt; &lt;Source-Spread-Company name &gt;.</t>
        </is>
      </c>
      <c r="F122" s="26" t="inlineStr">
        <is>
          <t>Pending</t>
        </is>
      </c>
      <c r="G122" s="3" t="n"/>
      <c r="H122" s="366" t="inlineStr">
        <is>
          <t>Done</t>
        </is>
      </c>
      <c r="I122" s="3" t="n"/>
      <c r="J122" s="3" t="n"/>
    </row>
    <row r="123" ht="36" customHeight="1">
      <c r="B123" s="14" t="inlineStr">
        <is>
          <t>CC_114</t>
        </is>
      </c>
      <c r="C123" s="14" t="inlineStr">
        <is>
          <t>Target Currency - Export Statement</t>
        </is>
      </c>
      <c r="D123" s="12" t="inlineStr">
        <is>
          <t>Spreading &gt; Statement export screen.
Select any model &gt; search customer and export any.
Uncheck Source Currency checkbox.</t>
        </is>
      </c>
      <c r="E123" s="12" t="inlineStr">
        <is>
          <t>Statement export screen should be launched.
Statement should be exported for selected customer.</t>
        </is>
      </c>
      <c r="F123" s="26" t="inlineStr">
        <is>
          <t>Pending</t>
        </is>
      </c>
      <c r="G123" s="3" t="n"/>
      <c r="H123" s="366" t="inlineStr">
        <is>
          <t>Done</t>
        </is>
      </c>
      <c r="I123" s="3" t="n"/>
      <c r="J123" s="3" t="n"/>
    </row>
    <row r="124" ht="24" customHeight="1">
      <c r="B124" s="14" t="inlineStr">
        <is>
          <t>CC_115</t>
        </is>
      </c>
      <c r="C124" s="14" t="inlineStr">
        <is>
          <t>Target Currency - Export Statement</t>
        </is>
      </c>
      <c r="D124" s="12" t="inlineStr">
        <is>
          <t>Observe exported statement, it will show sheet named as &lt;Target-Status-Company name &gt;.</t>
        </is>
      </c>
      <c r="E124" s="12" t="inlineStr">
        <is>
          <t>Sheet name should be in the mentioned format.</t>
        </is>
      </c>
      <c r="F124" s="26" t="inlineStr">
        <is>
          <t>Pending</t>
        </is>
      </c>
      <c r="G124" s="3" t="n"/>
      <c r="H124" s="366" t="inlineStr">
        <is>
          <t>Done</t>
        </is>
      </c>
      <c r="I124" s="3" t="n"/>
      <c r="J124" s="3" t="n"/>
    </row>
    <row r="125" ht="24" customHeight="1">
      <c r="B125" s="14" t="inlineStr">
        <is>
          <t>CC_116</t>
        </is>
      </c>
      <c r="C125" s="14" t="inlineStr">
        <is>
          <t>Target Currency - Export Statement</t>
        </is>
      </c>
      <c r="D125" s="12" t="inlineStr">
        <is>
          <t>Verify that show Unit should show values in currency column respective to exported Target Currency sheet.</t>
        </is>
      </c>
      <c r="E125" s="12" t="inlineStr">
        <is>
          <t>Currency column should show the correct currency.</t>
        </is>
      </c>
      <c r="F125" s="26" t="inlineStr">
        <is>
          <t>Pending</t>
        </is>
      </c>
      <c r="G125" s="3" t="n"/>
      <c r="H125" s="366" t="inlineStr">
        <is>
          <t>Done</t>
        </is>
      </c>
      <c r="I125" s="3" t="n"/>
      <c r="J125" s="3" t="n"/>
    </row>
    <row r="126" ht="36" customHeight="1">
      <c r="B126" s="14" t="inlineStr">
        <is>
          <t>CC_117</t>
        </is>
      </c>
      <c r="C126" s="14" t="inlineStr">
        <is>
          <t>Target Currency - Export Statement</t>
        </is>
      </c>
      <c r="D126" s="12" t="inlineStr">
        <is>
          <t>Verify that Target Currency report metadata should show Source Currency (with value) and Target Currency (with value), Exchange Rate (with value) fields.</t>
        </is>
      </c>
      <c r="E126" s="12" t="inlineStr">
        <is>
          <t>Target Currency and Exchange Rate field should show data in Target Currency report.</t>
        </is>
      </c>
      <c r="F126" s="26" t="inlineStr">
        <is>
          <t>Pending</t>
        </is>
      </c>
      <c r="G126" s="3" t="n"/>
      <c r="H126" s="366" t="inlineStr">
        <is>
          <t>Done</t>
        </is>
      </c>
      <c r="I126" s="3" t="n"/>
      <c r="J126" s="3" t="n"/>
    </row>
    <row r="127" ht="24" customHeight="1">
      <c r="B127" s="14" t="inlineStr">
        <is>
          <t>CC_118</t>
        </is>
      </c>
      <c r="C127" s="14" t="inlineStr">
        <is>
          <t>Target Currency - Export Statement</t>
        </is>
      </c>
      <c r="D127" s="12" t="inlineStr">
        <is>
          <t>Statement export &gt; select any customer from the list with draft items.</t>
        </is>
      </c>
      <c r="E127" s="12" t="inlineStr">
        <is>
          <t>Customer with draft data should be selected.</t>
        </is>
      </c>
      <c r="F127" s="26" t="inlineStr">
        <is>
          <t>Pending</t>
        </is>
      </c>
      <c r="G127" s="3" t="n"/>
      <c r="H127" s="366" t="inlineStr">
        <is>
          <t>Done</t>
        </is>
      </c>
      <c r="I127" s="3" t="n"/>
      <c r="J127" s="3" t="n"/>
    </row>
    <row r="128" ht="24" customHeight="1">
      <c r="B128" s="14" t="inlineStr">
        <is>
          <t>CC_119</t>
        </is>
      </c>
      <c r="C128" s="14" t="inlineStr">
        <is>
          <t>Target Currency - Export Statement</t>
        </is>
      </c>
      <c r="D128" s="12" t="inlineStr">
        <is>
          <t>Check Source Currency checkbox and export statement.</t>
        </is>
      </c>
      <c r="E128" s="12" t="inlineStr">
        <is>
          <t>Checkbox should be selected and statement should be exported.</t>
        </is>
      </c>
      <c r="F128" s="26" t="inlineStr">
        <is>
          <t>Pending</t>
        </is>
      </c>
      <c r="G128" s="3" t="n"/>
      <c r="H128" s="366" t="inlineStr">
        <is>
          <t>Done</t>
        </is>
      </c>
      <c r="I128" s="3" t="n"/>
      <c r="J128" s="3" t="n"/>
    </row>
    <row r="129" ht="48" customHeight="1">
      <c r="B129" s="14" t="inlineStr">
        <is>
          <t>CC_120</t>
        </is>
      </c>
      <c r="C129" s="14" t="inlineStr">
        <is>
          <t>Target Currency - Export Statement</t>
        </is>
      </c>
      <c r="D129" s="12" t="inlineStr">
        <is>
          <t>Launch exported statement and observe 2 sheets should be downloaded in file.
Observe file name for both.</t>
        </is>
      </c>
      <c r="E129" s="12" t="inlineStr">
        <is>
          <t>Target Currency Sheet name should be &lt;Target-Draft-Company Name &gt; Source Currency Sheet name should be &lt;Source-Draft-Company Name &gt;.</t>
        </is>
      </c>
      <c r="F129" s="26" t="inlineStr">
        <is>
          <t>Pending</t>
        </is>
      </c>
      <c r="G129" s="3" t="n"/>
      <c r="H129" s="366" t="inlineStr">
        <is>
          <t>Done</t>
        </is>
      </c>
      <c r="I129" s="3" t="n"/>
      <c r="J129" s="3" t="n"/>
    </row>
    <row r="130" ht="24" customHeight="1">
      <c r="B130" s="14" t="inlineStr">
        <is>
          <t>CC_121</t>
        </is>
      </c>
      <c r="C130" s="14" t="inlineStr">
        <is>
          <t>Target Currency - Export Statement</t>
        </is>
      </c>
      <c r="D130" s="12" t="inlineStr">
        <is>
          <t>Verify the same for Customer have both Draft and submitted items,.</t>
        </is>
      </c>
      <c r="E130" s="12" t="inlineStr">
        <is>
          <t>Statement should be exported.</t>
        </is>
      </c>
      <c r="F130" s="26" t="inlineStr">
        <is>
          <t>Pending</t>
        </is>
      </c>
      <c r="G130" s="3" t="n"/>
      <c r="H130" s="366" t="inlineStr">
        <is>
          <t>Done</t>
        </is>
      </c>
      <c r="I130" s="3" t="n"/>
      <c r="J130" s="3" t="n"/>
    </row>
    <row r="131" ht="24" customHeight="1">
      <c r="B131" s="14" t="inlineStr">
        <is>
          <t>CC_122</t>
        </is>
      </c>
      <c r="C131" s="14" t="inlineStr">
        <is>
          <t>Target Currency - Export Statement</t>
        </is>
      </c>
      <c r="D131" s="12" t="inlineStr">
        <is>
          <t>Launch statement excel sheet &gt; There should be 2 different sheet.</t>
        </is>
      </c>
      <c r="E131" s="12" t="inlineStr">
        <is>
          <t>Sheet name should be &lt;Source-Draft-Company name &gt; &lt;Source-Spread-Company name &gt;.</t>
        </is>
      </c>
      <c r="F131" s="26" t="inlineStr">
        <is>
          <t>Pending</t>
        </is>
      </c>
      <c r="G131" s="3" t="n"/>
      <c r="H131" s="366" t="inlineStr">
        <is>
          <t>Done</t>
        </is>
      </c>
      <c r="I131" s="3" t="n"/>
      <c r="J131" s="3" t="n"/>
    </row>
    <row r="132" ht="36" customHeight="1">
      <c r="B132" s="14" t="inlineStr">
        <is>
          <t>CC_123</t>
        </is>
      </c>
      <c r="C132" s="14" t="inlineStr">
        <is>
          <t>Target Currency - Export Statement</t>
        </is>
      </c>
      <c r="D132" s="12" t="inlineStr">
        <is>
          <t>Verify that Target Currency report metadata should show Source Currency (with value) and Target Currency (with value), Exchange Rate (with value) fields.</t>
        </is>
      </c>
      <c r="E132" s="12" t="inlineStr">
        <is>
          <t>All the fields should show data in Target Currency report.</t>
        </is>
      </c>
      <c r="F132" s="26" t="inlineStr">
        <is>
          <t>Pending</t>
        </is>
      </c>
      <c r="G132" s="3" t="n"/>
      <c r="H132" s="366" t="inlineStr">
        <is>
          <t>Done</t>
        </is>
      </c>
      <c r="I132" s="3" t="n"/>
      <c r="J132" s="3" t="n"/>
    </row>
    <row r="133" ht="24" customHeight="1">
      <c r="B133" s="14" t="inlineStr">
        <is>
          <t>CC_124</t>
        </is>
      </c>
      <c r="C133" s="14" t="inlineStr">
        <is>
          <t>Target Currency - Export Statement</t>
        </is>
      </c>
      <c r="D133" s="12" t="inlineStr">
        <is>
          <t>Verify Statement export for Target Currency - Draft Items.</t>
        </is>
      </c>
      <c r="E133" s="12" t="inlineStr">
        <is>
          <t>Report should be generated and show correct data in fields.</t>
        </is>
      </c>
      <c r="F133" s="26" t="inlineStr">
        <is>
          <t>Pending</t>
        </is>
      </c>
      <c r="G133" s="3" t="n"/>
      <c r="H133" s="366" t="inlineStr">
        <is>
          <t>Done</t>
        </is>
      </c>
      <c r="I133" s="3" t="n"/>
      <c r="J133" s="3" t="n"/>
    </row>
    <row r="134" ht="24" customHeight="1">
      <c r="B134" s="14" t="inlineStr">
        <is>
          <t>CC_125</t>
        </is>
      </c>
      <c r="C134" s="14" t="inlineStr">
        <is>
          <t>Target Currency - Export Statement</t>
        </is>
      </c>
      <c r="D134" s="12" t="inlineStr">
        <is>
          <t>Verify Statement export for Target Currency - Submitted Items.</t>
        </is>
      </c>
      <c r="E134" s="12" t="inlineStr">
        <is>
          <t>Report should be generated and show correct data in fields.</t>
        </is>
      </c>
      <c r="F134" s="26" t="inlineStr">
        <is>
          <t>Pending</t>
        </is>
      </c>
      <c r="G134" s="3" t="n"/>
      <c r="H134" s="366" t="inlineStr">
        <is>
          <t>Done</t>
        </is>
      </c>
      <c r="I134" s="3" t="n"/>
      <c r="J134" s="3" t="n"/>
    </row>
    <row r="135" ht="24" customHeight="1">
      <c r="B135" s="14" t="inlineStr">
        <is>
          <t>CC_126</t>
        </is>
      </c>
      <c r="C135" s="14" t="inlineStr">
        <is>
          <t>Target Currency - Export Statement</t>
        </is>
      </c>
      <c r="D135" s="12" t="inlineStr">
        <is>
          <t>Verify Statement export for Target &amp; Source Currency - Draft Items.</t>
        </is>
      </c>
      <c r="E135" s="12" t="inlineStr">
        <is>
          <t>Report should be generated and show correct data in fields.</t>
        </is>
      </c>
      <c r="F135" s="26" t="inlineStr">
        <is>
          <t>Pending</t>
        </is>
      </c>
      <c r="G135" s="3" t="n"/>
      <c r="H135" s="366" t="inlineStr">
        <is>
          <t>Done</t>
        </is>
      </c>
      <c r="I135" s="3" t="n"/>
      <c r="J135" s="3" t="n"/>
    </row>
    <row r="136" ht="24" customHeight="1">
      <c r="B136" s="14" t="inlineStr">
        <is>
          <t>CC_127</t>
        </is>
      </c>
      <c r="C136" s="14" t="inlineStr">
        <is>
          <t>Target Currency - Export Statement</t>
        </is>
      </c>
      <c r="D136" s="12" t="inlineStr">
        <is>
          <t>Verify Statement export for Target &amp; Source Currency - Submitted Items.</t>
        </is>
      </c>
      <c r="E136" s="12" t="inlineStr">
        <is>
          <t>Report should be generated and show correct data in fields.</t>
        </is>
      </c>
      <c r="F136" s="26" t="inlineStr">
        <is>
          <t>Pending</t>
        </is>
      </c>
      <c r="G136" s="3" t="n"/>
      <c r="H136" s="366" t="inlineStr">
        <is>
          <t>Done</t>
        </is>
      </c>
      <c r="I136" s="3" t="n"/>
      <c r="J136" s="3" t="n"/>
    </row>
    <row r="137" ht="195" customHeight="1">
      <c r="B137" s="14" t="inlineStr">
        <is>
          <t>CC_128</t>
        </is>
      </c>
      <c r="C137" s="14" t="inlineStr">
        <is>
          <t>Target Currency - Export Statement</t>
        </is>
      </c>
      <c r="D137" s="12" t="inlineStr">
        <is>
          <t>Verify Statement export for Target &amp; Source Currency - Draft &amp; Spread Items.</t>
        </is>
      </c>
      <c r="E137" s="12" t="inlineStr">
        <is>
          <t>Report should be generated and show correct data in fields.</t>
        </is>
      </c>
      <c r="F137" s="26" t="inlineStr">
        <is>
          <t>Pending</t>
        </is>
      </c>
      <c r="G137" s="3" t="n"/>
      <c r="H137" s="366" t="inlineStr">
        <is>
          <t>Done</t>
        </is>
      </c>
      <c r="I137" s="3" t="n"/>
      <c r="J137" s="176" t="inlineStr">
        <is>
          <t xml:space="preserve">Note: In Automation testing we cannot verify the exchange rate value from the cell where value is mapped as it is not readable currently in Cypress also cypress is taking the value as null </t>
        </is>
      </c>
    </row>
    <row r="138" ht="165" customHeight="1">
      <c r="B138" s="125" t="inlineStr">
        <is>
          <t>CC_129 (Newly added)</t>
        </is>
      </c>
      <c r="C138" s="263" t="inlineStr">
        <is>
          <t>Currency Conversion - Spreading Screen Metadata</t>
        </is>
      </c>
      <c r="D138" s="263" t="inlineStr">
        <is>
          <t>1. Create a customer and add an item.
2. While adding the item, fill in all mandatory details including "Source Currency" and "Target Currency", then click the "Add and Save Item" button.
3. On the Existing Item screen, open the item, click the Spread action, and navigate to the Spreading screen.
4. On the Spreading screen, review the Source Currency and Target Currency metadata in the model side panel.</t>
        </is>
      </c>
      <c r="E138" s="107" t="inlineStr">
        <is>
          <t>Both "Source Currency" and "Target Currency", along with the other metadata, should be displayed correctly in the model side panel on the Spreading screen.</t>
        </is>
      </c>
      <c r="F138" s="111" t="inlineStr">
        <is>
          <t>Pending</t>
        </is>
      </c>
      <c r="G138" s="5" t="n"/>
      <c r="H138" s="111" t="inlineStr">
        <is>
          <t>Pending</t>
        </is>
      </c>
      <c r="I138" s="3" t="n"/>
      <c r="J138" s="3" t="n"/>
    </row>
    <row r="139" ht="150" customHeight="1">
      <c r="B139" s="14" t="inlineStr">
        <is>
          <t>CC_130 (Newly added)</t>
        </is>
      </c>
      <c r="C139" s="14" t="inlineStr">
        <is>
          <t>Currency Conversion - View Item Details</t>
        </is>
      </c>
      <c r="D139" s="107" t="inlineStr">
        <is>
          <t>1. Create a customer and add an item.
2. While adding the item, fill in all mandatory details including "Source Currency" and "Target Currency", then click the "Add and Save Item" button.
3. On the Existing Item screen, click the item name.
4. In the View Item Details popup, review the "Target Currency" value.</t>
        </is>
      </c>
      <c r="E139" s="107" t="inlineStr">
        <is>
          <t>The "Target Currency" value should be displayed in the View Item Details popup along with the other metadata.</t>
        </is>
      </c>
      <c r="F139" s="111" t="inlineStr">
        <is>
          <t>Pending</t>
        </is>
      </c>
      <c r="G139" s="5" t="n"/>
      <c r="H139" s="111" t="inlineStr">
        <is>
          <t>Pending</t>
        </is>
      </c>
      <c r="I139" s="3" t="n"/>
      <c r="J139" s="3" t="n"/>
    </row>
  </sheetData>
  <mergeCells count="7">
    <mergeCell ref="B6:C6"/>
    <mergeCell ref="B7:C7"/>
    <mergeCell ref="B2:F2"/>
    <mergeCell ref="B3:C3"/>
    <mergeCell ref="B5:C5"/>
    <mergeCell ref="B8:C8"/>
    <mergeCell ref="B4:C4"/>
  </mergeCells>
  <conditionalFormatting sqref="D3">
    <cfRule type="expression" priority="73" dxfId="51" stopIfTrue="1">
      <formula>AND(COUNTIF($A$8:$A$8, D3)+COUNTIF(#REF!, D3)&gt;1,NOT(ISBLANK(D3)))</formula>
    </cfRule>
  </conditionalFormatting>
  <conditionalFormatting sqref="D4">
    <cfRule type="cellIs" priority="44" operator="lessThan" dxfId="10" stopIfTrue="1">
      <formula>1</formula>
    </cfRule>
  </conditionalFormatting>
  <conditionalFormatting sqref="D4:D8">
    <cfRule type="cellIs" priority="39" operator="greaterThan" dxfId="9" stopIfTrue="1">
      <formula>0</formula>
    </cfRule>
    <cfRule type="cellIs" priority="40" operator="greaterThan" dxfId="9" stopIfTrue="1">
      <formula>1</formula>
    </cfRule>
    <cfRule type="cellIs" priority="41" operator="greaterThan" dxfId="10" stopIfTrue="1">
      <formula>0</formula>
    </cfRule>
    <cfRule type="cellIs" priority="42" operator="greaterThan" dxfId="10" stopIfTrue="1">
      <formula>1</formula>
    </cfRule>
    <cfRule type="cellIs" priority="43" operator="equal" dxfId="9" stopIfTrue="1">
      <formula>$C$3</formula>
    </cfRule>
  </conditionalFormatting>
  <conditionalFormatting sqref="D5:D8">
    <cfRule type="cellIs" priority="32" operator="lessThan" dxfId="10" stopIfTrue="1">
      <formula>1</formula>
    </cfRule>
  </conditionalFormatting>
  <conditionalFormatting sqref="E4">
    <cfRule type="cellIs" priority="71" operator="equal" dxfId="9" stopIfTrue="1">
      <formula>1</formula>
    </cfRule>
    <cfRule type="cellIs" priority="72" operator="lessThan" dxfId="10" stopIfTrue="1">
      <formula>1</formula>
    </cfRule>
  </conditionalFormatting>
  <conditionalFormatting sqref="E5:E8">
    <cfRule type="cellIs" priority="45" operator="equal" dxfId="9" stopIfTrue="1">
      <formula>1</formula>
    </cfRule>
    <cfRule type="cellIs" priority="46" operator="lessThan" dxfId="10" stopIfTrue="1">
      <formula>1</formula>
    </cfRule>
    <cfRule type="cellIs" priority="47" operator="equal" dxfId="9" stopIfTrue="1">
      <formula>1</formula>
    </cfRule>
    <cfRule type="cellIs" priority="48" operator="lessThan" dxfId="10" stopIfTrue="1">
      <formula>1</formula>
    </cfRule>
  </conditionalFormatting>
  <conditionalFormatting sqref="E4:F4">
    <cfRule type="cellIs" priority="67" operator="equal" dxfId="9" stopIfTrue="1">
      <formula>1</formula>
    </cfRule>
    <cfRule type="cellIs" priority="68" operator="lessThan" dxfId="10" stopIfTrue="1">
      <formula>1</formula>
    </cfRule>
  </conditionalFormatting>
  <conditionalFormatting sqref="F4">
    <cfRule type="cellIs" priority="65" operator="equal" dxfId="9" stopIfTrue="1">
      <formula>1</formula>
    </cfRule>
    <cfRule type="cellIs" priority="66" operator="lessThan" dxfId="10" stopIfTrue="1">
      <formula>1</formula>
    </cfRule>
  </conditionalFormatting>
  <conditionalFormatting sqref="F5">
    <cfRule type="cellIs" priority="61" operator="greaterThan" dxfId="10" stopIfTrue="1">
      <formula>0</formula>
    </cfRule>
    <cfRule type="cellIs" priority="62" operator="equal" dxfId="9" stopIfTrue="1">
      <formula>0</formula>
    </cfRule>
    <cfRule type="cellIs" priority="63" operator="greaterThan" dxfId="10" stopIfTrue="1">
      <formula>0</formula>
    </cfRule>
    <cfRule type="cellIs" priority="64" operator="equal" dxfId="9" stopIfTrue="1">
      <formula>0</formula>
    </cfRule>
  </conditionalFormatting>
  <conditionalFormatting sqref="F6">
    <cfRule type="cellIs" priority="59" operator="equal" dxfId="9" stopIfTrue="1">
      <formula>0</formula>
    </cfRule>
    <cfRule type="cellIs" priority="60" operator="greaterThan" dxfId="22" stopIfTrue="1">
      <formula>0</formula>
    </cfRule>
  </conditionalFormatting>
  <conditionalFormatting sqref="F6:F7">
    <cfRule type="cellIs" priority="55" operator="equal" dxfId="9" stopIfTrue="1">
      <formula>0</formula>
    </cfRule>
    <cfRule type="cellIs" priority="56" operator="greaterThan" dxfId="22" stopIfTrue="1">
      <formula>0</formula>
    </cfRule>
  </conditionalFormatting>
  <conditionalFormatting sqref="F7:F8">
    <cfRule type="cellIs" priority="51" operator="equal" dxfId="9" stopIfTrue="1">
      <formula>0</formula>
    </cfRule>
    <cfRule type="cellIs" priority="52" operator="greaterThan" dxfId="22" stopIfTrue="1">
      <formula>0</formula>
    </cfRule>
  </conditionalFormatting>
  <conditionalFormatting sqref="F8">
    <cfRule type="cellIs" priority="49" operator="equal" dxfId="9" stopIfTrue="1">
      <formula>0</formula>
    </cfRule>
    <cfRule type="cellIs" priority="50" operator="greaterThan" dxfId="22" stopIfTrue="1">
      <formula>0</formula>
    </cfRule>
  </conditionalFormatting>
  <conditionalFormatting sqref="F10:F139">
    <cfRule type="cellIs" priority="10" operator="equal" dxfId="6" stopIfTrue="1">
      <formula>"NA"</formula>
    </cfRule>
    <cfRule type="cellIs" priority="11" operator="equal" dxfId="5" stopIfTrue="1">
      <formula>"Blocked"</formula>
    </cfRule>
    <cfRule type="cellIs" priority="12" operator="equal" dxfId="4" stopIfTrue="1">
      <formula>"Pending"</formula>
    </cfRule>
    <cfRule type="cellIs" priority="13" operator="equal" dxfId="0" stopIfTrue="1">
      <formula>"Passed"</formula>
    </cfRule>
    <cfRule type="cellIs" priority="14" operator="equal" dxfId="1" stopIfTrue="1">
      <formula>"Failed"</formula>
    </cfRule>
    <cfRule type="cellIs" priority="15" operator="equal" dxfId="1" stopIfTrue="1">
      <formula>"Fail"</formula>
    </cfRule>
    <cfRule type="cellIs" priority="16" operator="equal" dxfId="0" stopIfTrue="1">
      <formula>"Pass"</formula>
    </cfRule>
  </conditionalFormatting>
  <conditionalFormatting sqref="G5:G8">
    <cfRule type="cellIs" priority="26" operator="lessThan" dxfId="10" stopIfTrue="1">
      <formula>1</formula>
    </cfRule>
    <cfRule type="cellIs" priority="27" operator="greaterThan" dxfId="9" stopIfTrue="1">
      <formula>0</formula>
    </cfRule>
    <cfRule type="cellIs" priority="28" operator="greaterThan" dxfId="9" stopIfTrue="1">
      <formula>1</formula>
    </cfRule>
    <cfRule type="cellIs" priority="29" operator="greaterThan" dxfId="10" stopIfTrue="1">
      <formula>0</formula>
    </cfRule>
    <cfRule type="cellIs" priority="30" operator="greaterThan" dxfId="10" stopIfTrue="1">
      <formula>1</formula>
    </cfRule>
    <cfRule type="cellIs" priority="31" operator="equal" dxfId="9" stopIfTrue="1">
      <formula>$C$3</formula>
    </cfRule>
  </conditionalFormatting>
  <conditionalFormatting sqref="H10:H139">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H10:H139" showDropDown="0" showInputMessage="1" showErrorMessage="1" allowBlank="1" type="list">
      <formula1>"Done,Blocked,Pending,Out of Scope"</formula1>
    </dataValidation>
    <dataValidation sqref="F10:F139" showDropDown="0" showInputMessage="1" showErrorMessage="1" allowBlank="1" type="list">
      <formula1>"Passed,Failed,Blocked,Pending,NA"</formula1>
    </dataValidation>
  </dataValidations>
  <pageMargins left="0.7" right="0.7" top="0.75" bottom="0.75" header="0.3" footer="0.3"/>
  <headerFooter>
    <oddHeader/>
    <oddFooter>&amp;L&amp;"Calibri"&amp;10 &amp;K000000_x000d_# Sensitivity: Public</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B2:J81"/>
  <sheetViews>
    <sheetView showGridLines="0" topLeftCell="D1" workbookViewId="0">
      <selection activeCell="G13" sqref="G13"/>
    </sheetView>
  </sheetViews>
  <sheetFormatPr baseColWidth="8" defaultRowHeight="15"/>
  <cols>
    <col width="5" customWidth="1" min="1" max="1"/>
    <col width="11.85546875" customWidth="1" min="2" max="2"/>
    <col width="27.5703125" customWidth="1" min="3" max="3"/>
    <col width="44.7109375" customWidth="1" min="4" max="5"/>
    <col width="14.28515625" customWidth="1" min="7" max="7"/>
    <col width="18.7109375" customWidth="1" min="8" max="8"/>
    <col width="14.28515625" customWidth="1" min="9" max="9"/>
    <col width="16.5703125" customWidth="1" min="10"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COUNTIF(F9:F87,"Passed")</f>
        <v/>
      </c>
      <c r="E4" s="53">
        <f>IF(D4=0,,(D4/(D4+D5)))</f>
        <v/>
      </c>
      <c r="F4" s="51">
        <f>IF(D3=0,,(D4/D3))</f>
        <v/>
      </c>
      <c r="G4" s="156">
        <f>COUNTIF(H10:H493,"Done")</f>
        <v/>
      </c>
    </row>
    <row r="5" ht="15.75" customHeight="1" thickBot="1">
      <c r="B5" s="350" t="inlineStr">
        <is>
          <t>Failed</t>
        </is>
      </c>
      <c r="D5" s="52">
        <f>COUNTIF(F9:F87,"Failed")</f>
        <v/>
      </c>
      <c r="E5" s="53">
        <f>IF(D5=0,,(D5/(D5+D6)))</f>
        <v/>
      </c>
      <c r="F5" s="51">
        <f>IF(D3=0,,(D5/D3))</f>
        <v/>
      </c>
      <c r="G5" s="52">
        <f>COUNTIF(H10:H493,"Failed")</f>
        <v/>
      </c>
    </row>
    <row r="6" ht="15.75" customHeight="1" thickBot="1">
      <c r="B6" s="350" t="inlineStr">
        <is>
          <t>Blocked</t>
        </is>
      </c>
      <c r="D6" s="52">
        <f>COUNTIF(F9:F87,"Blocked")</f>
        <v/>
      </c>
      <c r="E6" s="53">
        <f>IF(D6=0,,(D6/(D6+D7)))</f>
        <v/>
      </c>
      <c r="F6" s="51">
        <f>IF(D3=0,,(D6/D3))</f>
        <v/>
      </c>
      <c r="G6" s="52">
        <f>COUNTIF(H10:H493,"Blocked")</f>
        <v/>
      </c>
    </row>
    <row r="7" ht="15.75" customHeight="1" thickBot="1">
      <c r="B7" s="350" t="inlineStr">
        <is>
          <t>Pending</t>
        </is>
      </c>
      <c r="D7" s="52">
        <f>COUNTIF(F9:F87,"Pending")</f>
        <v/>
      </c>
      <c r="E7" s="53">
        <f>IF(D7=0,,(D7/(D7+D8)))</f>
        <v/>
      </c>
      <c r="F7" s="51">
        <f>IF(D3=0,,(D7/D3))</f>
        <v/>
      </c>
      <c r="G7" s="52">
        <f>COUNTIF(H10:H493,"Pending")</f>
        <v/>
      </c>
    </row>
    <row r="8" ht="15.75" customHeight="1" thickBot="1">
      <c r="B8" s="350" t="inlineStr">
        <is>
          <t>Not Applicable</t>
        </is>
      </c>
      <c r="D8" s="52">
        <f>COUNTIF(F9:F87,"Not Applicable")</f>
        <v/>
      </c>
      <c r="E8" s="53">
        <f>IF(D8=0,,(D8/(D8+#REF!)))</f>
        <v/>
      </c>
      <c r="F8" s="51">
        <f>IF(D3=0,,(D8/D3))</f>
        <v/>
      </c>
      <c r="G8" s="52">
        <f>COUNTIF(H10:H493,"Out of Scope")</f>
        <v/>
      </c>
    </row>
    <row r="9" ht="15.75" customHeight="1" thickBot="1">
      <c r="B9" s="9" t="inlineStr">
        <is>
          <t>S.No.</t>
        </is>
      </c>
      <c r="C9" s="8" t="inlineStr">
        <is>
          <t>Module/Sub-Module</t>
        </is>
      </c>
      <c r="D9" s="10" t="inlineStr">
        <is>
          <t>Test Steps</t>
        </is>
      </c>
      <c r="E9" s="8" t="inlineStr">
        <is>
          <t>Expected Results</t>
        </is>
      </c>
      <c r="F9" s="8" t="inlineStr">
        <is>
          <t>Result</t>
        </is>
      </c>
      <c r="G9" s="8" t="inlineStr">
        <is>
          <t>Bug ID</t>
        </is>
      </c>
      <c r="H9" s="8" t="inlineStr">
        <is>
          <t>Automation Status</t>
        </is>
      </c>
      <c r="I9" s="8" t="inlineStr">
        <is>
          <t>Mapped Scripts</t>
        </is>
      </c>
      <c r="J9" s="2" t="inlineStr">
        <is>
          <t>Comments</t>
        </is>
      </c>
    </row>
    <row r="10">
      <c r="B10" s="133" t="inlineStr">
        <is>
          <t>AIML_001</t>
        </is>
      </c>
      <c r="C10" s="11" t="inlineStr">
        <is>
          <t>AI/ML Tagging Data</t>
        </is>
      </c>
      <c r="D10" s="11" t="inlineStr">
        <is>
          <t>Open Admin &gt; AIML Training Model.</t>
        </is>
      </c>
      <c r="E10" s="12" t="inlineStr">
        <is>
          <t>The menu should open.</t>
        </is>
      </c>
      <c r="F10" s="26" t="inlineStr">
        <is>
          <t>Pending</t>
        </is>
      </c>
      <c r="G10" s="7" t="n"/>
      <c r="H10" s="154" t="inlineStr">
        <is>
          <t>Pending</t>
        </is>
      </c>
      <c r="I10" s="148" t="n">
        <v>0.5</v>
      </c>
      <c r="J10" s="55" t="n"/>
    </row>
    <row r="11">
      <c r="B11" s="133" t="inlineStr">
        <is>
          <t>AIML_002</t>
        </is>
      </c>
      <c r="C11" s="13" t="inlineStr">
        <is>
          <t>AI/ML Tagging Data</t>
        </is>
      </c>
      <c r="D11" s="13" t="inlineStr">
        <is>
          <t>Tagging Data &gt; click File Upload option.</t>
        </is>
      </c>
      <c r="E11" s="14" t="inlineStr">
        <is>
          <t>File Upload popup should appear.</t>
        </is>
      </c>
      <c r="F11" s="26" t="inlineStr">
        <is>
          <t>Pending</t>
        </is>
      </c>
      <c r="G11" s="3" t="n"/>
      <c r="H11" s="366" t="inlineStr">
        <is>
          <t>Pending</t>
        </is>
      </c>
      <c r="I11" s="149" t="n">
        <v>0.5</v>
      </c>
      <c r="J11" s="55" t="n"/>
    </row>
    <row r="12" ht="24" customHeight="1">
      <c r="B12" s="133" t="inlineStr">
        <is>
          <t>AIML_003</t>
        </is>
      </c>
      <c r="C12" s="13" t="inlineStr">
        <is>
          <t>AI/ML Tagging Data</t>
        </is>
      </c>
      <c r="D12" s="13" t="inlineStr">
        <is>
          <t>Verify that the user gets a popup to select the language of the selected file.</t>
        </is>
      </c>
      <c r="E12" s="14" t="inlineStr">
        <is>
          <t>Language should be selected.</t>
        </is>
      </c>
      <c r="F12" s="26" t="inlineStr">
        <is>
          <t>Pending</t>
        </is>
      </c>
      <c r="G12" s="3" t="n"/>
      <c r="H12" s="366" t="inlineStr">
        <is>
          <t>Pending</t>
        </is>
      </c>
      <c r="I12" s="149" t="n">
        <v>0.5</v>
      </c>
      <c r="J12" s="55" t="n"/>
    </row>
    <row r="13" ht="24" customHeight="1">
      <c r="B13" s="133" t="inlineStr">
        <is>
          <t>AIML_004</t>
        </is>
      </c>
      <c r="C13" s="13" t="inlineStr">
        <is>
          <t>AI/ML Tagging Data</t>
        </is>
      </c>
      <c r="D13" s="13" t="inlineStr">
        <is>
          <t>Verify that the user can browse through the local folders when clicked on Choose files.</t>
        </is>
      </c>
      <c r="E13" s="14" t="inlineStr">
        <is>
          <t>The user should be able to browse through the local folders when clicked on Choose files.</t>
        </is>
      </c>
      <c r="F13" s="26" t="inlineStr">
        <is>
          <t>Pending</t>
        </is>
      </c>
      <c r="G13" s="3" t="n"/>
      <c r="H13" s="366" t="inlineStr">
        <is>
          <t>Pending</t>
        </is>
      </c>
      <c r="I13" s="149" t="n">
        <v>0.5</v>
      </c>
      <c r="J13" s="55" t="n"/>
    </row>
    <row r="14" ht="24" customHeight="1">
      <c r="B14" s="133" t="inlineStr">
        <is>
          <t>AIML_005</t>
        </is>
      </c>
      <c r="C14" s="13" t="inlineStr">
        <is>
          <t>AI/ML Tagging Data</t>
        </is>
      </c>
      <c r="D14" s="13" t="inlineStr">
        <is>
          <t>Verify that the user can select only image or PDF files.</t>
        </is>
      </c>
      <c r="E14" s="14" t="inlineStr">
        <is>
          <t>The user should be allowed to select either image or PDF files only.</t>
        </is>
      </c>
      <c r="F14" s="26" t="inlineStr">
        <is>
          <t>Pending</t>
        </is>
      </c>
      <c r="G14" s="3" t="n"/>
      <c r="H14" s="366" t="inlineStr">
        <is>
          <t>Pending</t>
        </is>
      </c>
      <c r="I14" s="149" t="n">
        <v>0.5</v>
      </c>
      <c r="J14" s="55" t="n"/>
    </row>
    <row r="15" ht="24" customHeight="1">
      <c r="B15" s="133" t="inlineStr">
        <is>
          <t>AIML_006</t>
        </is>
      </c>
      <c r="C15" s="13" t="inlineStr">
        <is>
          <t>AI/ML Tagging Data</t>
        </is>
      </c>
      <c r="D15" s="97" t="inlineStr">
        <is>
          <t>Search functionality on file name and other filters on the screen.</t>
        </is>
      </c>
      <c r="E15" s="14" t="inlineStr">
        <is>
          <t>Search functionality on file name and other filters on the screen.</t>
        </is>
      </c>
      <c r="F15" s="26" t="inlineStr">
        <is>
          <t>Pending</t>
        </is>
      </c>
      <c r="G15" s="3" t="n"/>
      <c r="H15" s="366" t="inlineStr">
        <is>
          <t>Pending</t>
        </is>
      </c>
      <c r="I15" s="149" t="n">
        <v>0.5</v>
      </c>
      <c r="J15" s="55" t="n"/>
    </row>
    <row r="16" ht="24" customHeight="1">
      <c r="B16" s="133" t="inlineStr">
        <is>
          <t>AIML_007</t>
        </is>
      </c>
      <c r="C16" s="13" t="inlineStr">
        <is>
          <t>AI/ML Tagging Data</t>
        </is>
      </c>
      <c r="D16" s="13" t="inlineStr">
        <is>
          <t>Action of delete, tag and log to be provided along with processing and File Upload columns.</t>
        </is>
      </c>
      <c r="E16" s="14" t="inlineStr">
        <is>
          <t>The system should action of delete, tag and log to be provided along with processing and File Upload columns.</t>
        </is>
      </c>
      <c r="F16" s="26" t="inlineStr">
        <is>
          <t>Pending</t>
        </is>
      </c>
      <c r="G16" s="3" t="n"/>
      <c r="H16" s="366" t="inlineStr">
        <is>
          <t>Pending</t>
        </is>
      </c>
      <c r="I16" s="149" t="n">
        <v>0.5</v>
      </c>
      <c r="J16" s="55" t="n"/>
    </row>
    <row r="17">
      <c r="B17" s="133" t="inlineStr">
        <is>
          <t>AIML_008</t>
        </is>
      </c>
      <c r="C17" s="13" t="inlineStr">
        <is>
          <t>AI/ML Tagging Data</t>
        </is>
      </c>
      <c r="D17" s="13" t="inlineStr">
        <is>
          <t>Select any uploaded file &gt; click Tag option.</t>
        </is>
      </c>
      <c r="E17" s="14" t="inlineStr">
        <is>
          <t>Tagging screen should be launched.</t>
        </is>
      </c>
      <c r="F17" s="26" t="inlineStr">
        <is>
          <t>Pending</t>
        </is>
      </c>
      <c r="G17" s="3" t="n"/>
      <c r="H17" s="366" t="inlineStr">
        <is>
          <t>Pending</t>
        </is>
      </c>
      <c r="I17" s="149" t="n">
        <v>0.5</v>
      </c>
      <c r="J17" s="55" t="n"/>
    </row>
    <row r="18" ht="24" customHeight="1">
      <c r="B18" s="133" t="inlineStr">
        <is>
          <t>AIML_009</t>
        </is>
      </c>
      <c r="C18" s="13" t="inlineStr">
        <is>
          <t>AI/ML Tagging Data</t>
        </is>
      </c>
      <c r="D18" s="13" t="inlineStr">
        <is>
          <t>Detect table in tagging screen &gt; Set zone.</t>
        </is>
      </c>
      <c r="E18" s="14" t="inlineStr">
        <is>
          <t>Tool should allow the admin user to tag the tables with zone name.</t>
        </is>
      </c>
      <c r="F18" s="26" t="inlineStr">
        <is>
          <t>Pending</t>
        </is>
      </c>
      <c r="G18" s="3" t="n"/>
      <c r="H18" s="366" t="inlineStr">
        <is>
          <t>Pending</t>
        </is>
      </c>
      <c r="I18" s="149" t="n">
        <v>0.5</v>
      </c>
      <c r="J18" s="55" t="n"/>
    </row>
    <row r="19" ht="48" customHeight="1">
      <c r="B19" s="133" t="inlineStr">
        <is>
          <t>AIML_010</t>
        </is>
      </c>
      <c r="C19" s="13" t="inlineStr">
        <is>
          <t>AI/ML Tagging Data</t>
        </is>
      </c>
      <c r="D19" s="13" t="inlineStr">
        <is>
          <t>Add Title &gt; Title to be added manually by the user in text box provided next to zone name box of the table identified.</t>
        </is>
      </c>
      <c r="E19" s="14" t="inlineStr">
        <is>
          <t>The user should be able to add title which will be submitted to database for training of AI/ML model.</t>
        </is>
      </c>
      <c r="F19" s="26" t="inlineStr">
        <is>
          <t>Pending</t>
        </is>
      </c>
      <c r="G19" s="3" t="n"/>
      <c r="H19" s="366" t="inlineStr">
        <is>
          <t>Pending</t>
        </is>
      </c>
      <c r="I19" s="149" t="n">
        <v>1</v>
      </c>
      <c r="J19" s="55" t="n"/>
    </row>
    <row r="20" ht="60" customHeight="1">
      <c r="B20" s="133" t="inlineStr">
        <is>
          <t>AIML_011</t>
        </is>
      </c>
      <c r="C20" s="13" t="inlineStr">
        <is>
          <t>AI/ML Tagging Data</t>
        </is>
      </c>
      <c r="D20" s="13" t="inlineStr">
        <is>
          <t>Multiple Titles to be allowed to be added with a separator.
Line items of each tagged zone to be automatically picked by the system for training purposes.</t>
        </is>
      </c>
      <c r="E20" s="14" t="inlineStr">
        <is>
          <t>The user should be able to add multiple titles for a zone.</t>
        </is>
      </c>
      <c r="F20" s="26" t="inlineStr">
        <is>
          <t>Pending</t>
        </is>
      </c>
      <c r="G20" s="3" t="n"/>
      <c r="H20" s="366" t="inlineStr">
        <is>
          <t>Pending</t>
        </is>
      </c>
      <c r="I20" s="149" t="n">
        <v>1</v>
      </c>
      <c r="J20" s="55" t="n"/>
    </row>
    <row r="21" ht="24" customHeight="1">
      <c r="B21" s="133" t="inlineStr">
        <is>
          <t>AIML_012</t>
        </is>
      </c>
      <c r="C21" s="13" t="inlineStr">
        <is>
          <t>AI/ML Tagging Data</t>
        </is>
      </c>
      <c r="D21" s="13" t="inlineStr">
        <is>
          <t>Set zone for any table &gt; click Line item &gt; edit via visual cue.</t>
        </is>
      </c>
      <c r="E21" s="14" t="inlineStr">
        <is>
          <t>Visual cue editing is required for line items only.</t>
        </is>
      </c>
      <c r="F21" s="26" t="inlineStr">
        <is>
          <t>Pending</t>
        </is>
      </c>
      <c r="G21" s="3" t="n"/>
      <c r="H21" s="366" t="inlineStr">
        <is>
          <t>Pending</t>
        </is>
      </c>
      <c r="I21" s="149" t="n">
        <v>1</v>
      </c>
      <c r="J21" s="55" t="n"/>
    </row>
    <row r="22" ht="48" customHeight="1">
      <c r="B22" s="133" t="inlineStr">
        <is>
          <t>AIML_013</t>
        </is>
      </c>
      <c r="C22" s="13" t="inlineStr">
        <is>
          <t>AI/ML Tagging Data</t>
        </is>
      </c>
      <c r="D22" s="13" t="inlineStr">
        <is>
          <t>Error log button is required to show 2 errors missing line item column and zone name and navigation for each error to be provided.</t>
        </is>
      </c>
      <c r="E22" s="14" t="inlineStr">
        <is>
          <t>Error logs should be present for error and navigate properly.</t>
        </is>
      </c>
      <c r="F22" s="26" t="inlineStr">
        <is>
          <t>Pending</t>
        </is>
      </c>
      <c r="G22" s="3" t="n"/>
      <c r="H22" s="366" t="inlineStr">
        <is>
          <t>Pending</t>
        </is>
      </c>
      <c r="I22" s="149" t="n">
        <v>1</v>
      </c>
      <c r="J22" s="55" t="n"/>
    </row>
    <row r="23" ht="48" customHeight="1">
      <c r="B23" s="133" t="inlineStr">
        <is>
          <t>AIML_014</t>
        </is>
      </c>
      <c r="C23" s="13" t="inlineStr">
        <is>
          <t>AI/ML Tagging Data</t>
        </is>
      </c>
      <c r="D23" s="13" t="inlineStr">
        <is>
          <t>If zone title is missing then warning will come at submit option which user can ignore and submit or make required changes by adding the title.</t>
        </is>
      </c>
      <c r="E23" s="14" t="inlineStr">
        <is>
          <t>If zone title is missing then warning will come at submit option which user can ignore and submit or make required changes by adding the title.</t>
        </is>
      </c>
      <c r="F23" s="26" t="inlineStr">
        <is>
          <t>Pending</t>
        </is>
      </c>
      <c r="G23" s="3" t="n"/>
      <c r="H23" s="366" t="inlineStr">
        <is>
          <t>Pending</t>
        </is>
      </c>
      <c r="I23" s="149" t="n">
        <v>1</v>
      </c>
      <c r="J23" s="55" t="n"/>
    </row>
    <row r="24" ht="36" customHeight="1">
      <c r="B24" s="133" t="inlineStr">
        <is>
          <t>AIML_015</t>
        </is>
      </c>
      <c r="C24" s="13" t="inlineStr">
        <is>
          <t>AI/ML Tagging Data</t>
        </is>
      </c>
      <c r="D24" s="13" t="inlineStr">
        <is>
          <t>Number format dropdowns and option to change are not required above the pdf.</t>
        </is>
      </c>
      <c r="E24" s="14" t="inlineStr">
        <is>
          <t>No such options should be present.</t>
        </is>
      </c>
      <c r="F24" s="26" t="inlineStr">
        <is>
          <t>Pending</t>
        </is>
      </c>
      <c r="G24" s="3" t="n"/>
      <c r="H24" s="366" t="inlineStr">
        <is>
          <t>Pending</t>
        </is>
      </c>
      <c r="I24" s="149" t="n">
        <v>1</v>
      </c>
      <c r="J24" s="55" t="n"/>
    </row>
    <row r="25" ht="24" customHeight="1">
      <c r="B25" s="133" t="inlineStr">
        <is>
          <t>AIML_016</t>
        </is>
      </c>
      <c r="C25" s="13" t="inlineStr">
        <is>
          <t>AI/ML Tagging Data</t>
        </is>
      </c>
      <c r="D25" s="13" t="inlineStr">
        <is>
          <t>Right-click any column &gt; Right clicks to enable line item columns only, no other actions are required.</t>
        </is>
      </c>
      <c r="E25" s="14" t="inlineStr">
        <is>
          <t>Only Set Line Item option should be present.</t>
        </is>
      </c>
      <c r="F25" s="26" t="inlineStr">
        <is>
          <t>Pending</t>
        </is>
      </c>
      <c r="G25" s="3" t="n"/>
      <c r="H25" s="366" t="inlineStr">
        <is>
          <t>Pending</t>
        </is>
      </c>
      <c r="I25" s="149" t="n">
        <v>1</v>
      </c>
      <c r="J25" s="55" t="n"/>
    </row>
    <row r="26" ht="36" customHeight="1">
      <c r="B26" s="133" t="inlineStr">
        <is>
          <t>AIML_017</t>
        </is>
      </c>
      <c r="C26" s="13" t="inlineStr">
        <is>
          <t>AI/ML Tagging Data</t>
        </is>
      </c>
      <c r="D26" s="13" t="inlineStr">
        <is>
          <t>Model mapping is not required to submit the training data.</t>
        </is>
      </c>
      <c r="E26" s="14" t="inlineStr">
        <is>
          <t>Mapping should not be allowed/required.</t>
        </is>
      </c>
      <c r="F26" s="26" t="inlineStr">
        <is>
          <t>Pending</t>
        </is>
      </c>
      <c r="G26" s="3" t="n"/>
      <c r="H26" s="366" t="inlineStr">
        <is>
          <t>Pending</t>
        </is>
      </c>
      <c r="I26" s="149" t="n">
        <v>1</v>
      </c>
      <c r="J26" s="55" t="n"/>
    </row>
    <row r="27" ht="36" customHeight="1">
      <c r="B27" s="133" t="inlineStr">
        <is>
          <t>AIML_018</t>
        </is>
      </c>
      <c r="C27" s="13" t="inlineStr">
        <is>
          <t>AI/ML Tagging Data</t>
        </is>
      </c>
      <c r="D27" s="13" t="inlineStr">
        <is>
          <t>Submission of zone title is non-mandatory for submission of data.</t>
        </is>
      </c>
      <c r="E27" s="14" t="inlineStr">
        <is>
          <t>Titles should not be mandatory for submitting data.</t>
        </is>
      </c>
      <c r="F27" s="26" t="inlineStr">
        <is>
          <t>Pending</t>
        </is>
      </c>
      <c r="G27" s="3" t="n"/>
      <c r="H27" s="366" t="inlineStr">
        <is>
          <t>Pending</t>
        </is>
      </c>
      <c r="I27" s="149" t="n">
        <v>1</v>
      </c>
      <c r="J27" s="55" t="n"/>
    </row>
    <row r="28" ht="36" customHeight="1">
      <c r="B28" s="133" t="inlineStr">
        <is>
          <t>AIML_019</t>
        </is>
      </c>
      <c r="C28" s="13" t="inlineStr">
        <is>
          <t>AI/ML Tagging Data</t>
        </is>
      </c>
      <c r="D28" s="14" t="inlineStr">
        <is>
          <t>Verify that the user can submit the data with a click of a button and there should be a success message.</t>
        </is>
      </c>
      <c r="E28" s="14" t="inlineStr">
        <is>
          <t>The user should be able to submit the spread.</t>
        </is>
      </c>
      <c r="F28" s="26" t="inlineStr">
        <is>
          <t>Pending</t>
        </is>
      </c>
      <c r="G28" s="3" t="n"/>
      <c r="H28" s="366" t="inlineStr">
        <is>
          <t>Pending</t>
        </is>
      </c>
      <c r="I28" s="149" t="n">
        <v>1</v>
      </c>
      <c r="J28" s="55" t="n"/>
    </row>
    <row r="29" ht="24" customHeight="1">
      <c r="B29" s="133" t="inlineStr">
        <is>
          <t>AIML_020</t>
        </is>
      </c>
      <c r="C29" s="13" t="inlineStr">
        <is>
          <t>AI/ML Tagging Data</t>
        </is>
      </c>
      <c r="D29" s="14" t="inlineStr">
        <is>
          <t>Verify Save as draft and Submit options.</t>
        </is>
      </c>
      <c r="E29" s="14" t="inlineStr">
        <is>
          <t>Save and submit option to be available.</t>
        </is>
      </c>
      <c r="F29" s="26" t="inlineStr">
        <is>
          <t>Pending</t>
        </is>
      </c>
      <c r="G29" s="3" t="n"/>
      <c r="H29" s="366" t="inlineStr">
        <is>
          <t>Pending</t>
        </is>
      </c>
      <c r="I29" s="149" t="n">
        <v>0.5</v>
      </c>
      <c r="J29" s="55" t="n"/>
    </row>
    <row r="30" ht="24" customHeight="1">
      <c r="B30" s="133" t="inlineStr">
        <is>
          <t>AIML_021</t>
        </is>
      </c>
      <c r="C30" s="13" t="inlineStr">
        <is>
          <t>AI/ML Tagging Data</t>
        </is>
      </c>
      <c r="D30" s="14" t="inlineStr">
        <is>
          <t>On submitting &gt; verify the status of File.</t>
        </is>
      </c>
      <c r="E30" s="14" t="inlineStr">
        <is>
          <t>Status should be changed from received to submitted state.</t>
        </is>
      </c>
      <c r="F30" s="26" t="inlineStr">
        <is>
          <t>Pending</t>
        </is>
      </c>
      <c r="G30" s="3" t="n"/>
      <c r="H30" s="366" t="inlineStr">
        <is>
          <t>Pending</t>
        </is>
      </c>
      <c r="I30" s="149" t="n">
        <v>0.5</v>
      </c>
      <c r="J30" s="55" t="n"/>
    </row>
    <row r="31" ht="96" customHeight="1">
      <c r="B31" s="133" t="inlineStr">
        <is>
          <t>AIML_022</t>
        </is>
      </c>
      <c r="C31" s="13" t="inlineStr">
        <is>
          <t>AI/ML Tagging Data - Pending Files</t>
        </is>
      </c>
      <c r="D31" s="14" t="inlineStr">
        <is>
          <t>Create New Global Zone.
Create new Customer &gt; add item &gt; Spreading screen.
Map newly added zone in tables.
Submit spread.
Login as a Admin user &gt; go to AIML Tagging screen.
Pending files tab &gt; Observe file should be present.
Click Tag &gt; click zone.</t>
        </is>
      </c>
      <c r="E31" s="14" t="inlineStr">
        <is>
          <t>Global Zone should be created.
The item should be created and zone should be mapped.
In Pending files tab, newly added file should be present.
Zone should be displayed in Zone overlay.</t>
        </is>
      </c>
      <c r="F31" s="26" t="inlineStr">
        <is>
          <t>Pending</t>
        </is>
      </c>
      <c r="G31" s="3" t="inlineStr">
        <is>
          <t>Newly Added</t>
        </is>
      </c>
      <c r="H31" s="366" t="inlineStr">
        <is>
          <t>Pending</t>
        </is>
      </c>
      <c r="I31" s="149" t="n">
        <v>1</v>
      </c>
      <c r="J31" s="55" t="n"/>
    </row>
    <row r="32" ht="63.75" customHeight="1">
      <c r="B32" s="133" t="inlineStr">
        <is>
          <t>AIML_023</t>
        </is>
      </c>
      <c r="C32" s="13" t="inlineStr">
        <is>
          <t>AI/ML Tagging Data - Pending Files</t>
        </is>
      </c>
      <c r="D32" s="14" t="inlineStr">
        <is>
          <t>Select any old customer &gt; add item.
Set newly added zone &gt; map values &gt; submit spread.
Admin &gt; Tagging Data &gt; Pending files tab &gt; Tag screen &gt; zone.
Observe existing zones and newly added zones.</t>
        </is>
      </c>
      <c r="E32" s="14" t="inlineStr">
        <is>
          <t>Newly added and untrained(old) zone should be displayed in pending files.</t>
        </is>
      </c>
      <c r="F32" s="26" t="inlineStr">
        <is>
          <t>Pending</t>
        </is>
      </c>
      <c r="G32" s="3" t="inlineStr">
        <is>
          <t>Newly Added</t>
        </is>
      </c>
      <c r="H32" s="366" t="inlineStr">
        <is>
          <t>Pending</t>
        </is>
      </c>
      <c r="I32" s="149" t="n">
        <v>1</v>
      </c>
      <c r="J32" s="55" t="n"/>
    </row>
    <row r="33" ht="48" customHeight="1">
      <c r="B33" s="133" t="inlineStr">
        <is>
          <t>AIML_024</t>
        </is>
      </c>
      <c r="C33" s="13" t="inlineStr">
        <is>
          <t>AI/ML Tagging Data - Pending Files</t>
        </is>
      </c>
      <c r="D33" s="14" t="inlineStr">
        <is>
          <t>Upload 2 files &gt; tag newly added zones.,.
Map values in both 1st and 2nd file &gt; submit spread.
Go to Admin &gt; Tagging Data &gt; select 2nd file &gt; tag.
Click zone &gt; observe no zones drawn popup appears.</t>
        </is>
      </c>
      <c r="E33" s="14" t="inlineStr">
        <is>
          <t>2 different files should be present and zones should be present.</t>
        </is>
      </c>
      <c r="F33" s="26" t="inlineStr">
        <is>
          <t>Pending</t>
        </is>
      </c>
      <c r="G33" s="3" t="inlineStr">
        <is>
          <t>Newly Added</t>
        </is>
      </c>
      <c r="H33" s="366" t="inlineStr">
        <is>
          <t>Pending</t>
        </is>
      </c>
      <c r="I33" s="149" t="n">
        <v>1</v>
      </c>
      <c r="J33" s="55" t="n"/>
    </row>
    <row r="34" ht="60" customHeight="1">
      <c r="B34" s="133" t="inlineStr">
        <is>
          <t>AIML_025</t>
        </is>
      </c>
      <c r="C34" s="13" t="inlineStr">
        <is>
          <t>AI/ML Tagging Data - Pending Files</t>
        </is>
      </c>
      <c r="D34" s="14" t="inlineStr">
        <is>
          <t>Spreading screen &gt; map new zone data &gt; Submit spread For QC.
Submit item from Quality Check screen.
Admin &gt; Tagging Data &gt; select file &gt; tag.
Click zone &gt; observe Zones.</t>
        </is>
      </c>
      <c r="E34" s="14" t="inlineStr">
        <is>
          <t>QC-ed item should be present in Pending files tab. And zone should be present.</t>
        </is>
      </c>
      <c r="F34" s="26" t="inlineStr">
        <is>
          <t>Pending</t>
        </is>
      </c>
      <c r="G34" s="3" t="inlineStr">
        <is>
          <t>Newly Added</t>
        </is>
      </c>
      <c r="H34" s="366" t="inlineStr">
        <is>
          <t>Pending</t>
        </is>
      </c>
      <c r="I34" s="149" t="n">
        <v>1</v>
      </c>
      <c r="J34" s="55" t="n"/>
    </row>
    <row r="35" ht="120" customHeight="1">
      <c r="B35" s="133" t="inlineStr">
        <is>
          <t>AIML_026</t>
        </is>
      </c>
      <c r="C35" s="13" t="inlineStr">
        <is>
          <t>AI/ML Tagging Data - Pending Files</t>
        </is>
      </c>
      <c r="D35" s="14" t="inlineStr">
        <is>
          <t>Precondition : Variance should active in configuration management.
Spreading screen &gt; map new zone data &gt; variance should be breached.
Submit spread &gt; observe item is sent For QC, reason variance.
Submit item from Quality Check screen.
Admin &gt; Tagging Data &gt; select file &gt; tag.
Click zone &gt; observe no zones drawn popup appears.</t>
        </is>
      </c>
      <c r="E35" s="14" t="inlineStr">
        <is>
          <t>QC-ed item should be present in Pending files tab. And zone should be present.</t>
        </is>
      </c>
      <c r="F35" s="26" t="inlineStr">
        <is>
          <t>Pending</t>
        </is>
      </c>
      <c r="G35" s="3" t="inlineStr">
        <is>
          <t>Newly Added</t>
        </is>
      </c>
      <c r="H35" s="366" t="inlineStr">
        <is>
          <t>Pending</t>
        </is>
      </c>
      <c r="I35" s="149" t="n">
        <v>1</v>
      </c>
      <c r="J35" s="55" t="n"/>
    </row>
    <row r="36" ht="60" customHeight="1">
      <c r="B36" s="133" t="inlineStr">
        <is>
          <t>AIML_027</t>
        </is>
      </c>
      <c r="C36" s="13" t="inlineStr">
        <is>
          <t>AI/ML Tagging Data - Pending Files</t>
        </is>
      </c>
      <c r="D36" s="14" t="inlineStr">
        <is>
          <t>Spreading screen &gt; Map values with new zone.
Submit spread &gt; Admin &gt; Tagging Data &gt; Pending files &gt; Submit.
Now Inactive the zone &gt; and verify same file in All files.
Click Tag &gt; zone overlay &gt; observe zone list.</t>
        </is>
      </c>
      <c r="E36" s="14" t="inlineStr">
        <is>
          <t>Inactive should not be present in Zone overlay list.</t>
        </is>
      </c>
      <c r="F36" s="26" t="inlineStr">
        <is>
          <t>Pending</t>
        </is>
      </c>
      <c r="G36" s="3" t="inlineStr">
        <is>
          <t>Newly Added</t>
        </is>
      </c>
      <c r="H36" s="366" t="inlineStr">
        <is>
          <t>Pending</t>
        </is>
      </c>
      <c r="I36" s="149" t="n">
        <v>1</v>
      </c>
      <c r="J36" s="55" t="n"/>
    </row>
    <row r="37" ht="36" customHeight="1">
      <c r="B37" s="133" t="inlineStr">
        <is>
          <t>AIML_028</t>
        </is>
      </c>
      <c r="C37" s="13" t="inlineStr">
        <is>
          <t>AI/ML Tagging Data - Pending Files</t>
        </is>
      </c>
      <c r="D37" s="14" t="inlineStr">
        <is>
          <t>In Pending tab &gt; launch any file.
Observe only those zones should be displayed which are not Active and upload count is not 25 and above.</t>
        </is>
      </c>
      <c r="E37" s="14" t="inlineStr">
        <is>
          <t>In pending files only those zones should be present for which count is not more than.
25.</t>
        </is>
      </c>
      <c r="F37" s="26" t="inlineStr">
        <is>
          <t>Pending</t>
        </is>
      </c>
      <c r="G37" s="3" t="inlineStr">
        <is>
          <t>Newly Added</t>
        </is>
      </c>
      <c r="H37" s="366" t="inlineStr">
        <is>
          <t>Pending</t>
        </is>
      </c>
      <c r="I37" s="149" t="n">
        <v>1</v>
      </c>
      <c r="J37" s="55" t="n"/>
    </row>
    <row r="38">
      <c r="B38" s="133" t="inlineStr">
        <is>
          <t>AIML_029</t>
        </is>
      </c>
      <c r="C38" s="13" t="inlineStr">
        <is>
          <t>Excel Upload</t>
        </is>
      </c>
      <c r="D38" s="15" t="inlineStr">
        <is>
          <t>AI/ML Training Model &gt; Excel upload.</t>
        </is>
      </c>
      <c r="E38" s="15" t="inlineStr">
        <is>
          <t>Excel iupload screen should be displayed.</t>
        </is>
      </c>
      <c r="F38" s="26" t="inlineStr">
        <is>
          <t>Pending</t>
        </is>
      </c>
      <c r="G38" s="3" t="n"/>
      <c r="H38" s="366" t="inlineStr">
        <is>
          <t>Pending</t>
        </is>
      </c>
      <c r="I38" s="149" t="n">
        <v>1</v>
      </c>
      <c r="J38" s="55" t="n"/>
    </row>
    <row r="39" ht="26.25" customHeight="1">
      <c r="B39" s="133" t="inlineStr">
        <is>
          <t>AIML_030</t>
        </is>
      </c>
      <c r="C39" s="13" t="inlineStr">
        <is>
          <t>Excel Upload</t>
        </is>
      </c>
      <c r="D39" s="15" t="inlineStr">
        <is>
          <t>For the first time, click download template and upload data in the mentioned format.</t>
        </is>
      </c>
      <c r="E39" s="15" t="inlineStr">
        <is>
          <t>The user should be able to upload data via template.</t>
        </is>
      </c>
      <c r="F39" s="26" t="inlineStr">
        <is>
          <t>Pending</t>
        </is>
      </c>
      <c r="G39" s="3" t="n"/>
      <c r="H39" s="366" t="inlineStr">
        <is>
          <t>Pending</t>
        </is>
      </c>
      <c r="I39" s="149" t="n">
        <v>0.5</v>
      </c>
      <c r="J39" s="55" t="n"/>
    </row>
    <row r="40" ht="39" customHeight="1">
      <c r="B40" s="133" t="inlineStr">
        <is>
          <t>AIML_031</t>
        </is>
      </c>
      <c r="C40" s="13" t="inlineStr">
        <is>
          <t>Excel Upload</t>
        </is>
      </c>
      <c r="D40" s="15" t="inlineStr">
        <is>
          <t>Language dropdown will be required and all the zone details will be shown as different categories along with line items and titles.</t>
        </is>
      </c>
      <c r="E40" s="16" t="inlineStr">
        <is>
          <t>Language dropdown will be required and all the zone details will be shown as different categories along with line items and titles.</t>
        </is>
      </c>
      <c r="F40" s="26" t="inlineStr">
        <is>
          <t>Pending</t>
        </is>
      </c>
      <c r="G40" s="3" t="n"/>
      <c r="H40" s="366" t="inlineStr">
        <is>
          <t>Pending</t>
        </is>
      </c>
      <c r="I40" s="149" t="n">
        <v>0.5</v>
      </c>
      <c r="J40" s="55" t="n"/>
    </row>
    <row r="41" ht="51.75" customHeight="1">
      <c r="B41" s="133" t="inlineStr">
        <is>
          <t>AIML_032</t>
        </is>
      </c>
      <c r="C41" s="13" t="inlineStr">
        <is>
          <t>Excel Upload</t>
        </is>
      </c>
      <c r="D41" s="15" t="inlineStr">
        <is>
          <t>Delete and Modify options should only be available in the offline template. Upon editing the offline template and uploading the revised template should overwrite all the data of the global zones.</t>
        </is>
      </c>
      <c r="E41" s="16" t="inlineStr">
        <is>
          <t>Delete and Modify options should only be available in the offline template. Upon editing the offline template and uploading the revised template should overwrite all the data of the global zones.</t>
        </is>
      </c>
      <c r="F41" s="26" t="inlineStr">
        <is>
          <t>Pending</t>
        </is>
      </c>
      <c r="G41" s="3" t="n"/>
      <c r="H41" s="366" t="inlineStr">
        <is>
          <t>Pending</t>
        </is>
      </c>
      <c r="I41" s="149" t="n">
        <v>0.5</v>
      </c>
      <c r="J41" s="55" t="n"/>
    </row>
    <row r="42" ht="39" customHeight="1">
      <c r="B42" s="133" t="inlineStr">
        <is>
          <t>AIML_033</t>
        </is>
      </c>
      <c r="C42" s="13" t="inlineStr">
        <is>
          <t>Excel Upload</t>
        </is>
      </c>
      <c r="D42" s="15" t="inlineStr">
        <is>
          <t>Error log for Upload Data: Global Zone names should be validated by the system. Any name apart from the listed global zones should not be entered by the user.</t>
        </is>
      </c>
      <c r="E42" s="16" t="inlineStr">
        <is>
          <t>Error log for Upload Data: Global Zone names should be validated by the system. Any name apart from the listed global zones should not be entered by the user.</t>
        </is>
      </c>
      <c r="F42" s="26" t="inlineStr">
        <is>
          <t>Pending</t>
        </is>
      </c>
      <c r="G42" s="3" t="n"/>
      <c r="H42" s="366" t="inlineStr">
        <is>
          <t>Pending</t>
        </is>
      </c>
      <c r="I42" s="149" t="n">
        <v>0.5</v>
      </c>
      <c r="J42" s="55" t="n"/>
    </row>
    <row r="43" ht="26.25" customHeight="1">
      <c r="B43" s="133" t="inlineStr">
        <is>
          <t>AIML_034</t>
        </is>
      </c>
      <c r="C43" s="13" t="inlineStr">
        <is>
          <t>Excel Upload</t>
        </is>
      </c>
      <c r="D43" s="15" t="inlineStr">
        <is>
          <t>In the uploaded template, title will be non-mandatory for each row.</t>
        </is>
      </c>
      <c r="E43" s="16" t="inlineStr">
        <is>
          <t>The system should in the uploaded template, title will be non-mandatory for each row.</t>
        </is>
      </c>
      <c r="F43" s="26" t="inlineStr">
        <is>
          <t>Pending</t>
        </is>
      </c>
      <c r="G43" s="3" t="n"/>
      <c r="H43" s="366" t="inlineStr">
        <is>
          <t>Pending</t>
        </is>
      </c>
      <c r="I43" s="149" t="n">
        <v>1</v>
      </c>
      <c r="J43" s="55" t="n"/>
    </row>
    <row r="44" ht="26.25" customHeight="1">
      <c r="B44" s="133" t="inlineStr">
        <is>
          <t>AIML_035</t>
        </is>
      </c>
      <c r="C44" s="13" t="inlineStr">
        <is>
          <t>Excel Upload</t>
        </is>
      </c>
      <c r="D44" s="15" t="inlineStr">
        <is>
          <t>Duplicate title, line items, Global Zone name are allowed to upload in the uploaded template.</t>
        </is>
      </c>
      <c r="E44" s="16" t="inlineStr">
        <is>
          <t>The system should duplicate title, line items, Global Zone name are allowed to upload in the uploaded template.</t>
        </is>
      </c>
      <c r="F44" s="26" t="inlineStr">
        <is>
          <t>Pending</t>
        </is>
      </c>
      <c r="G44" s="3" t="n"/>
      <c r="H44" s="366" t="inlineStr">
        <is>
          <t>Pending</t>
        </is>
      </c>
      <c r="I44" s="149" t="n">
        <v>1</v>
      </c>
      <c r="J44" s="55" t="n"/>
    </row>
    <row r="45" ht="64.5" customHeight="1">
      <c r="B45" s="133" t="inlineStr">
        <is>
          <t>AIML_036</t>
        </is>
      </c>
      <c r="C45" s="13" t="inlineStr">
        <is>
          <t>Excel Upload</t>
        </is>
      </c>
      <c r="D45" s="15" t="inlineStr">
        <is>
          <t>Unique ID to be created for new addition of data, this is required to match and delete the data from database in case admin wants to delete the data using delete option or removing data while uploading template again.</t>
        </is>
      </c>
      <c r="E45" s="16" t="inlineStr">
        <is>
          <t>The system should unique ID to be created for new addition of data, this is required to match and delete the data from database in case admin wants to delete the data using delete option or removing data while uploading template again.</t>
        </is>
      </c>
      <c r="F45" s="26" t="inlineStr">
        <is>
          <t>Pending</t>
        </is>
      </c>
      <c r="G45" s="3" t="n"/>
      <c r="H45" s="366" t="inlineStr">
        <is>
          <t>Pending</t>
        </is>
      </c>
      <c r="I45" s="149" t="n">
        <v>1</v>
      </c>
      <c r="J45" s="55" t="n"/>
    </row>
    <row r="46" ht="39" customHeight="1">
      <c r="B46" s="133" t="inlineStr">
        <is>
          <t>AIML_037</t>
        </is>
      </c>
      <c r="C46" s="13" t="inlineStr">
        <is>
          <t>Excel Upload</t>
        </is>
      </c>
      <c r="D46" s="15" t="inlineStr">
        <is>
          <t>Upon excel upload, A popup should be displayed with information on Added, Edited and deleted number of records and the deleted records should appear in Red.</t>
        </is>
      </c>
      <c r="E46" s="16" t="inlineStr">
        <is>
          <t>Upon excel upload, A popup should be displayed with information on Added, Edited and deleted number of records and the deleted records should appear in Red.</t>
        </is>
      </c>
      <c r="F46" s="26" t="inlineStr">
        <is>
          <t>Pending</t>
        </is>
      </c>
      <c r="G46" s="3" t="n"/>
      <c r="H46" s="366" t="inlineStr">
        <is>
          <t>Pending</t>
        </is>
      </c>
      <c r="I46" s="149" t="n">
        <v>1</v>
      </c>
      <c r="J46" s="55" t="n"/>
    </row>
    <row r="47" ht="39" customHeight="1">
      <c r="B47" s="133" t="inlineStr">
        <is>
          <t>AIML_038</t>
        </is>
      </c>
      <c r="C47" s="13" t="inlineStr">
        <is>
          <t>Excel Upload</t>
        </is>
      </c>
      <c r="D47" s="15" t="inlineStr">
        <is>
          <t>While uploading the excel, the user will need to select a language (single-select) for which he/she wants to upload the data.</t>
        </is>
      </c>
      <c r="E47" s="16" t="inlineStr">
        <is>
          <t>The system should while uploading the excel, the user will need to select a language (single-select) for which he/she wants to upload the data.</t>
        </is>
      </c>
      <c r="F47" s="26" t="inlineStr">
        <is>
          <t>Pending</t>
        </is>
      </c>
      <c r="G47" s="3" t="n"/>
      <c r="H47" s="366" t="inlineStr">
        <is>
          <t>Pending</t>
        </is>
      </c>
      <c r="I47" s="149" t="n">
        <v>1</v>
      </c>
      <c r="J47" s="55" t="n"/>
    </row>
    <row r="48" ht="26.25" customHeight="1">
      <c r="B48" s="133" t="inlineStr">
        <is>
          <t>AIML_039</t>
        </is>
      </c>
      <c r="C48" s="13" t="inlineStr">
        <is>
          <t>Excel Upload</t>
        </is>
      </c>
      <c r="D48" s="15" t="inlineStr">
        <is>
          <t>While uploading, system should allow the excels with sheet name "Download" and "Template" both.</t>
        </is>
      </c>
      <c r="E48" s="16" t="inlineStr">
        <is>
          <t>While uploading, system should allow the excels with sheet name "Download" and "Template" both.</t>
        </is>
      </c>
      <c r="F48" s="26" t="inlineStr">
        <is>
          <t>Pending</t>
        </is>
      </c>
      <c r="G48" s="3" t="n"/>
      <c r="H48" s="366" t="inlineStr">
        <is>
          <t>Pending</t>
        </is>
      </c>
      <c r="I48" s="149" t="n">
        <v>1</v>
      </c>
      <c r="J48" s="55" t="n"/>
    </row>
    <row r="49" ht="51.75" customHeight="1">
      <c r="B49" s="133" t="inlineStr">
        <is>
          <t>AIML_040</t>
        </is>
      </c>
      <c r="C49" s="13" t="inlineStr">
        <is>
          <t>Excel Upload</t>
        </is>
      </c>
      <c r="D49" s="15" t="inlineStr">
        <is>
          <t>While uploading template, deletion of data and unlocking of data should not be done automatically by the system as template feature will only be used for addition purposes.</t>
        </is>
      </c>
      <c r="E49" s="16" t="inlineStr">
        <is>
          <t>While uploading template, deletion of data and unlocking of data should not be done automatically by the system as template feature will only be used for addition purposes.</t>
        </is>
      </c>
      <c r="F49" s="26" t="inlineStr">
        <is>
          <t>Pending</t>
        </is>
      </c>
      <c r="G49" s="3" t="n"/>
      <c r="H49" s="366" t="inlineStr">
        <is>
          <t>Pending</t>
        </is>
      </c>
      <c r="I49" s="149" t="n">
        <v>1</v>
      </c>
      <c r="J49" s="55" t="n"/>
    </row>
    <row r="50" ht="39" customHeight="1">
      <c r="B50" s="133" t="inlineStr">
        <is>
          <t>AIML_041</t>
        </is>
      </c>
      <c r="C50" s="13" t="inlineStr">
        <is>
          <t>Excel Upload</t>
        </is>
      </c>
      <c r="D50" s="15" t="inlineStr">
        <is>
          <t>While uploading downloaded data excel with sheet name "Download", deletion and unlocking of data should be done by the system automatically.</t>
        </is>
      </c>
      <c r="E50" s="16" t="inlineStr">
        <is>
          <t>While uploading downloaded data excel with sheet name "Download", deletion and unlocking of data should be done by the system automatically.</t>
        </is>
      </c>
      <c r="F50" s="26" t="inlineStr">
        <is>
          <t>Pending</t>
        </is>
      </c>
      <c r="G50" s="3" t="n"/>
      <c r="H50" s="366" t="inlineStr">
        <is>
          <t>Pending</t>
        </is>
      </c>
      <c r="I50" s="149" t="n">
        <v>1</v>
      </c>
      <c r="J50" s="55" t="n"/>
    </row>
    <row r="51" ht="90" customHeight="1">
      <c r="B51" s="133" t="inlineStr">
        <is>
          <t>AIML_042</t>
        </is>
      </c>
      <c r="C51" s="13" t="inlineStr">
        <is>
          <t>Excel Upload</t>
        </is>
      </c>
      <c r="D51" s="15" t="inlineStr">
        <is>
          <t>If the user deleted all the rows in the excel with their IDs as downloaded by the system and added new rows where ID is blank in the excel and uploaded the file then the system should overwrite the data and create new ID for new rows present in the excel and delete the data which was associated to the IDs deleted by the system.</t>
        </is>
      </c>
      <c r="E51" s="16" t="inlineStr">
        <is>
          <t>If the user deleted all the rows in the excel with their IDs as downloaded by the system and added new rows where ID is blank in the excel and uploaded the file then the system should overwrite the data and create new ID for new rows present in the excel and delete the data which was associated to the IDs deleted by the system.</t>
        </is>
      </c>
      <c r="F51" s="26" t="inlineStr">
        <is>
          <t>Pending</t>
        </is>
      </c>
      <c r="G51" s="3" t="n"/>
      <c r="H51" s="366" t="inlineStr">
        <is>
          <t>Pending</t>
        </is>
      </c>
      <c r="I51" s="149" t="n">
        <v>1</v>
      </c>
      <c r="J51" s="55" t="n"/>
    </row>
    <row r="52" ht="39" customHeight="1">
      <c r="B52" s="133" t="inlineStr">
        <is>
          <t>AIML_043</t>
        </is>
      </c>
      <c r="C52" s="13" t="inlineStr">
        <is>
          <t>Excel Upload</t>
        </is>
      </c>
      <c r="D52" s="15" t="inlineStr">
        <is>
          <t>If the user deleted few records against the ID which was present in the downloaded excel, the deleted records should be deleted from the system.</t>
        </is>
      </c>
      <c r="E52" s="16" t="inlineStr">
        <is>
          <t>If the user deleted few records against the ID which was present in the downloaded excel, the deleted records should be deleted from the system.</t>
        </is>
      </c>
      <c r="F52" s="26" t="inlineStr">
        <is>
          <t>Pending</t>
        </is>
      </c>
      <c r="G52" s="3" t="n"/>
      <c r="H52" s="366" t="inlineStr">
        <is>
          <t>Pending</t>
        </is>
      </c>
      <c r="I52" s="149" t="n">
        <v>1</v>
      </c>
      <c r="J52" s="55" t="n"/>
    </row>
    <row r="53" ht="26.25" customHeight="1">
      <c r="B53" s="133" t="inlineStr">
        <is>
          <t>AIML_044</t>
        </is>
      </c>
      <c r="C53" s="13" t="inlineStr">
        <is>
          <t>Excel Upload</t>
        </is>
      </c>
      <c r="D53" s="15" t="inlineStr">
        <is>
          <t>When system is deleting the records then the same records should also be deleted from the ML model.</t>
        </is>
      </c>
      <c r="E53" s="16" t="inlineStr">
        <is>
          <t>When system is deleting the records then the same records should also be deleted from the ML model.</t>
        </is>
      </c>
      <c r="F53" s="26" t="inlineStr">
        <is>
          <t>Pending</t>
        </is>
      </c>
      <c r="G53" s="3" t="n"/>
      <c r="H53" s="366" t="inlineStr">
        <is>
          <t>Pending</t>
        </is>
      </c>
      <c r="I53" s="149" t="n">
        <v>1</v>
      </c>
      <c r="J53" s="55" t="n"/>
    </row>
    <row r="54" ht="26.25" customHeight="1">
      <c r="B54" s="133" t="inlineStr">
        <is>
          <t>AIML_045</t>
        </is>
      </c>
      <c r="C54" s="13" t="inlineStr">
        <is>
          <t>Excel Upload</t>
        </is>
      </c>
      <c r="D54" s="15" t="inlineStr">
        <is>
          <t>Unlock button should be available on the top of the Bulk Upload Data screen grid.</t>
        </is>
      </c>
      <c r="E54" s="16" t="inlineStr">
        <is>
          <t>Unlock button should be available on the top of the Bulk Upload Data screen grid.</t>
        </is>
      </c>
      <c r="F54" s="26" t="inlineStr">
        <is>
          <t>Pending</t>
        </is>
      </c>
      <c r="G54" s="3" t="n"/>
      <c r="H54" s="366" t="inlineStr">
        <is>
          <t>Pending</t>
        </is>
      </c>
      <c r="I54" s="149" t="n">
        <v>1</v>
      </c>
      <c r="J54" s="55" t="n"/>
    </row>
    <row r="55" ht="51.75" customHeight="1">
      <c r="B55" s="133" t="inlineStr">
        <is>
          <t>AIML_046</t>
        </is>
      </c>
      <c r="C55" s="13" t="inlineStr">
        <is>
          <t>Excel Upload</t>
        </is>
      </c>
      <c r="D55" s="15" t="inlineStr">
        <is>
          <t>Clicking this button should unlock the data for the particular language. This button should only be enabled for those languages for which the data has already been locked.</t>
        </is>
      </c>
      <c r="E55" s="16" t="inlineStr">
        <is>
          <t>Clicking this button should unlock the data for the particular language. This button should only be enabled for those languages for which the data has already been locked.</t>
        </is>
      </c>
      <c r="F55" s="26" t="inlineStr">
        <is>
          <t>Pending</t>
        </is>
      </c>
      <c r="G55" s="3" t="n"/>
      <c r="H55" s="366" t="inlineStr">
        <is>
          <t>Pending</t>
        </is>
      </c>
      <c r="I55" s="149" t="n">
        <v>1</v>
      </c>
      <c r="J55" s="55" t="n"/>
    </row>
    <row r="56" ht="39" customHeight="1">
      <c r="B56" s="133" t="inlineStr">
        <is>
          <t>AIML_047</t>
        </is>
      </c>
      <c r="C56" s="13" t="inlineStr">
        <is>
          <t>Excel Upload</t>
        </is>
      </c>
      <c r="D56" s="15" t="inlineStr">
        <is>
          <t>Message on 'lock button' hover to be shown that data of this language is locked due to export of data by admin user (name).</t>
        </is>
      </c>
      <c r="E56" s="16" t="inlineStr">
        <is>
          <t>The system should message on 'lock button' hover to be shown that data of this language is locked due to export of data by admin user (name).</t>
        </is>
      </c>
      <c r="F56" s="26" t="inlineStr">
        <is>
          <t>Pending</t>
        </is>
      </c>
      <c r="G56" s="3" t="n"/>
      <c r="H56" s="366" t="inlineStr">
        <is>
          <t>Pending</t>
        </is>
      </c>
      <c r="I56" s="149" t="n">
        <v>1</v>
      </c>
      <c r="J56" s="55" t="n"/>
    </row>
    <row r="57">
      <c r="B57" s="133" t="inlineStr">
        <is>
          <t>AIML_048</t>
        </is>
      </c>
      <c r="C57" s="13" t="inlineStr">
        <is>
          <t>Trained Data</t>
        </is>
      </c>
      <c r="D57" s="16" t="inlineStr">
        <is>
          <t>AI/ML Training Model &gt; Trained Data.</t>
        </is>
      </c>
      <c r="E57" s="16" t="inlineStr">
        <is>
          <t>Trained Data screen should be launched.</t>
        </is>
      </c>
      <c r="F57" s="26" t="inlineStr">
        <is>
          <t>Pending</t>
        </is>
      </c>
      <c r="G57" s="3" t="n"/>
      <c r="H57" s="366" t="inlineStr">
        <is>
          <t>Pending</t>
        </is>
      </c>
      <c r="I57" s="149" t="n">
        <v>0.5</v>
      </c>
      <c r="J57" s="55" t="n"/>
    </row>
    <row r="58">
      <c r="B58" s="133" t="inlineStr">
        <is>
          <t>AIML_049</t>
        </is>
      </c>
      <c r="C58" s="13" t="inlineStr">
        <is>
          <t>Trained Data</t>
        </is>
      </c>
      <c r="D58" s="16" t="inlineStr">
        <is>
          <t>Trained Data screen should show the data for documents and zones.</t>
        </is>
      </c>
      <c r="E58" s="16" t="inlineStr">
        <is>
          <t>Data should be present.</t>
        </is>
      </c>
      <c r="F58" s="26" t="inlineStr">
        <is>
          <t>Pending</t>
        </is>
      </c>
      <c r="G58" s="3" t="n"/>
      <c r="H58" s="366" t="inlineStr">
        <is>
          <t>Pending</t>
        </is>
      </c>
      <c r="I58" s="149" t="n">
        <v>0.5</v>
      </c>
      <c r="J58" s="55" t="n"/>
    </row>
    <row r="59">
      <c r="B59" s="133" t="inlineStr">
        <is>
          <t>AIML_050</t>
        </is>
      </c>
      <c r="C59" s="13" t="inlineStr">
        <is>
          <t>Trained Data</t>
        </is>
      </c>
      <c r="D59" s="16" t="inlineStr">
        <is>
          <t>Verify the number for documents tagged for each zone for each language.</t>
        </is>
      </c>
      <c r="E59" s="16" t="inlineStr">
        <is>
          <t>The number for documents tagged for each zone for each language.</t>
        </is>
      </c>
      <c r="F59" s="26" t="inlineStr">
        <is>
          <t>Pending</t>
        </is>
      </c>
      <c r="G59" s="3" t="n"/>
      <c r="H59" s="366" t="inlineStr">
        <is>
          <t>Pending</t>
        </is>
      </c>
      <c r="I59" s="149" t="n">
        <v>0.5</v>
      </c>
      <c r="J59" s="55" t="n"/>
    </row>
    <row r="60">
      <c r="B60" s="133" t="inlineStr">
        <is>
          <t>AIML_051</t>
        </is>
      </c>
      <c r="C60" s="13" t="inlineStr">
        <is>
          <t>Trained Data</t>
        </is>
      </c>
      <c r="D60" s="16" t="inlineStr">
        <is>
          <t>Add new document for any zone observe count.</t>
        </is>
      </c>
      <c r="E60" s="16" t="inlineStr">
        <is>
          <t>The count should be increased.</t>
        </is>
      </c>
      <c r="F60" s="26" t="inlineStr">
        <is>
          <t>Pending</t>
        </is>
      </c>
      <c r="G60" s="3" t="n"/>
      <c r="H60" s="366" t="inlineStr">
        <is>
          <t>Pending</t>
        </is>
      </c>
      <c r="I60" s="149" t="n">
        <v>0.5</v>
      </c>
      <c r="J60" s="55" t="n"/>
    </row>
    <row r="61">
      <c r="B61" s="133" t="inlineStr">
        <is>
          <t>AIML_052</t>
        </is>
      </c>
      <c r="C61" s="13" t="inlineStr">
        <is>
          <t>Trained Data</t>
        </is>
      </c>
      <c r="D61" s="16" t="inlineStr">
        <is>
          <t>Count will only change for submit tagged documents.</t>
        </is>
      </c>
      <c r="E61" s="16" t="inlineStr">
        <is>
          <t>The system should count will only change for submit tagged documents.</t>
        </is>
      </c>
      <c r="F61" s="26" t="inlineStr">
        <is>
          <t>Pending</t>
        </is>
      </c>
      <c r="G61" s="3" t="n"/>
      <c r="H61" s="366" t="inlineStr">
        <is>
          <t>Pending</t>
        </is>
      </c>
      <c r="I61" s="149" t="n">
        <v>0.5</v>
      </c>
      <c r="J61" s="55" t="n"/>
    </row>
    <row r="62" ht="39" customHeight="1">
      <c r="B62" s="133" t="inlineStr">
        <is>
          <t>AIML_053</t>
        </is>
      </c>
      <c r="C62" s="13" t="inlineStr">
        <is>
          <t>Trained Data</t>
        </is>
      </c>
      <c r="D62" s="15" t="inlineStr">
        <is>
          <t>If user deletes any file, then count should also get reduced in UI screen along with trained data from AI model and Spreadsmart coming from that file.</t>
        </is>
      </c>
      <c r="E62" s="16" t="inlineStr">
        <is>
          <t>If user deletes any file, then count should also get reduced in UI screen along with trained data from AI model and Spreadsmart coming from that file.</t>
        </is>
      </c>
      <c r="F62" s="26" t="inlineStr">
        <is>
          <t>Pending</t>
        </is>
      </c>
      <c r="G62" s="3" t="n"/>
      <c r="H62" s="366" t="inlineStr">
        <is>
          <t>Pending</t>
        </is>
      </c>
      <c r="I62" s="149" t="n">
        <v>1</v>
      </c>
      <c r="J62" s="55" t="n"/>
    </row>
    <row r="63">
      <c r="B63" s="133" t="inlineStr">
        <is>
          <t>AIML_054</t>
        </is>
      </c>
      <c r="C63" s="13" t="inlineStr">
        <is>
          <t>Trained Data</t>
        </is>
      </c>
      <c r="D63" s="16" t="inlineStr">
        <is>
          <t>Clicking the document count should redirect the user to the 'Files' tab with zone name, language and status filters applied.</t>
        </is>
      </c>
      <c r="E63" s="16" t="inlineStr">
        <is>
          <t>Clicking the document count should redirect the user to the 'Files' tab with zone name, language and status filters applied.</t>
        </is>
      </c>
      <c r="F63" s="26" t="inlineStr">
        <is>
          <t>Pending</t>
        </is>
      </c>
      <c r="G63" s="3" t="n"/>
      <c r="H63" s="366" t="inlineStr">
        <is>
          <t>Pending</t>
        </is>
      </c>
      <c r="I63" s="149" t="n">
        <v>0.5</v>
      </c>
      <c r="J63" s="55" t="n"/>
    </row>
    <row r="64" ht="39" customHeight="1">
      <c r="B64" s="133" t="inlineStr">
        <is>
          <t>AIML_055</t>
        </is>
      </c>
      <c r="C64" s="13" t="inlineStr">
        <is>
          <t>Trained Data</t>
        </is>
      </c>
      <c r="D64" s="15" t="inlineStr">
        <is>
          <t>On the filtered documents screen, the user should be able to go to tagging screen using the tag option.
It will be similar Spreading screen look alike.</t>
        </is>
      </c>
      <c r="E64" s="16" t="inlineStr">
        <is>
          <t>On the filtered documents screen, the user should be able to go to tagging screen using the tag option. It will be similar Spreading screen look alike.</t>
        </is>
      </c>
      <c r="F64" s="26" t="inlineStr">
        <is>
          <t>Pending</t>
        </is>
      </c>
      <c r="G64" s="3" t="n"/>
      <c r="H64" s="366" t="inlineStr">
        <is>
          <t>Pending</t>
        </is>
      </c>
      <c r="I64" s="149" t="n">
        <v>1</v>
      </c>
      <c r="J64" s="55" t="n"/>
    </row>
    <row r="65" ht="39" customHeight="1">
      <c r="B65" s="133" t="inlineStr">
        <is>
          <t>AIML_056</t>
        </is>
      </c>
      <c r="C65" s="13" t="inlineStr">
        <is>
          <t>Trained Data</t>
        </is>
      </c>
      <c r="D65" s="15" t="inlineStr">
        <is>
          <t>On the filtered documents screen, the user should be able to delete the document using the Delete option, which will also delete the data in database.</t>
        </is>
      </c>
      <c r="E65" s="16" t="inlineStr">
        <is>
          <t>On the filtered documents screen, the user should be able to delete the document using the Delete option, which will also delete the data in database.</t>
        </is>
      </c>
      <c r="F65" s="26" t="inlineStr">
        <is>
          <t>Pending</t>
        </is>
      </c>
      <c r="G65" s="3" t="n"/>
      <c r="H65" s="366" t="inlineStr">
        <is>
          <t>Pending</t>
        </is>
      </c>
      <c r="I65" s="149" t="n">
        <v>1</v>
      </c>
      <c r="J65" s="55" t="n"/>
    </row>
    <row r="66" ht="51.75" customHeight="1">
      <c r="B66" s="133" t="inlineStr">
        <is>
          <t>AIML_057</t>
        </is>
      </c>
      <c r="C66" s="13" t="inlineStr">
        <is>
          <t>Trained Data</t>
        </is>
      </c>
      <c r="D66" s="15" t="inlineStr">
        <is>
          <t>The line items data that has been mapped or Autofill for each Global Zones needs to be enriched for each Global Zone for AI ML model of auto table identification.</t>
        </is>
      </c>
      <c r="E66" s="16" t="inlineStr">
        <is>
          <t>The line items data that has been mapped or Autofill for each Global Zones needs to be enriched for each Global Zone for AI ML model of auto table identification.</t>
        </is>
      </c>
      <c r="F66" s="26" t="inlineStr">
        <is>
          <t>Pending</t>
        </is>
      </c>
      <c r="G66" s="3" t="n"/>
      <c r="H66" s="366" t="inlineStr">
        <is>
          <t>Pending</t>
        </is>
      </c>
      <c r="I66" s="149" t="n">
        <v>1</v>
      </c>
      <c r="J66" s="55" t="n"/>
    </row>
    <row r="67" ht="39" customHeight="1">
      <c r="B67" s="133" t="inlineStr">
        <is>
          <t>AIML_058</t>
        </is>
      </c>
      <c r="C67" s="13" t="inlineStr">
        <is>
          <t>Trained Data</t>
        </is>
      </c>
      <c r="D67" s="15" t="inlineStr">
        <is>
          <t>Only detection should be stopped if the particular zone is disabled even if the model for that language is enabled.</t>
        </is>
      </c>
      <c r="E67" s="16" t="inlineStr">
        <is>
          <t>Only detection should be stopped if the particular zone is disabled even if the model for that language is enabled.</t>
        </is>
      </c>
      <c r="F67" s="26" t="inlineStr">
        <is>
          <t>Pending</t>
        </is>
      </c>
      <c r="G67" s="3" t="n"/>
      <c r="H67" s="366" t="inlineStr">
        <is>
          <t>Pending</t>
        </is>
      </c>
      <c r="I67" s="149" t="n">
        <v>1</v>
      </c>
      <c r="J67" s="55" t="n"/>
    </row>
    <row r="68" ht="26.25" customHeight="1">
      <c r="B68" s="133" t="inlineStr">
        <is>
          <t>AIML_059</t>
        </is>
      </c>
      <c r="C68" s="13" t="inlineStr">
        <is>
          <t>Trained Data</t>
        </is>
      </c>
      <c r="D68" s="15" t="inlineStr">
        <is>
          <t>No approval is required, it will directly gets added to already available information per zone.</t>
        </is>
      </c>
      <c r="E68" s="16" t="inlineStr">
        <is>
          <t>No approval is required, it will directly gets added to already available information per zone.</t>
        </is>
      </c>
      <c r="F68" s="26" t="inlineStr">
        <is>
          <t>Pending</t>
        </is>
      </c>
      <c r="G68" s="3" t="n"/>
      <c r="H68" s="366" t="inlineStr">
        <is>
          <t>Pending</t>
        </is>
      </c>
      <c r="I68" s="149" t="n">
        <v>1</v>
      </c>
      <c r="J68" s="55" t="n"/>
    </row>
    <row r="69" ht="26.25" customHeight="1">
      <c r="B69" s="133" t="inlineStr">
        <is>
          <t>AIML_060</t>
        </is>
      </c>
      <c r="C69" s="13" t="inlineStr">
        <is>
          <t>Trained Data</t>
        </is>
      </c>
      <c r="D69" s="15" t="inlineStr">
        <is>
          <t>AIML Training &gt; trained data.
Observe option Overall accuracy &gt; click.</t>
        </is>
      </c>
      <c r="E69" s="16" t="inlineStr">
        <is>
          <t>Overall accuracy option should be there.</t>
        </is>
      </c>
      <c r="F69" s="26" t="inlineStr">
        <is>
          <t>Pending</t>
        </is>
      </c>
      <c r="G69" s="3" t="n"/>
      <c r="H69" s="366" t="inlineStr">
        <is>
          <t>Pending</t>
        </is>
      </c>
      <c r="I69" s="149" t="n">
        <v>1</v>
      </c>
      <c r="J69" s="55" t="n"/>
    </row>
    <row r="70" ht="39" customHeight="1">
      <c r="B70" s="133" t="inlineStr">
        <is>
          <t>AIML_061</t>
        </is>
      </c>
      <c r="C70" s="13" t="inlineStr">
        <is>
          <t>Trained Data</t>
        </is>
      </c>
      <c r="D70" s="15" t="inlineStr">
        <is>
          <t>UI should indicate the overall accuracy of the model for a particular language and AIML accuracy for each zone it consist of using all trained documents.</t>
        </is>
      </c>
      <c r="E70" s="16" t="inlineStr">
        <is>
          <t>UI should indicate the overall accuracy of the model for a particular language and AIML accuracy for each zone it consist of using all trained documents.</t>
        </is>
      </c>
      <c r="F70" s="26" t="inlineStr">
        <is>
          <t>Pending</t>
        </is>
      </c>
      <c r="G70" s="3" t="n"/>
      <c r="H70" s="366" t="inlineStr">
        <is>
          <t>Pending</t>
        </is>
      </c>
      <c r="I70" s="149" t="n">
        <v>1</v>
      </c>
      <c r="J70" s="55" t="n"/>
    </row>
    <row r="71" ht="39" customHeight="1">
      <c r="B71" s="133" t="inlineStr">
        <is>
          <t>AIML_062</t>
        </is>
      </c>
      <c r="C71" s="13" t="inlineStr">
        <is>
          <t>Trained Data</t>
        </is>
      </c>
      <c r="D71" s="15" t="inlineStr">
        <is>
          <t>Accuracy which is below 50% (Configurable) should be highlighted in Red, so that admin user can decide to train with more documents.</t>
        </is>
      </c>
      <c r="E71" s="16" t="inlineStr">
        <is>
          <t>Accuracy which is below 50% (Configurable) should be highlighted in Red, so that admin user can decide to train with more documents.</t>
        </is>
      </c>
      <c r="F71" s="26" t="inlineStr">
        <is>
          <t>Pending</t>
        </is>
      </c>
      <c r="G71" s="3" t="n"/>
      <c r="H71" s="366" t="inlineStr">
        <is>
          <t>Pending</t>
        </is>
      </c>
      <c r="I71" s="149" t="n">
        <v>1</v>
      </c>
      <c r="J71" s="55" t="n"/>
    </row>
    <row r="72" ht="39" customHeight="1">
      <c r="B72" s="133" t="inlineStr">
        <is>
          <t>AIML_063</t>
        </is>
      </c>
      <c r="C72" s="13" t="inlineStr">
        <is>
          <t>Trained Data</t>
        </is>
      </c>
      <c r="D72" s="15" t="inlineStr">
        <is>
          <t>Accuracy values should be automatically increased or decreased on the basis of data received/removed by/from the ML engine.</t>
        </is>
      </c>
      <c r="E72" s="16" t="inlineStr">
        <is>
          <t>Accuracy values should be automatically increased or decreased on the basis of data received/removed by/from the ML engine.</t>
        </is>
      </c>
      <c r="F72" s="26" t="inlineStr">
        <is>
          <t>Pending</t>
        </is>
      </c>
      <c r="G72" s="3" t="n"/>
      <c r="H72" s="366" t="inlineStr">
        <is>
          <t>Pending</t>
        </is>
      </c>
      <c r="I72" s="149" t="n">
        <v>1</v>
      </c>
      <c r="J72" s="55" t="n"/>
    </row>
    <row r="73" ht="39" customHeight="1">
      <c r="B73" s="133" t="inlineStr">
        <is>
          <t>AIML_064</t>
        </is>
      </c>
      <c r="C73" s="13" t="inlineStr">
        <is>
          <t>Trained Data</t>
        </is>
      </c>
      <c r="D73" s="15" t="inlineStr">
        <is>
          <t>Threshold as detected by the system to be shown to the user for information purpose that why particular zone is not getting identified by the tool.</t>
        </is>
      </c>
      <c r="E73" s="16" t="inlineStr">
        <is>
          <t>Threshold as detected by the system to be shown to the user for information purpose that why particular zone is not getting identified by the tool.</t>
        </is>
      </c>
      <c r="F73" s="26" t="inlineStr">
        <is>
          <t>Pending</t>
        </is>
      </c>
      <c r="G73" s="3" t="n"/>
      <c r="H73" s="366" t="inlineStr">
        <is>
          <t>Pending</t>
        </is>
      </c>
      <c r="I73" s="149" t="n">
        <v>1</v>
      </c>
      <c r="J73" s="55" t="n"/>
    </row>
    <row r="74" ht="39" customHeight="1">
      <c r="B74" s="133" t="inlineStr">
        <is>
          <t>AIML_065</t>
        </is>
      </c>
      <c r="C74" s="13" t="inlineStr">
        <is>
          <t>Trained Data</t>
        </is>
      </c>
      <c r="D74" s="15" t="inlineStr">
        <is>
          <t>Threshold values should be automatically increased or decreased on the basis of data received/removed by/from the ML engine.</t>
        </is>
      </c>
      <c r="E74" s="16" t="inlineStr">
        <is>
          <t>Threshold values should be automatically increased or decreased on the basis of data received/removed by/from the ML engine.</t>
        </is>
      </c>
      <c r="F74" s="26" t="inlineStr">
        <is>
          <t>Pending</t>
        </is>
      </c>
      <c r="G74" s="3" t="n"/>
      <c r="H74" s="366" t="inlineStr">
        <is>
          <t>Pending</t>
        </is>
      </c>
      <c r="I74" s="149" t="n">
        <v>1</v>
      </c>
      <c r="J74" s="55" t="n"/>
    </row>
    <row r="75" ht="39" customHeight="1">
      <c r="B75" s="133" t="inlineStr">
        <is>
          <t>AIML_066</t>
        </is>
      </c>
      <c r="C75" s="13" t="inlineStr">
        <is>
          <t>Trained Data</t>
        </is>
      </c>
      <c r="D75" s="15" t="inlineStr">
        <is>
          <t>Data which is uploaded from backend for pre-training of model should not be available for downloading and editing on the Spreadsmart UI.</t>
        </is>
      </c>
      <c r="E75" s="16" t="inlineStr">
        <is>
          <t>Data which is uploaded from backend for pre-training of model should not be available for downloading and editing on the Spreadsmart UI.</t>
        </is>
      </c>
      <c r="F75" s="26" t="inlineStr">
        <is>
          <t>Pending</t>
        </is>
      </c>
      <c r="G75" s="3" t="n"/>
      <c r="H75" s="366" t="inlineStr">
        <is>
          <t>Pending</t>
        </is>
      </c>
      <c r="I75" s="149" t="n">
        <v>1</v>
      </c>
      <c r="J75" s="55" t="n"/>
    </row>
    <row r="76" ht="51.75" customHeight="1">
      <c r="B76" s="133" t="inlineStr">
        <is>
          <t>AIML_067</t>
        </is>
      </c>
      <c r="C76" s="13" t="inlineStr">
        <is>
          <t>Trained Data</t>
        </is>
      </c>
      <c r="D76" s="15" t="inlineStr">
        <is>
          <t>Only the 25 count (which is minimum criteria of language model to get activated) should be shown as a label in the new column "Admin-Offline Data" on the trained data screen.</t>
        </is>
      </c>
      <c r="E76" s="16" t="inlineStr">
        <is>
          <t>Only the 25 count (which is minimum criteria of language model to get activated) should be shown as a label in the new column "Admin-Offline Data" on the trained data screen.</t>
        </is>
      </c>
      <c r="F76" s="26" t="inlineStr">
        <is>
          <t>Pending</t>
        </is>
      </c>
      <c r="G76" s="3" t="n"/>
      <c r="H76" s="366" t="inlineStr">
        <is>
          <t>Pending</t>
        </is>
      </c>
      <c r="I76" s="149" t="n">
        <v>1</v>
      </c>
      <c r="J76" s="55" t="n"/>
    </row>
    <row r="77" ht="26.25" customHeight="1">
      <c r="B77" s="133" t="inlineStr">
        <is>
          <t>AIML_068</t>
        </is>
      </c>
      <c r="C77" s="13" t="inlineStr">
        <is>
          <t>Trained Data</t>
        </is>
      </c>
      <c r="D77" s="15" t="inlineStr">
        <is>
          <t>Upon hover, the messages should be displayed, the file has been trained offline.</t>
        </is>
      </c>
      <c r="E77" s="16" t="inlineStr">
        <is>
          <t>Upon hover, the messages should be displayed, the file has been trained offline.</t>
        </is>
      </c>
      <c r="F77" s="26" t="inlineStr">
        <is>
          <t>Pending</t>
        </is>
      </c>
      <c r="G77" s="3" t="n"/>
      <c r="H77" s="366" t="inlineStr">
        <is>
          <t>Pending</t>
        </is>
      </c>
      <c r="I77" s="149" t="n">
        <v>1</v>
      </c>
      <c r="J77" s="55" t="n"/>
    </row>
    <row r="78" ht="51.75" customHeight="1">
      <c r="B78" s="133" t="inlineStr">
        <is>
          <t>AIML_069</t>
        </is>
      </c>
      <c r="C78" s="13" t="inlineStr">
        <is>
          <t>Trained Data</t>
        </is>
      </c>
      <c r="D78" s="15" t="inlineStr">
        <is>
          <t>Automatic start of identification based on minimum number of documents submitted for each model and zone will assessed and auto start will happen.</t>
        </is>
      </c>
      <c r="E78" s="16" t="inlineStr">
        <is>
          <t>Automatic start of identification based on minimum number of documents submitted for each model and zone will assessed and auto start will happen.</t>
        </is>
      </c>
      <c r="F78" s="26" t="inlineStr">
        <is>
          <t>Pending</t>
        </is>
      </c>
      <c r="G78" s="3" t="n"/>
      <c r="H78" s="366" t="inlineStr">
        <is>
          <t>Pending</t>
        </is>
      </c>
      <c r="I78" s="149" t="n">
        <v>1</v>
      </c>
      <c r="J78" s="55" t="n"/>
    </row>
    <row r="79" ht="39" customHeight="1">
      <c r="B79" s="133" t="inlineStr">
        <is>
          <t>AIML_070</t>
        </is>
      </c>
      <c r="C79" s="13" t="inlineStr">
        <is>
          <t>Trained Data</t>
        </is>
      </c>
      <c r="D79" s="15" t="inlineStr">
        <is>
          <t>Minimum 25 documents should be submitted for automatic start.</t>
        </is>
      </c>
      <c r="E79" s="16" t="inlineStr">
        <is>
          <t>Minimum 25 documents should be submitted for automatic start.</t>
        </is>
      </c>
      <c r="F79" s="26" t="inlineStr">
        <is>
          <t>Pending</t>
        </is>
      </c>
      <c r="G79" s="3" t="n"/>
      <c r="H79" s="366" t="inlineStr">
        <is>
          <t>Pending</t>
        </is>
      </c>
      <c r="I79" s="149" t="n">
        <v>1</v>
      </c>
      <c r="J79" s="55" t="n"/>
    </row>
    <row r="80" ht="39" customHeight="1">
      <c r="B80" s="133" t="inlineStr">
        <is>
          <t>AIML_071</t>
        </is>
      </c>
      <c r="C80" s="13" t="inlineStr">
        <is>
          <t>Trained Data</t>
        </is>
      </c>
      <c r="D80" s="15" t="inlineStr">
        <is>
          <t>Once triggered as above, system should start detecting respective zones from the next spread onwards.</t>
        </is>
      </c>
      <c r="E80" s="16" t="inlineStr">
        <is>
          <t>Once triggered as above, system should start detecting respective zones from the next spread onwards.</t>
        </is>
      </c>
      <c r="F80" s="26" t="inlineStr">
        <is>
          <t>Pending</t>
        </is>
      </c>
      <c r="G80" s="3" t="n"/>
      <c r="H80" s="366" t="inlineStr">
        <is>
          <t>Pending</t>
        </is>
      </c>
      <c r="I80" s="149" t="n">
        <v>1</v>
      </c>
      <c r="J80" s="55" t="n"/>
    </row>
    <row r="81" ht="15.75" customHeight="1" thickBot="1">
      <c r="B81" s="134" t="inlineStr">
        <is>
          <t>AIML_072</t>
        </is>
      </c>
      <c r="C81" s="122" t="inlineStr">
        <is>
          <t>Trained Data</t>
        </is>
      </c>
      <c r="D81" s="137" t="inlineStr">
        <is>
          <t>Active/Inactive zones with new data.</t>
        </is>
      </c>
      <c r="E81" s="138" t="inlineStr">
        <is>
          <t>Active/inactive action should be performed.</t>
        </is>
      </c>
      <c r="F81" s="27" t="inlineStr">
        <is>
          <t>Failed</t>
        </is>
      </c>
      <c r="G81" s="21" t="inlineStr">
        <is>
          <t>Newly Added</t>
        </is>
      </c>
      <c r="H81" s="366" t="inlineStr">
        <is>
          <t>Pending</t>
        </is>
      </c>
      <c r="I81" s="150" t="n">
        <v>1</v>
      </c>
      <c r="J81" s="55" t="inlineStr">
        <is>
          <t>Bug 78034</t>
        </is>
      </c>
    </row>
  </sheetData>
  <mergeCells count="7">
    <mergeCell ref="B6:C6"/>
    <mergeCell ref="B7:C7"/>
    <mergeCell ref="B2:F2"/>
    <mergeCell ref="B3:C3"/>
    <mergeCell ref="B5:C5"/>
    <mergeCell ref="B8:C8"/>
    <mergeCell ref="B4:C4"/>
  </mergeCells>
  <conditionalFormatting sqref="D3">
    <cfRule type="expression" priority="64" dxfId="51" stopIfTrue="1">
      <formula>AND(COUNTIF($A$8:$A$8, D3)+COUNTIF(#REF!, D3)&gt;1,NOT(ISBLANK(D3)))</formula>
    </cfRule>
  </conditionalFormatting>
  <conditionalFormatting sqref="D4">
    <cfRule type="cellIs" priority="63" operator="lessThan" dxfId="10" stopIfTrue="1">
      <formula>1</formula>
    </cfRule>
  </conditionalFormatting>
  <conditionalFormatting sqref="D4:D8">
    <cfRule type="cellIs" priority="58" operator="greaterThan" dxfId="9" stopIfTrue="1">
      <formula>0</formula>
    </cfRule>
    <cfRule type="cellIs" priority="59" operator="greaterThan" dxfId="9" stopIfTrue="1">
      <formula>1</formula>
    </cfRule>
    <cfRule type="cellIs" priority="60" operator="greaterThan" dxfId="10" stopIfTrue="1">
      <formula>0</formula>
    </cfRule>
    <cfRule type="cellIs" priority="61" operator="greaterThan" dxfId="10" stopIfTrue="1">
      <formula>1</formula>
    </cfRule>
    <cfRule type="cellIs" priority="62" operator="equal" dxfId="9" stopIfTrue="1">
      <formula>$C$3</formula>
    </cfRule>
  </conditionalFormatting>
  <conditionalFormatting sqref="D5">
    <cfRule type="cellIs" priority="23" operator="lessThan" dxfId="10" stopIfTrue="1">
      <formula>1</formula>
    </cfRule>
  </conditionalFormatting>
  <conditionalFormatting sqref="D5:E8">
    <cfRule type="cellIs" priority="27" operator="lessThan" dxfId="10" stopIfTrue="1">
      <formula>1</formula>
    </cfRule>
  </conditionalFormatting>
  <conditionalFormatting sqref="E4">
    <cfRule type="cellIs" priority="53" operator="equal" dxfId="9" stopIfTrue="1">
      <formula>1</formula>
    </cfRule>
    <cfRule type="cellIs" priority="54" operator="lessThan" dxfId="10" stopIfTrue="1">
      <formula>1</formula>
    </cfRule>
  </conditionalFormatting>
  <conditionalFormatting sqref="E5:E8">
    <cfRule type="cellIs" priority="24" operator="equal" dxfId="9" stopIfTrue="1">
      <formula>1</formula>
    </cfRule>
    <cfRule type="cellIs" priority="25" operator="lessThan" dxfId="10" stopIfTrue="1">
      <formula>1</formula>
    </cfRule>
    <cfRule type="cellIs" priority="26" operator="equal" dxfId="9" stopIfTrue="1">
      <formula>1</formula>
    </cfRule>
  </conditionalFormatting>
  <conditionalFormatting sqref="E4:F4">
    <cfRule type="cellIs" priority="49" operator="equal" dxfId="9" stopIfTrue="1">
      <formula>1</formula>
    </cfRule>
    <cfRule type="cellIs" priority="50" operator="lessThan" dxfId="10" stopIfTrue="1">
      <formula>1</formula>
    </cfRule>
  </conditionalFormatting>
  <conditionalFormatting sqref="F4">
    <cfRule type="cellIs" priority="47" operator="equal" dxfId="9" stopIfTrue="1">
      <formula>1</formula>
    </cfRule>
    <cfRule type="cellIs" priority="48" operator="lessThan" dxfId="10" stopIfTrue="1">
      <formula>1</formula>
    </cfRule>
  </conditionalFormatting>
  <conditionalFormatting sqref="F5">
    <cfRule type="cellIs" priority="43" operator="greaterThan" dxfId="10" stopIfTrue="1">
      <formula>0</formula>
    </cfRule>
    <cfRule type="cellIs" priority="44" operator="equal" dxfId="9" stopIfTrue="1">
      <formula>0</formula>
    </cfRule>
    <cfRule type="cellIs" priority="45" operator="greaterThan" dxfId="10" stopIfTrue="1">
      <formula>0</formula>
    </cfRule>
    <cfRule type="cellIs" priority="46" operator="equal" dxfId="9" stopIfTrue="1">
      <formula>0</formula>
    </cfRule>
  </conditionalFormatting>
  <conditionalFormatting sqref="F6">
    <cfRule type="cellIs" priority="41" operator="equal" dxfId="9" stopIfTrue="1">
      <formula>0</formula>
    </cfRule>
    <cfRule type="cellIs" priority="42" operator="greaterThan" dxfId="22" stopIfTrue="1">
      <formula>0</formula>
    </cfRule>
  </conditionalFormatting>
  <conditionalFormatting sqref="F6:F7">
    <cfRule type="cellIs" priority="37" operator="equal" dxfId="9" stopIfTrue="1">
      <formula>0</formula>
    </cfRule>
    <cfRule type="cellIs" priority="38" operator="greaterThan" dxfId="22" stopIfTrue="1">
      <formula>0</formula>
    </cfRule>
  </conditionalFormatting>
  <conditionalFormatting sqref="F7:F8">
    <cfRule type="cellIs" priority="33" operator="equal" dxfId="9" stopIfTrue="1">
      <formula>0</formula>
    </cfRule>
    <cfRule type="cellIs" priority="34" operator="greaterThan" dxfId="22" stopIfTrue="1">
      <formula>0</formula>
    </cfRule>
  </conditionalFormatting>
  <conditionalFormatting sqref="F8">
    <cfRule type="cellIs" priority="31" operator="equal" dxfId="9" stopIfTrue="1">
      <formula>0</formula>
    </cfRule>
    <cfRule type="cellIs" priority="32" operator="greaterThan" dxfId="22" stopIfTrue="1">
      <formula>0</formula>
    </cfRule>
  </conditionalFormatting>
  <conditionalFormatting sqref="F10:F81">
    <cfRule type="cellIs" priority="65" operator="equal" dxfId="6" stopIfTrue="1">
      <formula>"NA"</formula>
    </cfRule>
    <cfRule type="cellIs" priority="66" operator="equal" dxfId="5" stopIfTrue="1">
      <formula>"Blocked"</formula>
    </cfRule>
    <cfRule type="cellIs" priority="67" operator="equal" dxfId="4" stopIfTrue="1">
      <formula>"Pending"</formula>
    </cfRule>
    <cfRule type="cellIs" priority="68" operator="equal" dxfId="0" stopIfTrue="1">
      <formula>"Passed"</formula>
    </cfRule>
    <cfRule type="cellIs" priority="69" operator="equal" dxfId="1" stopIfTrue="1">
      <formula>"Failed"</formula>
    </cfRule>
    <cfRule type="cellIs" priority="70" operator="equal" dxfId="1" stopIfTrue="1">
      <formula>"Fail"</formula>
    </cfRule>
    <cfRule type="cellIs" priority="71" operator="equal" dxfId="0" stopIfTrue="1">
      <formula>"Pass"</formula>
    </cfRule>
  </conditionalFormatting>
  <conditionalFormatting sqref="G5:G8">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0:H81">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81" showDropDown="0" showInputMessage="1" showErrorMessage="1" allowBlank="1" type="list">
      <formula1>"Passed,Failed,Blocked,Pending,NA"</formula1>
    </dataValidation>
    <dataValidation sqref="H10:H81" showDropDown="0" showInputMessage="1" showErrorMessage="1" allowBlank="1" type="list">
      <formula1>"Done,Blocked,Pending,Out of Scope"</formula1>
    </dataValidation>
  </dataValidations>
  <hyperlinks>
    <hyperlink xmlns:r="http://schemas.openxmlformats.org/officeDocument/2006/relationships" ref="J81" display="https://dev.azure.com/ITC-ProductPlatforms/Spreadsmart V2/_workitems/edit/78034" r:id="rId1"/>
  </hyperlink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B2:J80"/>
  <sheetViews>
    <sheetView showGridLines="0" tabSelected="1" topLeftCell="C22" workbookViewId="0">
      <selection activeCell="G4" sqref="G4"/>
    </sheetView>
  </sheetViews>
  <sheetFormatPr baseColWidth="8" defaultRowHeight="15"/>
  <cols>
    <col width="5" customWidth="1" min="1" max="1"/>
    <col width="27.5703125" customWidth="1" min="3" max="3"/>
    <col width="44.7109375" customWidth="1" min="4" max="5"/>
    <col width="12.140625" customWidth="1" min="7" max="7"/>
    <col width="20.42578125" customWidth="1" min="8" max="8"/>
    <col width="16.42578125" customWidth="1" min="9" max="9"/>
    <col width="13.5703125" customWidth="1" min="10"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COUNTIF(F9:F500,"Passed")</f>
        <v/>
      </c>
      <c r="E4" s="53">
        <f>IF(D4=0,,(D4/(D4+D5)))</f>
        <v/>
      </c>
      <c r="F4" s="51">
        <f>IF(D3=0,,(D4/D3))</f>
        <v/>
      </c>
      <c r="G4" s="156">
        <f>COUNTIF(H10:H493,"Done")</f>
        <v/>
      </c>
    </row>
    <row r="5" ht="15.75" customHeight="1" thickBot="1">
      <c r="B5" s="350" t="inlineStr">
        <is>
          <t>Failed</t>
        </is>
      </c>
      <c r="D5" s="52">
        <f>COUNTIF(F9:F500,"Failed")</f>
        <v/>
      </c>
      <c r="E5" s="53">
        <f>IF(D5=0,,(D5/(D5+D6)))</f>
        <v/>
      </c>
      <c r="F5" s="51">
        <f>IF(D3=0,,(D5/D3))</f>
        <v/>
      </c>
      <c r="G5" s="52">
        <f>COUNTIF(H10:H493,"Failed")</f>
        <v/>
      </c>
    </row>
    <row r="6" ht="15.75" customHeight="1" thickBot="1">
      <c r="B6" s="350" t="inlineStr">
        <is>
          <t>Blocked</t>
        </is>
      </c>
      <c r="D6" s="52">
        <f>COUNTIF(F9:F500,"Blocked")</f>
        <v/>
      </c>
      <c r="E6" s="53">
        <f>IF(D6=0,,(D6/(D6+D7)))</f>
        <v/>
      </c>
      <c r="F6" s="51">
        <f>IF(D3=0,,(D6/D3))</f>
        <v/>
      </c>
      <c r="G6" s="52">
        <f>COUNTIF(H10:H493,"Blocked")</f>
        <v/>
      </c>
    </row>
    <row r="7" ht="15.75" customHeight="1" thickBot="1">
      <c r="B7" s="350" t="inlineStr">
        <is>
          <t>Pending</t>
        </is>
      </c>
      <c r="D7" s="52">
        <f>COUNTIF(F9:F500,"Pending")</f>
        <v/>
      </c>
      <c r="E7" s="53">
        <f>IF(D7=0,,(D7/(D7+D8)))</f>
        <v/>
      </c>
      <c r="F7" s="51">
        <f>IF(D3=0,,(D7/D3))</f>
        <v/>
      </c>
      <c r="G7" s="52">
        <f>COUNTIF(H10:H493,"Pending")</f>
        <v/>
      </c>
    </row>
    <row r="8" ht="15.75" customHeight="1" thickBot="1">
      <c r="B8" s="350" t="inlineStr">
        <is>
          <t>Not Applicable</t>
        </is>
      </c>
      <c r="D8" s="52">
        <f>COUNTIF(F9:F500,"Not Applicable")</f>
        <v/>
      </c>
      <c r="E8" s="53">
        <f>IF(D8=0,,(D8/(D8+#REF!)))</f>
        <v/>
      </c>
      <c r="F8" s="51">
        <f>IF(D3=0,,(D8/D3))</f>
        <v/>
      </c>
      <c r="G8" s="52">
        <f>COUNTIF(H10:H493,"Out of Scope")</f>
        <v/>
      </c>
    </row>
    <row r="9" ht="15.75" customHeight="1" thickBot="1">
      <c r="B9" s="19" t="inlineStr">
        <is>
          <t>S.No.</t>
        </is>
      </c>
      <c r="C9" s="20" t="inlineStr">
        <is>
          <t>Module/Sub-Module</t>
        </is>
      </c>
      <c r="D9" s="20" t="inlineStr">
        <is>
          <t>Test Steps</t>
        </is>
      </c>
      <c r="E9" s="20" t="inlineStr">
        <is>
          <t>Expected Results</t>
        </is>
      </c>
      <c r="F9" s="8" t="inlineStr">
        <is>
          <t>Result</t>
        </is>
      </c>
      <c r="G9" s="8" t="inlineStr">
        <is>
          <t>Bug ID</t>
        </is>
      </c>
      <c r="H9" s="8" t="inlineStr">
        <is>
          <t>Automation Status</t>
        </is>
      </c>
      <c r="I9" s="8" t="inlineStr">
        <is>
          <t>Mapped Scripts</t>
        </is>
      </c>
      <c r="J9" s="2" t="inlineStr">
        <is>
          <t>Comments</t>
        </is>
      </c>
    </row>
    <row r="10" ht="61.5" customHeight="1">
      <c r="B10" s="18" t="inlineStr">
        <is>
          <t>NP_001</t>
        </is>
      </c>
      <c r="C10" s="18" t="inlineStr">
        <is>
          <t>Notes Processing</t>
        </is>
      </c>
      <c r="D10" s="18" t="inlineStr">
        <is>
          <t>Spreading screen &gt; map values to model. Map free text (Free text is values outside the table/ or values from the paragraph).
Add keywords from drop down.</t>
        </is>
      </c>
      <c r="E10" s="264" t="inlineStr">
        <is>
          <t>The user should be able to map free text and keywords.</t>
        </is>
      </c>
      <c r="F10" s="26" t="inlineStr">
        <is>
          <t>Passed</t>
        </is>
      </c>
      <c r="G10" s="7" t="n"/>
      <c r="H10" s="154" t="inlineStr">
        <is>
          <t>Done</t>
        </is>
      </c>
      <c r="I10" s="148" t="n"/>
      <c r="J10" s="55" t="n"/>
    </row>
    <row r="11" ht="54.75" customHeight="1">
      <c r="B11" s="18" t="inlineStr">
        <is>
          <t>NP_002</t>
        </is>
      </c>
      <c r="C11" s="366" t="inlineStr">
        <is>
          <t>Notes Processing</t>
        </is>
      </c>
      <c r="D11" s="366" t="inlineStr">
        <is>
          <t>On picking of the value/text for mapping from free text / paragraph, then system needs to pick the sentence which has that value/text automatically for backend storage and training.</t>
        </is>
      </c>
      <c r="E11" s="265" t="inlineStr">
        <is>
          <t>When a value/text is picked for mapping from free text / paragraph, the system should capture the sentence containing that value/text automatically for backend storage and training.</t>
        </is>
      </c>
      <c r="F11" s="26" t="inlineStr">
        <is>
          <t>Passed</t>
        </is>
      </c>
      <c r="G11" s="3" t="n"/>
      <c r="H11" s="366" t="inlineStr">
        <is>
          <t>Done</t>
        </is>
      </c>
      <c r="I11" s="149" t="n"/>
      <c r="J11" s="55" t="n"/>
    </row>
    <row r="12" ht="42" customHeight="1">
      <c r="B12" s="18" t="inlineStr">
        <is>
          <t>NP_003</t>
        </is>
      </c>
      <c r="C12" s="366" t="inlineStr">
        <is>
          <t>Notes Processing</t>
        </is>
      </c>
      <c r="D12" s="366" t="inlineStr">
        <is>
          <t>Picked value / text will be shown in visual cue which can be edited also.</t>
        </is>
      </c>
      <c r="E12" s="93" t="inlineStr">
        <is>
          <t>The visual cue should be highlighted.</t>
        </is>
      </c>
      <c r="F12" s="26" t="inlineStr">
        <is>
          <t>Passed</t>
        </is>
      </c>
      <c r="G12" s="3" t="n"/>
      <c r="H12" s="366" t="inlineStr">
        <is>
          <t>Done</t>
        </is>
      </c>
      <c r="I12" s="149" t="n"/>
      <c r="J12" s="55" t="n"/>
    </row>
    <row r="13" ht="37.5" customHeight="1">
      <c r="B13" s="18" t="inlineStr">
        <is>
          <t>NP_004</t>
        </is>
      </c>
      <c r="C13" s="366" t="inlineStr">
        <is>
          <t>Notes Processing</t>
        </is>
      </c>
      <c r="D13" s="366" t="inlineStr">
        <is>
          <t>This sentence will go to training to AI/ML engine along with value/text as picked.</t>
        </is>
      </c>
      <c r="E13" s="265" t="inlineStr">
        <is>
          <t>This sentence should go to training to AI/ML engine along with value/text as picked.</t>
        </is>
      </c>
      <c r="F13" s="26" t="inlineStr">
        <is>
          <t>Passed</t>
        </is>
      </c>
      <c r="G13" s="3" t="n"/>
      <c r="H13" s="366" t="inlineStr">
        <is>
          <t>Done</t>
        </is>
      </c>
      <c r="I13" s="149" t="n"/>
      <c r="J13" s="55" t="n"/>
    </row>
    <row r="14" ht="51" customHeight="1">
      <c r="B14" s="18" t="inlineStr">
        <is>
          <t>NP_005</t>
        </is>
      </c>
      <c r="C14" s="366" t="inlineStr">
        <is>
          <t>Notes Processing</t>
        </is>
      </c>
      <c r="D14" s="366" t="inlineStr">
        <is>
          <t>Sentence will be picked only and not full paragraph. It can be taken from full stop to full stop as one logic and other logics needs to be added by ITC team as per POC.</t>
        </is>
      </c>
      <c r="E14" s="265" t="inlineStr">
        <is>
          <t>The sentence should be picked only and not full paragraph. It can be taken from full stop to full stop as one logic and other logics needs to be added by ITC team as per POC.</t>
        </is>
      </c>
      <c r="F14" s="26" t="inlineStr">
        <is>
          <t>Passed</t>
        </is>
      </c>
      <c r="G14" s="3" t="n"/>
      <c r="H14" s="366" t="inlineStr">
        <is>
          <t>Done</t>
        </is>
      </c>
      <c r="I14" s="149" t="n"/>
      <c r="J14" s="55" t="n"/>
    </row>
    <row r="15" ht="25.5" customHeight="1">
      <c r="B15" s="18" t="inlineStr">
        <is>
          <t>NP_006</t>
        </is>
      </c>
      <c r="C15" s="366" t="inlineStr">
        <is>
          <t>Notes Processing</t>
        </is>
      </c>
      <c r="D15" s="366" t="inlineStr">
        <is>
          <t>Sentence which will be picked up by the system will be shown in pop-up as an editable text box.</t>
        </is>
      </c>
      <c r="E15" s="265" t="inlineStr">
        <is>
          <t>The sentence picked up by the system should be shown in pop-up as an editable text box.</t>
        </is>
      </c>
      <c r="F15" s="26" t="inlineStr">
        <is>
          <t>Passed</t>
        </is>
      </c>
      <c r="G15" s="3" t="n"/>
      <c r="H15" s="366" t="inlineStr">
        <is>
          <t>Done</t>
        </is>
      </c>
      <c r="I15" s="149" t="n"/>
      <c r="J15" s="55" t="n"/>
    </row>
    <row r="16" ht="45" customHeight="1">
      <c r="B16" s="18" t="inlineStr">
        <is>
          <t>NP_007</t>
        </is>
      </c>
      <c r="C16" s="366" t="inlineStr">
        <is>
          <t>Notes Processing</t>
        </is>
      </c>
      <c r="D16" s="366" t="inlineStr">
        <is>
          <t>Model line item in which this value/text user has mapped to also be taken care of and taken to AI/ML and also shown in pop-up.</t>
        </is>
      </c>
      <c r="E16" s="265" t="inlineStr">
        <is>
          <t>The system should model line item in which this value/text user has mapped to also be taken care of and taken to AI/ML and also shown in pop-up.</t>
        </is>
      </c>
      <c r="F16" s="26" t="inlineStr">
        <is>
          <t>Passed</t>
        </is>
      </c>
      <c r="G16" s="3" t="n"/>
      <c r="H16" s="366" t="inlineStr">
        <is>
          <t>Done</t>
        </is>
      </c>
      <c r="I16" s="149" t="n"/>
      <c r="J16" s="55" t="n"/>
    </row>
    <row r="17" ht="38.25" customHeight="1">
      <c r="B17" s="18" t="inlineStr">
        <is>
          <t>NP_008</t>
        </is>
      </c>
      <c r="C17" s="366" t="inlineStr">
        <is>
          <t>Notes Processing</t>
        </is>
      </c>
      <c r="D17" s="366" t="inlineStr">
        <is>
          <t>Once value/text is mapped then mandatory pop-up will open.</t>
        </is>
      </c>
      <c r="E17" s="265" t="inlineStr">
        <is>
          <t>The system should once value/text is mapped then mandatory pop-up will open.</t>
        </is>
      </c>
      <c r="F17" s="26" t="inlineStr">
        <is>
          <t>Passed</t>
        </is>
      </c>
      <c r="G17" s="3" t="n"/>
      <c r="H17" s="366" t="inlineStr">
        <is>
          <t>Done</t>
        </is>
      </c>
      <c r="I17" s="149" t="n"/>
      <c r="J17" s="55" t="n"/>
    </row>
    <row r="18" ht="41.25" customHeight="1">
      <c r="B18" s="18" t="inlineStr">
        <is>
          <t>NP_009</t>
        </is>
      </c>
      <c r="C18" s="366" t="inlineStr">
        <is>
          <t>Notes Processing</t>
        </is>
      </c>
      <c r="D18" s="366" t="inlineStr">
        <is>
          <t>Sentence to be shown as 'None' in case value is picked from tabular format from non-zone or other than paragraph as free text value/text.</t>
        </is>
      </c>
      <c r="E18" s="265" t="inlineStr">
        <is>
          <t>The sentence should be shown as 'None' in case value is picked from tabular format from non-zone or other than paragraph as free text value/text.</t>
        </is>
      </c>
      <c r="F18" s="26" t="inlineStr">
        <is>
          <t>Passed</t>
        </is>
      </c>
      <c r="G18" s="3" t="n"/>
      <c r="H18" s="366" t="inlineStr">
        <is>
          <t>Done</t>
        </is>
      </c>
      <c r="I18" s="149" t="n"/>
      <c r="J18" s="55" t="n"/>
    </row>
    <row r="19" ht="21" customHeight="1">
      <c r="B19" s="18" t="inlineStr">
        <is>
          <t>NP_010</t>
        </is>
      </c>
      <c r="C19" s="366" t="inlineStr">
        <is>
          <t>Notes Processing</t>
        </is>
      </c>
      <c r="D19" s="366" t="inlineStr">
        <is>
          <t>Keyword and sentence is mandatory.</t>
        </is>
      </c>
      <c r="E19" s="16" t="inlineStr">
        <is>
          <t>Keyword and sentence should be mandatory.</t>
        </is>
      </c>
      <c r="F19" s="26" t="inlineStr">
        <is>
          <t>Passed</t>
        </is>
      </c>
      <c r="G19" s="3" t="n"/>
      <c r="H19" s="366" t="inlineStr">
        <is>
          <t>Done</t>
        </is>
      </c>
      <c r="I19" s="149" t="n"/>
      <c r="J19" s="55" t="n"/>
    </row>
    <row r="20" ht="51" customHeight="1">
      <c r="B20" s="18" t="inlineStr">
        <is>
          <t>NP_011</t>
        </is>
      </c>
      <c r="C20" s="366" t="inlineStr">
        <is>
          <t>Notes Processing</t>
        </is>
      </c>
      <c r="D20" s="366" t="inlineStr">
        <is>
          <t>'None' keyword to be shown at the top and can be selected by the user, when he/she wants to pick value/text but does not want to train and predict for next time.</t>
        </is>
      </c>
      <c r="E20" s="265" t="inlineStr">
        <is>
          <t>None should be at bottom in a dropdown.</t>
        </is>
      </c>
      <c r="F20" s="26" t="inlineStr">
        <is>
          <t>Passed</t>
        </is>
      </c>
      <c r="G20" s="3" t="n"/>
      <c r="H20" s="366" t="inlineStr">
        <is>
          <t>Done</t>
        </is>
      </c>
      <c r="I20" s="149" t="n"/>
      <c r="J20" s="55" t="n"/>
    </row>
    <row r="21" ht="69" customHeight="1">
      <c r="B21" s="18" t="inlineStr">
        <is>
          <t>NP_012</t>
        </is>
      </c>
      <c r="C21" s="366" t="inlineStr">
        <is>
          <t>Notes Processing</t>
        </is>
      </c>
      <c r="D21" s="366" t="inlineStr">
        <is>
          <t>System to have a 'Mapping' and 'AI Prediction' under the button 'Navigate text' in the ribbon on clicking that left panel to get opened with Keywords one by one in alphabetic order along with maximum of 3 predictions per keyword.</t>
        </is>
      </c>
      <c r="E21" s="265" t="inlineStr">
        <is>
          <t>The system should system to have a 'Mapping' and 'AI Prediction' under the button 'Navigate text' in the ribbon on clicking that left panel to get opened with Keywords one by one in alphabetic order along with maximum of 3 predictions per keyword.</t>
        </is>
      </c>
      <c r="F21" s="26" t="inlineStr">
        <is>
          <t>Passed</t>
        </is>
      </c>
      <c r="G21" s="3" t="n"/>
      <c r="H21" s="366" t="inlineStr">
        <is>
          <t>Done</t>
        </is>
      </c>
      <c r="I21" s="149" t="n"/>
      <c r="J21" s="55" t="n"/>
    </row>
    <row r="22" ht="42" customHeight="1">
      <c r="B22" s="18" t="inlineStr">
        <is>
          <t>NP_013</t>
        </is>
      </c>
      <c r="C22" s="366" t="inlineStr">
        <is>
          <t>Notes Processing</t>
        </is>
      </c>
      <c r="D22" s="366" t="inlineStr">
        <is>
          <t>"Mapping" will be used to open current implemented pop-up with additional columns for sentence and keyword with cancel and save button.</t>
        </is>
      </c>
      <c r="E22" s="265" t="inlineStr">
        <is>
          <t>"Mapping" should be used to open current implemented pop-up with additional columns for sentence and keyword with cancel and save button.</t>
        </is>
      </c>
      <c r="F22" s="26" t="inlineStr">
        <is>
          <t>Passed</t>
        </is>
      </c>
      <c r="G22" s="3" t="n"/>
      <c r="H22" s="366" t="inlineStr">
        <is>
          <t>Done</t>
        </is>
      </c>
      <c r="I22" s="149" t="n"/>
      <c r="J22" s="55" t="n"/>
    </row>
    <row r="23" ht="25.5" customHeight="1">
      <c r="B23" s="18" t="inlineStr">
        <is>
          <t>NP_014</t>
        </is>
      </c>
      <c r="C23" s="366" t="inlineStr">
        <is>
          <t>Notes Processing</t>
        </is>
      </c>
      <c r="D23" s="366" t="inlineStr">
        <is>
          <t>"AI Prediction" will be used to open left panel with predictions as provided by AI team.</t>
        </is>
      </c>
      <c r="E23" s="16" t="inlineStr">
        <is>
          <t>The system should "AI Prediction" will be used to open left panel with predictions as provided by AI team.</t>
        </is>
      </c>
      <c r="F23" s="26" t="inlineStr">
        <is>
          <t>Passed</t>
        </is>
      </c>
      <c r="G23" s="3" t="n"/>
      <c r="H23" s="366" t="inlineStr">
        <is>
          <t>Done</t>
        </is>
      </c>
      <c r="I23" s="149" t="n"/>
      <c r="J23" s="55" t="n"/>
    </row>
    <row r="24" ht="46.5" customHeight="1">
      <c r="B24" s="18" t="inlineStr">
        <is>
          <t>NP_015</t>
        </is>
      </c>
      <c r="C24" s="366" t="inlineStr">
        <is>
          <t>Notes Processing</t>
        </is>
      </c>
      <c r="D24" s="366" t="inlineStr">
        <is>
          <t>Predicted sentence if single or multiple needs to be navigated using the link as page number from the left panel.</t>
        </is>
      </c>
      <c r="E24" s="265" t="inlineStr">
        <is>
          <t>The predicted sentence, whether single or multiple, should be navigable from the left panel using the page-number link.</t>
        </is>
      </c>
      <c r="F24" s="26" t="inlineStr">
        <is>
          <t>Passed</t>
        </is>
      </c>
      <c r="G24" s="3" t="n"/>
      <c r="H24" s="366" t="inlineStr">
        <is>
          <t>Done</t>
        </is>
      </c>
      <c r="I24" s="149" t="n"/>
      <c r="J24" s="55" t="n"/>
    </row>
    <row r="25" ht="25.5" customHeight="1">
      <c r="B25" s="18" t="inlineStr">
        <is>
          <t>NP_016</t>
        </is>
      </c>
      <c r="C25" s="366" t="inlineStr">
        <is>
          <t>Notes Processing</t>
        </is>
      </c>
      <c r="D25" s="366" t="inlineStr">
        <is>
          <t>Predicted sentence to be highlighted in different color for easy identification.</t>
        </is>
      </c>
      <c r="E25" s="16" t="inlineStr">
        <is>
          <t>The predicted sentence should be highlighted in a different color for easy identification.</t>
        </is>
      </c>
      <c r="F25" s="26" t="inlineStr">
        <is>
          <t>Passed</t>
        </is>
      </c>
      <c r="G25" s="3" t="n"/>
      <c r="H25" s="366" t="inlineStr">
        <is>
          <t>Done</t>
        </is>
      </c>
      <c r="I25" s="149" t="n"/>
      <c r="J25" s="55" t="n"/>
    </row>
    <row r="26" ht="25.5" customHeight="1">
      <c r="B26" s="18" t="inlineStr">
        <is>
          <t>NP_017</t>
        </is>
      </c>
      <c r="C26" s="366" t="inlineStr">
        <is>
          <t>Notes Processing</t>
        </is>
      </c>
      <c r="D26" s="366" t="inlineStr">
        <is>
          <t>Switch to base spread &gt; mapping.
Click mapped values.</t>
        </is>
      </c>
      <c r="E26" s="16" t="inlineStr">
        <is>
          <t>Mapped value should be highlighted.</t>
        </is>
      </c>
      <c r="F26" s="26" t="inlineStr">
        <is>
          <t>Passed</t>
        </is>
      </c>
      <c r="G26" s="3" t="n"/>
      <c r="H26" s="366" t="inlineStr">
        <is>
          <t>Done</t>
        </is>
      </c>
      <c r="I26" s="149" t="n"/>
      <c r="J26" s="55" t="n"/>
    </row>
    <row r="27" ht="25.5" customHeight="1">
      <c r="B27" s="18" t="inlineStr">
        <is>
          <t>NP_018</t>
        </is>
      </c>
      <c r="C27" s="366" t="inlineStr">
        <is>
          <t>Notes Processing</t>
        </is>
      </c>
      <c r="D27" s="366" t="inlineStr">
        <is>
          <t>Click AI Prediction submenu &gt; Observe keywords mapped in previous spread.</t>
        </is>
      </c>
      <c r="E27" s="366" t="inlineStr">
        <is>
          <t>Keywords should be correct.</t>
        </is>
      </c>
      <c r="F27" s="26" t="inlineStr">
        <is>
          <t>Passed</t>
        </is>
      </c>
      <c r="G27" s="3" t="n"/>
      <c r="H27" s="366" t="inlineStr">
        <is>
          <t>Done</t>
        </is>
      </c>
      <c r="I27" s="149" t="n"/>
      <c r="J27" s="55" t="n"/>
    </row>
    <row r="28" ht="25.5" customHeight="1">
      <c r="B28" s="18" t="inlineStr">
        <is>
          <t>NP_019</t>
        </is>
      </c>
      <c r="C28" s="366" t="inlineStr">
        <is>
          <t>Notes Processing</t>
        </is>
      </c>
      <c r="D28" s="366" t="inlineStr">
        <is>
          <t>Navigate through any of the page from AI Prediction &gt; map same sentence as previous.</t>
        </is>
      </c>
      <c r="E28" s="366" t="inlineStr">
        <is>
          <t>The user should be able to map free text.</t>
        </is>
      </c>
      <c r="F28" s="26" t="inlineStr">
        <is>
          <t>Passed</t>
        </is>
      </c>
      <c r="G28" s="3" t="n"/>
      <c r="H28" s="366" t="inlineStr">
        <is>
          <t>Done</t>
        </is>
      </c>
      <c r="I28" s="149" t="n"/>
      <c r="J28" s="55" t="n"/>
    </row>
    <row r="29" ht="25.5" customHeight="1">
      <c r="B29" s="18" t="inlineStr">
        <is>
          <t>NP_020</t>
        </is>
      </c>
      <c r="C29" s="366" t="inlineStr">
        <is>
          <t>Notes Processing</t>
        </is>
      </c>
      <c r="D29" s="366" t="inlineStr">
        <is>
          <t>Select same keyword (Popup should appears saying to add predicted text).</t>
        </is>
      </c>
      <c r="E29" s="366" t="inlineStr">
        <is>
          <t>The user should be able to map similar keyword.</t>
        </is>
      </c>
      <c r="F29" s="26" t="inlineStr">
        <is>
          <t>Passed</t>
        </is>
      </c>
      <c r="G29" s="3" t="n"/>
      <c r="H29" s="366" t="inlineStr">
        <is>
          <t>Done</t>
        </is>
      </c>
      <c r="I29" s="149" t="n"/>
      <c r="J29" s="55" t="n"/>
    </row>
    <row r="30" ht="25.5" customHeight="1">
      <c r="B30" s="18" t="inlineStr">
        <is>
          <t>NP_021</t>
        </is>
      </c>
      <c r="C30" s="366" t="inlineStr">
        <is>
          <t>Notes Processing</t>
        </is>
      </c>
      <c r="D30" s="366" t="inlineStr">
        <is>
          <t>On mapping the keyword &gt; AI Prediction overlay bar should show the green tick in front of Page no.</t>
        </is>
      </c>
      <c r="E30" s="366" t="inlineStr">
        <is>
          <t>On mapping the keyword &gt; AI Prediction overlay bar should show the green tick in front of Page no.</t>
        </is>
      </c>
      <c r="F30" s="26" t="inlineStr">
        <is>
          <t>Passed</t>
        </is>
      </c>
      <c r="G30" s="3" t="n"/>
      <c r="H30" s="366" t="inlineStr">
        <is>
          <t>Done</t>
        </is>
      </c>
      <c r="I30" s="149" t="n"/>
      <c r="J30" s="55" t="n"/>
    </row>
    <row r="31" ht="40.5" customHeight="1">
      <c r="B31" s="18" t="inlineStr">
        <is>
          <t>NP_022</t>
        </is>
      </c>
      <c r="C31" s="366" t="inlineStr">
        <is>
          <t>Notes Processing</t>
        </is>
      </c>
      <c r="D31" s="366" t="inlineStr">
        <is>
          <t>In case of multiple predictions by the system and user choose 1 out of those then that prediction should show green tick.</t>
        </is>
      </c>
      <c r="E31" s="366" t="inlineStr">
        <is>
          <t>In case of multiple predictions by the system and user choose 1 out of those then that prediction should show green tick.</t>
        </is>
      </c>
      <c r="F31" s="26" t="inlineStr">
        <is>
          <t>Pending</t>
        </is>
      </c>
      <c r="G31" s="3" t="n"/>
      <c r="H31" s="366" t="inlineStr">
        <is>
          <t>Done</t>
        </is>
      </c>
      <c r="I31" s="149" t="n"/>
      <c r="J31" s="55" t="n"/>
    </row>
    <row r="32" ht="28.5" customHeight="1">
      <c r="B32" s="18" t="inlineStr">
        <is>
          <t>NP_023</t>
        </is>
      </c>
      <c r="C32" s="366" t="inlineStr">
        <is>
          <t>Notes Processing</t>
        </is>
      </c>
      <c r="D32" s="366" t="inlineStr">
        <is>
          <t>Expand and collapse the AI Prediction bar &gt; observe green tick.</t>
        </is>
      </c>
      <c r="E32" s="366" t="inlineStr">
        <is>
          <t>Green tick should remain same.</t>
        </is>
      </c>
      <c r="F32" s="26" t="inlineStr">
        <is>
          <t>Pending</t>
        </is>
      </c>
      <c r="G32" s="3" t="n"/>
      <c r="H32" s="366" t="inlineStr">
        <is>
          <t>Done</t>
        </is>
      </c>
      <c r="I32" s="149" t="n"/>
      <c r="J32" s="55" t="n"/>
    </row>
    <row r="33" ht="51" customHeight="1">
      <c r="B33" s="18" t="inlineStr">
        <is>
          <t>NP_024</t>
        </is>
      </c>
      <c r="C33" s="366" t="inlineStr">
        <is>
          <t>Notes Processing</t>
        </is>
      </c>
      <c r="D33" s="366" t="inlineStr">
        <is>
          <t>Click Navigate text &gt; sub menus should be expanded.
1. Mapping.
2. AI Prediction.</t>
        </is>
      </c>
      <c r="E33" s="366" t="inlineStr">
        <is>
          <t>Sub menus should be present,.</t>
        </is>
      </c>
      <c r="F33" s="26" t="inlineStr">
        <is>
          <t>Pending</t>
        </is>
      </c>
      <c r="G33" s="3" t="n"/>
      <c r="H33" s="366" t="inlineStr">
        <is>
          <t>Done</t>
        </is>
      </c>
      <c r="I33" s="149" t="n"/>
      <c r="J33" s="55" t="n"/>
    </row>
    <row r="34" ht="30" customHeight="1">
      <c r="B34" s="18" t="inlineStr">
        <is>
          <t>NP_025</t>
        </is>
      </c>
      <c r="C34" s="366" t="inlineStr">
        <is>
          <t>Notes Processing</t>
        </is>
      </c>
      <c r="D34" s="366" t="inlineStr">
        <is>
          <t>In case of no mapping &gt; Mapping sub menu should show 0 in count.</t>
        </is>
      </c>
      <c r="E34" s="366" t="inlineStr">
        <is>
          <t>In case of no mapping &gt; Mapping sub menu should show 0 in count.</t>
        </is>
      </c>
      <c r="F34" s="26" t="inlineStr">
        <is>
          <t>Pending</t>
        </is>
      </c>
      <c r="G34" s="3" t="n"/>
      <c r="H34" s="366" t="inlineStr">
        <is>
          <t>Done</t>
        </is>
      </c>
      <c r="I34" s="149" t="n"/>
      <c r="J34" s="55" t="n"/>
    </row>
    <row r="35" ht="29.25" customHeight="1">
      <c r="B35" s="18" t="inlineStr">
        <is>
          <t>NP_026</t>
        </is>
      </c>
      <c r="C35" s="366" t="inlineStr">
        <is>
          <t>Notes Processing</t>
        </is>
      </c>
      <c r="D35" s="14" t="inlineStr">
        <is>
          <t>AI Prediction should show count of predicted values based on previous spread.</t>
        </is>
      </c>
      <c r="E35" s="366" t="inlineStr">
        <is>
          <t>The count should be correct.</t>
        </is>
      </c>
      <c r="F35" s="26" t="inlineStr">
        <is>
          <t>Pending</t>
        </is>
      </c>
      <c r="G35" s="3" t="n"/>
      <c r="H35" s="366" t="inlineStr">
        <is>
          <t>Done</t>
        </is>
      </c>
      <c r="I35" s="149" t="n"/>
      <c r="J35" s="55" t="n"/>
    </row>
    <row r="36" ht="32.25" customHeight="1">
      <c r="B36" s="18" t="inlineStr">
        <is>
          <t>NP_027</t>
        </is>
      </c>
      <c r="C36" s="366" t="inlineStr">
        <is>
          <t>Notes Processing</t>
        </is>
      </c>
      <c r="D36" s="79" t="inlineStr">
        <is>
          <t>Verify left panel to show predictions as received from AI engine.</t>
        </is>
      </c>
      <c r="E36" s="79" t="inlineStr">
        <is>
          <t>Left panel to should show predictions as received from AI engine.</t>
        </is>
      </c>
      <c r="F36" s="26" t="inlineStr">
        <is>
          <t>Pending</t>
        </is>
      </c>
      <c r="G36" s="3" t="n"/>
      <c r="H36" s="366" t="inlineStr">
        <is>
          <t>Done</t>
        </is>
      </c>
      <c r="I36" s="149" t="n"/>
      <c r="J36" s="55" t="n"/>
    </row>
    <row r="37" ht="38.25" customHeight="1">
      <c r="B37" s="18" t="inlineStr">
        <is>
          <t>NP_028</t>
        </is>
      </c>
      <c r="C37" s="366" t="inlineStr">
        <is>
          <t>Notes Processing</t>
        </is>
      </c>
      <c r="D37" s="79" t="inlineStr">
        <is>
          <t>Verify Predictions to be shown in Green Highlighted box or White( as default box).</t>
        </is>
      </c>
      <c r="E37" s="79" t="inlineStr">
        <is>
          <t>Predictions should be shown in Green Highlighted box or White( as default box).</t>
        </is>
      </c>
      <c r="F37" s="26" t="inlineStr">
        <is>
          <t>Pending</t>
        </is>
      </c>
      <c r="G37" s="3" t="n"/>
      <c r="H37" s="366" t="inlineStr">
        <is>
          <t>Done</t>
        </is>
      </c>
      <c r="I37" s="149" t="n"/>
      <c r="J37" s="55" t="n"/>
    </row>
    <row r="38" ht="63.75" customHeight="1">
      <c r="B38" s="18" t="inlineStr">
        <is>
          <t>NP_029</t>
        </is>
      </c>
      <c r="C38" s="366" t="inlineStr">
        <is>
          <t>Notes Processing</t>
        </is>
      </c>
      <c r="D38" s="79" t="inlineStr">
        <is>
          <t>Verify Green highlighted box with tick means that particular prediction has been used for mapping either by system automatically (in level 2) or by user manually (in level 1 and level 2).</t>
        </is>
      </c>
      <c r="E38" s="79" t="inlineStr">
        <is>
          <t>Green highlighted box with tick means that particular prediction has been used for mapping either by system automatically (in level 2) or by user manually (in level 1 and level 2).</t>
        </is>
      </c>
      <c r="F38" s="26" t="inlineStr">
        <is>
          <t>Pending</t>
        </is>
      </c>
      <c r="G38" s="3" t="n"/>
      <c r="H38" s="366" t="inlineStr">
        <is>
          <t>Done</t>
        </is>
      </c>
      <c r="I38" s="149" t="n"/>
      <c r="J38" s="55" t="n"/>
    </row>
    <row r="39" ht="51" customHeight="1">
      <c r="B39" s="18" t="inlineStr">
        <is>
          <t>NP_030</t>
        </is>
      </c>
      <c r="C39" s="366" t="inlineStr">
        <is>
          <t>Notes Processing</t>
        </is>
      </c>
      <c r="D39" s="79" t="inlineStr">
        <is>
          <t>Verify Green highlighted predictions to be moved on top of the list and to be shown in alphabetic order among all green boxes.</t>
        </is>
      </c>
      <c r="E39" s="79" t="inlineStr">
        <is>
          <t>Green highlighted predictions should be moved on top of the list and to be shown in alphabetic order among all green boxesG.</t>
        </is>
      </c>
      <c r="F39" s="26" t="inlineStr">
        <is>
          <t>Pending</t>
        </is>
      </c>
      <c r="G39" s="3" t="n"/>
      <c r="H39" s="366" t="inlineStr">
        <is>
          <t>Done</t>
        </is>
      </c>
      <c r="I39" s="149" t="n"/>
      <c r="J39" s="55" t="n"/>
    </row>
    <row r="40" ht="89.25" customHeight="1">
      <c r="B40" s="18" t="inlineStr">
        <is>
          <t>NP_031</t>
        </is>
      </c>
      <c r="C40" s="366" t="inlineStr">
        <is>
          <t>Notes Processing</t>
        </is>
      </c>
      <c r="D40" s="79" t="inlineStr">
        <is>
          <t>Verify Sub predictions having page numbers to also highlighted with some color or tick mark to show that specific page has been used for mapping. For example Depreciation is predicted on Page 2 and 3 and user chooses 2 and map, then that Page number 2 needs to be highlighted for easy visibility.</t>
        </is>
      </c>
      <c r="E40" s="79" t="inlineStr">
        <is>
          <t>Sub predictions having page numbers to also highlighted with some color or tick mark to show that specific page has been used for mapping. For example Depreciation is predicted on Page 2 and 3 and user chooses 2 and map, then that Page number 2 needs to be highlighted for easy visibility.</t>
        </is>
      </c>
      <c r="F40" s="26" t="inlineStr">
        <is>
          <t>Pending</t>
        </is>
      </c>
      <c r="G40" s="3" t="n"/>
      <c r="H40" s="366" t="inlineStr">
        <is>
          <t>Done</t>
        </is>
      </c>
      <c r="I40" s="149" t="n"/>
      <c r="J40" s="55" t="n"/>
    </row>
    <row r="41" ht="51" customHeight="1">
      <c r="B41" s="18" t="inlineStr">
        <is>
          <t>NP_032</t>
        </is>
      </c>
      <c r="C41" s="366" t="inlineStr">
        <is>
          <t>Notes Processing</t>
        </is>
      </c>
      <c r="D41" s="79" t="inlineStr">
        <is>
          <t>Verify White box means predictions are provided but same has not been mapped to model either automatically or manually.</t>
        </is>
      </c>
      <c r="E41" s="79" t="inlineStr">
        <is>
          <t>White box means predictions are provided but same has not been mapped to model either automatically or manually.</t>
        </is>
      </c>
      <c r="F41" s="26" t="inlineStr">
        <is>
          <t>Pending</t>
        </is>
      </c>
      <c r="G41" s="3" t="n"/>
      <c r="H41" s="366" t="inlineStr">
        <is>
          <t>Done</t>
        </is>
      </c>
      <c r="I41" s="149" t="n"/>
      <c r="J41" s="55" t="n"/>
    </row>
    <row r="42" ht="38.25" customHeight="1">
      <c r="B42" s="18" t="inlineStr">
        <is>
          <t>NP_033</t>
        </is>
      </c>
      <c r="C42" s="366" t="inlineStr">
        <is>
          <t>Notes Processing</t>
        </is>
      </c>
      <c r="D42" s="79" t="inlineStr">
        <is>
          <t>Verify all predictions in white to be ordered in alphabetic order.</t>
        </is>
      </c>
      <c r="E42" s="79" t="inlineStr">
        <is>
          <t>All predictions in white should be ordered in alphabetic order.</t>
        </is>
      </c>
      <c r="F42" s="26" t="inlineStr">
        <is>
          <t>Pending</t>
        </is>
      </c>
      <c r="G42" s="3" t="n"/>
      <c r="H42" s="366" t="inlineStr">
        <is>
          <t>Done</t>
        </is>
      </c>
      <c r="I42" s="149" t="n"/>
      <c r="J42" s="55" t="n"/>
    </row>
    <row r="43" ht="68.25" customHeight="1">
      <c r="B43" s="18" t="inlineStr">
        <is>
          <t>NP_034</t>
        </is>
      </c>
      <c r="C43" s="366" t="inlineStr">
        <is>
          <t>Notes Processing</t>
        </is>
      </c>
      <c r="D43" s="79" t="inlineStr">
        <is>
          <t>Verify on case any period does not have prediction then message on click of prediction sub menu to give a message ; 'No Predictions Available'(his can happen in initial base period or for any period where prediction has not been received from AI engine).</t>
        </is>
      </c>
      <c r="E43" s="79" t="inlineStr">
        <is>
          <t>In case any period does not have prediction then message on click of prediction sub menu to give a message ; 'No Predictions Available'.</t>
        </is>
      </c>
      <c r="F43" s="26" t="inlineStr">
        <is>
          <t>Pending</t>
        </is>
      </c>
      <c r="G43" s="3" t="n"/>
      <c r="H43" s="366" t="inlineStr">
        <is>
          <t>Done</t>
        </is>
      </c>
      <c r="I43" s="149" t="n"/>
      <c r="J43" s="55" t="n"/>
    </row>
    <row r="44" ht="102" customHeight="1">
      <c r="B44" s="18" t="inlineStr">
        <is>
          <t>NP_035</t>
        </is>
      </c>
      <c r="C44" s="366" t="inlineStr">
        <is>
          <t>Notes Processing</t>
        </is>
      </c>
      <c r="D44" s="79" t="inlineStr">
        <is>
          <t>Verify Same structure of Green and white to be maintained in base period also with same information which was submitted for that period.For example in 2018 user has submitted spread with 2 predictions in green and 1 prediction in white, then same needs to be shown in 2018 as base period if it comes up.</t>
        </is>
      </c>
      <c r="E44" s="79" t="inlineStr">
        <is>
          <t>Same structure of Green and white to be maintained in base period also with same information which was submitted for that period.For example in 2018 user has submitted spread with 2 predictions in green and 1 prediction in white, then same needs to be shown in 2018 as base period if it comes up.</t>
        </is>
      </c>
      <c r="F44" s="26" t="inlineStr">
        <is>
          <t>Pending</t>
        </is>
      </c>
      <c r="G44" s="3" t="n"/>
      <c r="H44" s="366" t="inlineStr">
        <is>
          <t>Done</t>
        </is>
      </c>
      <c r="I44" s="149" t="n"/>
      <c r="J44" s="55" t="n"/>
    </row>
    <row r="45" ht="76.5" customHeight="1">
      <c r="B45" s="18" t="inlineStr">
        <is>
          <t>NP_036</t>
        </is>
      </c>
      <c r="C45" s="366" t="inlineStr">
        <is>
          <t>Notes Processing</t>
        </is>
      </c>
      <c r="D45" s="79" t="inlineStr">
        <is>
          <t>Verify If the user manually finds any value and map it to model cell then it should be treated as mapping which is done for 1st time (not received as prediction) hence user will choose keyword and then that mapping will also show up in mapping tab and next period this will come up as prediction by AI engine.</t>
        </is>
      </c>
      <c r="E45" s="79" t="inlineStr">
        <is>
          <t>If the user manually finds any value and map it to model cell then it should be treated as mapping which is done for 1st time (not received as prediction) hence user will choose keyword and then that mapping will also show up in mapping tab and next period this will come up as prediction by AI engine.</t>
        </is>
      </c>
      <c r="F45" s="26" t="inlineStr">
        <is>
          <t>Pending</t>
        </is>
      </c>
      <c r="G45" s="3" t="n"/>
      <c r="H45" s="366" t="inlineStr">
        <is>
          <t>Done</t>
        </is>
      </c>
      <c r="I45" s="149" t="n"/>
      <c r="J45" s="55" t="n"/>
    </row>
    <row r="46" ht="25.5" customHeight="1">
      <c r="B46" s="18" t="inlineStr">
        <is>
          <t>NP_037</t>
        </is>
      </c>
      <c r="C46" s="366" t="inlineStr">
        <is>
          <t>Notes Processing</t>
        </is>
      </c>
      <c r="D46" s="79" t="inlineStr">
        <is>
          <t>Verify Mapping data and prediction data to be shown as segregated data only.</t>
        </is>
      </c>
      <c r="E46" s="79" t="inlineStr">
        <is>
          <t>Mapping data and prediction data to be shown as segregated data only.</t>
        </is>
      </c>
      <c r="F46" s="26" t="inlineStr">
        <is>
          <t>Pending</t>
        </is>
      </c>
      <c r="G46" s="3" t="n"/>
      <c r="H46" s="366" t="inlineStr">
        <is>
          <t>Done</t>
        </is>
      </c>
      <c r="I46" s="149" t="n"/>
      <c r="J46" s="55" t="n"/>
    </row>
    <row r="47">
      <c r="B47" s="18" t="inlineStr">
        <is>
          <t>NP_038</t>
        </is>
      </c>
      <c r="C47" s="366" t="inlineStr">
        <is>
          <t>Notes Processing</t>
        </is>
      </c>
      <c r="D47" s="79" t="inlineStr">
        <is>
          <t>Log in to SS tool.</t>
        </is>
      </c>
      <c r="E47" s="79" t="inlineStr">
        <is>
          <t>The user should be able to login.</t>
        </is>
      </c>
      <c r="F47" s="26" t="inlineStr">
        <is>
          <t>Pending</t>
        </is>
      </c>
      <c r="G47" s="3" t="n"/>
      <c r="H47" s="366" t="inlineStr">
        <is>
          <t>Done</t>
        </is>
      </c>
      <c r="I47" s="149" t="n"/>
      <c r="J47" s="55" t="n"/>
    </row>
    <row r="48">
      <c r="B48" s="18" t="inlineStr">
        <is>
          <t>NP_039</t>
        </is>
      </c>
      <c r="C48" s="366" t="inlineStr">
        <is>
          <t>Notes Processing</t>
        </is>
      </c>
      <c r="D48" s="79" t="inlineStr">
        <is>
          <t>Navigate to Spreading screen.</t>
        </is>
      </c>
      <c r="E48" s="79" t="inlineStr">
        <is>
          <t>Spreading screen should open.</t>
        </is>
      </c>
      <c r="F48" s="26" t="inlineStr">
        <is>
          <t>Pending</t>
        </is>
      </c>
      <c r="G48" s="3" t="n"/>
      <c r="H48" s="366" t="inlineStr">
        <is>
          <t>Done</t>
        </is>
      </c>
      <c r="I48" s="149" t="n"/>
      <c r="J48" s="55" t="n"/>
    </row>
    <row r="49" ht="25.5" customHeight="1">
      <c r="B49" s="18" t="inlineStr">
        <is>
          <t>NP_040</t>
        </is>
      </c>
      <c r="C49" s="366" t="inlineStr">
        <is>
          <t>Notes Processing</t>
        </is>
      </c>
      <c r="D49" s="79" t="inlineStr">
        <is>
          <t>Observe that there should be Global prediction present.</t>
        </is>
      </c>
      <c r="E49" s="79" t="inlineStr">
        <is>
          <t>Global prediction should be present.</t>
        </is>
      </c>
      <c r="F49" s="26" t="inlineStr">
        <is>
          <t>Pending</t>
        </is>
      </c>
      <c r="G49" s="3" t="n"/>
      <c r="H49" s="366" t="inlineStr">
        <is>
          <t>Done</t>
        </is>
      </c>
      <c r="I49" s="149" t="n"/>
      <c r="J49" s="55" t="n"/>
    </row>
    <row r="50" ht="38.25" customHeight="1">
      <c r="B50" s="18" t="inlineStr">
        <is>
          <t>NP_041</t>
        </is>
      </c>
      <c r="C50" s="366" t="inlineStr">
        <is>
          <t>Notes Processing</t>
        </is>
      </c>
      <c r="D50" s="79" t="inlineStr">
        <is>
          <t>Verify system to Autofill values from free text based on mapping from base period.</t>
        </is>
      </c>
      <c r="E50" s="79" t="inlineStr">
        <is>
          <t>The system should Autofill values from free text based on mapping from base period.</t>
        </is>
      </c>
      <c r="F50" s="26" t="inlineStr">
        <is>
          <t>Pending</t>
        </is>
      </c>
      <c r="G50" s="3" t="n"/>
      <c r="H50" s="366" t="inlineStr">
        <is>
          <t>Done</t>
        </is>
      </c>
      <c r="I50" s="149" t="n"/>
      <c r="J50" s="55" t="n"/>
    </row>
    <row r="51" ht="30" customHeight="1">
      <c r="B51" s="18" t="inlineStr">
        <is>
          <t>NP_042</t>
        </is>
      </c>
      <c r="C51" s="366" t="inlineStr">
        <is>
          <t>Notes Processing</t>
        </is>
      </c>
      <c r="D51" s="79" t="inlineStr">
        <is>
          <t>Verify Autofill to happen for free text value on click of Autofill button along with values from tables.</t>
        </is>
      </c>
      <c r="E51" s="79" t="inlineStr">
        <is>
          <t>Autofill should happen when click All keywords.</t>
        </is>
      </c>
      <c r="F51" s="26" t="inlineStr">
        <is>
          <t>Pending</t>
        </is>
      </c>
      <c r="G51" s="3" t="n"/>
      <c r="H51" s="366" t="inlineStr">
        <is>
          <t>Done</t>
        </is>
      </c>
      <c r="I51" s="149" t="n"/>
      <c r="J51" s="55" t="n"/>
    </row>
    <row r="52" ht="27.75" customHeight="1">
      <c r="B52" s="18" t="inlineStr">
        <is>
          <t>NP_043</t>
        </is>
      </c>
      <c r="C52" s="366" t="inlineStr">
        <is>
          <t>Notes Processing</t>
        </is>
      </c>
      <c r="D52" s="79" t="inlineStr">
        <is>
          <t>Verify Auto fill of only those prediction to happen which have mapping against them with model cell.</t>
        </is>
      </c>
      <c r="E52" s="79" t="inlineStr">
        <is>
          <t>Auto fill should happen for mentioned values.</t>
        </is>
      </c>
      <c r="F52" s="26" t="inlineStr">
        <is>
          <t>Pending</t>
        </is>
      </c>
      <c r="G52" s="3" t="n"/>
      <c r="H52" s="366" t="inlineStr">
        <is>
          <t>Done</t>
        </is>
      </c>
      <c r="I52" s="149" t="n"/>
      <c r="J52" s="55" t="n"/>
    </row>
    <row r="53" ht="51" customHeight="1">
      <c r="B53" s="18" t="inlineStr">
        <is>
          <t>NP_044</t>
        </is>
      </c>
      <c r="C53" s="366" t="inlineStr">
        <is>
          <t>Notes Processing</t>
        </is>
      </c>
      <c r="D53" s="79" t="inlineStr">
        <is>
          <t>Verify If only 1 prediction is provided by the ML team against that keyword and that keyword has mapping available as per base period or Master template then only Autofill will happen.</t>
        </is>
      </c>
      <c r="E53" s="79" t="inlineStr">
        <is>
          <t>The system should only 1 prediction is provided by the ML team against that keyword and that keyword has mapping available as per base period or Master template then only Autofill will happen.</t>
        </is>
      </c>
      <c r="F53" s="26" t="inlineStr">
        <is>
          <t>Pending</t>
        </is>
      </c>
      <c r="G53" s="3" t="n"/>
      <c r="H53" s="366" t="inlineStr">
        <is>
          <t>Done</t>
        </is>
      </c>
      <c r="I53" s="149" t="n"/>
      <c r="J53" s="55" t="n"/>
    </row>
    <row r="54" ht="38.25" customHeight="1">
      <c r="B54" s="18" t="inlineStr">
        <is>
          <t>NP_045</t>
        </is>
      </c>
      <c r="C54" s="366" t="inlineStr">
        <is>
          <t>Notes Processing</t>
        </is>
      </c>
      <c r="D54" s="79" t="inlineStr">
        <is>
          <t>Verify Master template if used as base then also Autofill to happen based on mapping created using keyword mapping from free text zone.</t>
        </is>
      </c>
      <c r="E54" s="79" t="inlineStr">
        <is>
          <t>The system should master template if used as base then also Autofill to happen based on mapping created using keyword mapping from free text zone.</t>
        </is>
      </c>
      <c r="F54" s="26" t="inlineStr">
        <is>
          <t>Pending</t>
        </is>
      </c>
      <c r="G54" s="3" t="n"/>
      <c r="H54" s="366" t="inlineStr">
        <is>
          <t>Done</t>
        </is>
      </c>
      <c r="I54" s="149" t="n"/>
      <c r="J54" s="55" t="n"/>
    </row>
    <row r="55" ht="38.25" customHeight="1">
      <c r="B55" s="18" t="inlineStr">
        <is>
          <t>NP_046</t>
        </is>
      </c>
      <c r="C55" s="366" t="inlineStr">
        <is>
          <t>Notes Processing</t>
        </is>
      </c>
      <c r="D55" s="79" t="inlineStr">
        <is>
          <t>Verify Map mode to happen automatically by system before Autofill can be done, no user action is required.</t>
        </is>
      </c>
      <c r="E55" s="79" t="inlineStr">
        <is>
          <t>Map mode to happen automatically by system before Autofill can be done, no user action is required.</t>
        </is>
      </c>
      <c r="F55" s="26" t="inlineStr">
        <is>
          <t>Pending</t>
        </is>
      </c>
      <c r="G55" s="3" t="n"/>
      <c r="H55" s="366" t="inlineStr">
        <is>
          <t>Done</t>
        </is>
      </c>
      <c r="I55" s="149" t="n"/>
      <c r="J55" s="55" t="n"/>
    </row>
    <row r="56" ht="63.75" customHeight="1">
      <c r="B56" s="18" t="inlineStr">
        <is>
          <t>NP_047</t>
        </is>
      </c>
      <c r="C56" s="366" t="inlineStr">
        <is>
          <t>Notes Processing</t>
        </is>
      </c>
      <c r="D56" s="79" t="inlineStr">
        <is>
          <t>Verify Against one keyword there can be multiple predictions based on base year where same keyword is used for different sentence. Logic unique Keyword and Sentence prediction to be followed.</t>
        </is>
      </c>
      <c r="E56" s="79" t="inlineStr">
        <is>
          <t>Against one keyword there can be multiple predictions based on base year where same keyword is used for different sentence. Logic unique Keyword and Sentence prediction to be followed.</t>
        </is>
      </c>
      <c r="F56" s="26" t="inlineStr">
        <is>
          <t>Pending</t>
        </is>
      </c>
      <c r="G56" s="3" t="n"/>
      <c r="H56" s="366" t="inlineStr">
        <is>
          <t>Done</t>
        </is>
      </c>
      <c r="I56" s="149" t="n"/>
      <c r="J56" s="55" t="n"/>
    </row>
    <row r="57" ht="63.75" customHeight="1">
      <c r="B57" s="18" t="inlineStr">
        <is>
          <t>NP_048</t>
        </is>
      </c>
      <c r="C57" s="366" t="inlineStr">
        <is>
          <t>Notes Processing</t>
        </is>
      </c>
      <c r="D57" s="79" t="inlineStr">
        <is>
          <t>Consider that Global Prediction coming for "Keyword 1" and keyword is mapped in Template as free text.
And another "Keyword 2" and keyword is not mapped in Template as free text.</t>
        </is>
      </c>
      <c r="E57" s="79" t="inlineStr">
        <is>
          <t>Mentioned PredictionsA should be present.</t>
        </is>
      </c>
      <c r="F57" s="26" t="inlineStr">
        <is>
          <t>Pending</t>
        </is>
      </c>
      <c r="G57" s="3" t="n"/>
      <c r="H57" s="366" t="inlineStr">
        <is>
          <t>Done</t>
        </is>
      </c>
      <c r="I57" s="149" t="n"/>
      <c r="J57" s="55" t="n"/>
    </row>
    <row r="58" ht="38.25" customHeight="1">
      <c r="B58" s="18" t="inlineStr">
        <is>
          <t>NP_049</t>
        </is>
      </c>
      <c r="C58" s="366" t="inlineStr">
        <is>
          <t>Notes Processing</t>
        </is>
      </c>
      <c r="D58" s="366" t="inlineStr">
        <is>
          <t>Autofill for all keywords &gt; observe.</t>
        </is>
      </c>
      <c r="E58" s="366" t="inlineStr">
        <is>
          <t>Autofill should happen for mapped keyword in template.</t>
        </is>
      </c>
      <c r="F58" s="26" t="inlineStr">
        <is>
          <t>Pending</t>
        </is>
      </c>
      <c r="G58" s="3" t="n"/>
      <c r="H58" s="366" t="inlineStr">
        <is>
          <t>Done</t>
        </is>
      </c>
      <c r="I58" s="149" t="n"/>
      <c r="J58" s="55" t="n"/>
    </row>
    <row r="59" ht="32.25" customHeight="1">
      <c r="B59" s="18" t="inlineStr">
        <is>
          <t>NP_050</t>
        </is>
      </c>
      <c r="C59" s="366" t="inlineStr">
        <is>
          <t>Notes Processing</t>
        </is>
      </c>
      <c r="D59" s="79" t="inlineStr">
        <is>
          <t>Verify that Autofill should not happen for keyword with multiple prediction on pages.</t>
        </is>
      </c>
      <c r="E59" s="79" t="inlineStr">
        <is>
          <t>Autofill should not happen.</t>
        </is>
      </c>
      <c r="F59" s="26" t="inlineStr">
        <is>
          <t>Pending</t>
        </is>
      </c>
      <c r="G59" s="3" t="n"/>
      <c r="H59" s="366" t="inlineStr">
        <is>
          <t>Done</t>
        </is>
      </c>
      <c r="I59" s="149" t="n"/>
      <c r="J59" s="55" t="n"/>
    </row>
    <row r="60" ht="30" customHeight="1">
      <c r="B60" s="18" t="inlineStr">
        <is>
          <t>NP_051</t>
        </is>
      </c>
      <c r="C60" s="366" t="inlineStr">
        <is>
          <t>Notes Processing</t>
        </is>
      </c>
      <c r="D60" s="79" t="inlineStr">
        <is>
          <t>Verify that Autofill should not happen for keyword with Single year having multiple values.</t>
        </is>
      </c>
      <c r="E60" s="79" t="inlineStr">
        <is>
          <t>Autofill should not happen in such case.</t>
        </is>
      </c>
      <c r="F60" s="26" t="inlineStr">
        <is>
          <t>Pending</t>
        </is>
      </c>
      <c r="G60" s="3" t="n"/>
      <c r="H60" s="366" t="inlineStr">
        <is>
          <t>Done</t>
        </is>
      </c>
      <c r="I60" s="149" t="n"/>
      <c r="J60" s="55" t="n"/>
    </row>
    <row r="61" ht="38.25" customHeight="1">
      <c r="B61" s="18" t="inlineStr">
        <is>
          <t>NP_052</t>
        </is>
      </c>
      <c r="C61" s="366" t="inlineStr">
        <is>
          <t>Notes Processing</t>
        </is>
      </c>
      <c r="D61" s="79" t="inlineStr">
        <is>
          <t>Map free text in template and then apply contra in template.
Try to Autofill in for Global prediction.</t>
        </is>
      </c>
      <c r="E61" s="79" t="inlineStr">
        <is>
          <t>Autofill should happen and contra should be part of autofilled value.</t>
        </is>
      </c>
      <c r="F61" s="26" t="inlineStr">
        <is>
          <t>Pending</t>
        </is>
      </c>
      <c r="G61" s="3" t="n"/>
      <c r="H61" s="366" t="inlineStr">
        <is>
          <t>Done</t>
        </is>
      </c>
      <c r="I61" s="149" t="n"/>
      <c r="J61" s="55" t="n"/>
    </row>
    <row r="62" ht="38.25" customHeight="1">
      <c r="B62" s="18" t="inlineStr">
        <is>
          <t>NP_053</t>
        </is>
      </c>
      <c r="C62" s="366" t="inlineStr">
        <is>
          <t>Notes Processing</t>
        </is>
      </c>
      <c r="D62" s="79" t="inlineStr">
        <is>
          <t>Map multiple free text values in template and then map value from other Global zones.
Try to Autofill in for Global prediction.</t>
        </is>
      </c>
      <c r="E62" s="79" t="inlineStr">
        <is>
          <t>Autofill should happen and expression should not break.</t>
        </is>
      </c>
      <c r="F62" s="26" t="inlineStr">
        <is>
          <t>Pending</t>
        </is>
      </c>
      <c r="G62" s="3" t="n"/>
      <c r="H62" s="366" t="inlineStr">
        <is>
          <t>Done</t>
        </is>
      </c>
      <c r="I62" s="149" t="n"/>
      <c r="J62" s="55" t="n"/>
    </row>
    <row r="63">
      <c r="B63" s="18" t="inlineStr">
        <is>
          <t>NP_054</t>
        </is>
      </c>
      <c r="C63" s="366" t="inlineStr">
        <is>
          <t>Notes Processing</t>
        </is>
      </c>
      <c r="D63" s="79" t="inlineStr">
        <is>
          <t>Go to Notes Processing Management Screen.</t>
        </is>
      </c>
      <c r="E63" s="79" t="inlineStr">
        <is>
          <t>The screen should be launched.</t>
        </is>
      </c>
      <c r="F63" s="26" t="inlineStr">
        <is>
          <t>Pending</t>
        </is>
      </c>
      <c r="G63" s="3" t="n"/>
      <c r="H63" s="366" t="inlineStr">
        <is>
          <t>Done</t>
        </is>
      </c>
      <c r="I63" s="149" t="n"/>
      <c r="J63" s="55" t="n"/>
    </row>
    <row r="64" ht="25.5" customHeight="1">
      <c r="B64" s="18" t="inlineStr">
        <is>
          <t>NP_055</t>
        </is>
      </c>
      <c r="C64" s="366" t="inlineStr">
        <is>
          <t>Notes Processing</t>
        </is>
      </c>
      <c r="D64" s="79" t="inlineStr">
        <is>
          <t>Observe column options in screen: Keywords, Language, group, Model and synonyms.</t>
        </is>
      </c>
      <c r="E64" s="79" t="inlineStr">
        <is>
          <t>Options should be present.</t>
        </is>
      </c>
      <c r="F64" s="26" t="inlineStr">
        <is>
          <t>Pending</t>
        </is>
      </c>
      <c r="G64" s="3" t="n"/>
      <c r="H64" s="366" t="inlineStr">
        <is>
          <t>Done</t>
        </is>
      </c>
      <c r="I64" s="149" t="n"/>
      <c r="J64" s="55" t="n"/>
    </row>
    <row r="65" ht="38.25" customHeight="1">
      <c r="B65" s="18" t="inlineStr">
        <is>
          <t>NP_056</t>
        </is>
      </c>
      <c r="C65" s="366" t="inlineStr">
        <is>
          <t>Notes Processing</t>
        </is>
      </c>
      <c r="D65" s="79" t="inlineStr">
        <is>
          <t>Verify that Notes processing UI screen for addition should allow for keywords to be added as per unique combination of Language, Access Group and Model.</t>
        </is>
      </c>
      <c r="E65" s="79" t="inlineStr">
        <is>
          <t>Notes processing UI screen for addition should allow for keywords to be added as per unique combination of Language, Access Group and Model.</t>
        </is>
      </c>
      <c r="F65" s="26" t="inlineStr">
        <is>
          <t>Pending</t>
        </is>
      </c>
      <c r="G65" s="3" t="n"/>
      <c r="H65" s="366" t="inlineStr">
        <is>
          <t>Done</t>
        </is>
      </c>
      <c r="I65" s="149" t="n"/>
      <c r="J65" s="55" t="n"/>
    </row>
    <row r="66" ht="38.25" customHeight="1">
      <c r="B66" s="18" t="inlineStr">
        <is>
          <t>NP_057</t>
        </is>
      </c>
      <c r="C66" s="366" t="inlineStr">
        <is>
          <t>Notes Processing</t>
        </is>
      </c>
      <c r="D66" s="79" t="inlineStr">
        <is>
          <t>Verify that only those keywords list will be shown to the user which will be filtered based on language, group and model.</t>
        </is>
      </c>
      <c r="E66" s="79" t="inlineStr">
        <is>
          <t>The system should only those keywords list will be shown to the user which will be filtered based on language, group and model.</t>
        </is>
      </c>
      <c r="F66" s="26" t="inlineStr">
        <is>
          <t>Pending</t>
        </is>
      </c>
      <c r="G66" s="3" t="n"/>
      <c r="H66" s="366" t="inlineStr">
        <is>
          <t>Done</t>
        </is>
      </c>
      <c r="I66" s="149" t="n"/>
      <c r="J66" s="55" t="n"/>
    </row>
    <row r="67" ht="25.5" customHeight="1">
      <c r="B67" s="18" t="inlineStr">
        <is>
          <t>NP_058</t>
        </is>
      </c>
      <c r="C67" s="366" t="inlineStr">
        <is>
          <t>Notes Processing</t>
        </is>
      </c>
      <c r="D67" s="79" t="inlineStr">
        <is>
          <t>Check that this functionality needs to be configurable as per client.</t>
        </is>
      </c>
      <c r="E67" s="79" t="inlineStr">
        <is>
          <t>This functionality should be configurable as per client.</t>
        </is>
      </c>
      <c r="F67" s="26" t="inlineStr">
        <is>
          <t>Pending</t>
        </is>
      </c>
      <c r="G67" s="3" t="n"/>
      <c r="H67" s="366" t="inlineStr">
        <is>
          <t>Out of Scope</t>
        </is>
      </c>
      <c r="I67" s="149" t="n"/>
      <c r="J67" s="55" t="n"/>
    </row>
    <row r="68" ht="25.5" customHeight="1">
      <c r="B68" s="18" t="inlineStr">
        <is>
          <t>NP_059</t>
        </is>
      </c>
      <c r="C68" s="366" t="inlineStr">
        <is>
          <t>Notes Processing</t>
        </is>
      </c>
      <c r="D68" s="79" t="inlineStr">
        <is>
          <t>Check that Access group filter will only show the groups which are mapped to the logged in the user.</t>
        </is>
      </c>
      <c r="E68" s="79" t="inlineStr">
        <is>
          <t>Restricted groups should not be displayed.</t>
        </is>
      </c>
      <c r="F68" s="26" t="inlineStr">
        <is>
          <t>Pending</t>
        </is>
      </c>
      <c r="G68" s="3" t="n"/>
      <c r="H68" s="366" t="inlineStr">
        <is>
          <t>Done</t>
        </is>
      </c>
      <c r="I68" s="149" t="n"/>
      <c r="J68" s="55" t="n"/>
    </row>
    <row r="69" ht="25.5" customHeight="1">
      <c r="B69" s="18" t="inlineStr">
        <is>
          <t>NP_060</t>
        </is>
      </c>
      <c r="C69" s="366" t="inlineStr">
        <is>
          <t>Notes Processing</t>
        </is>
      </c>
      <c r="D69" s="79" t="inlineStr">
        <is>
          <t>Verify that this filter should be single-select.</t>
        </is>
      </c>
      <c r="E69" s="79" t="inlineStr">
        <is>
          <t>Should be same.</t>
        </is>
      </c>
      <c r="F69" s="26" t="inlineStr">
        <is>
          <t>Pending</t>
        </is>
      </c>
      <c r="G69" s="3" t="n"/>
      <c r="H69" s="366" t="inlineStr">
        <is>
          <t>Done</t>
        </is>
      </c>
      <c r="I69" s="149" t="n"/>
      <c r="J69" s="55" t="n"/>
    </row>
    <row r="70" ht="25.5" customHeight="1">
      <c r="B70" s="18" t="inlineStr">
        <is>
          <t>NP_061</t>
        </is>
      </c>
      <c r="C70" s="366" t="inlineStr">
        <is>
          <t>Notes Processing</t>
        </is>
      </c>
      <c r="D70" s="79" t="inlineStr">
        <is>
          <t>Verify that Model filter will have cascading effect on the group selection. This filter should be single-select.</t>
        </is>
      </c>
      <c r="E70" s="79" t="inlineStr">
        <is>
          <t>Model filter will have cascading effect on the group selection. This filter should be single-select.</t>
        </is>
      </c>
      <c r="F70" s="26" t="inlineStr">
        <is>
          <t>Pending</t>
        </is>
      </c>
      <c r="G70" s="3" t="n"/>
      <c r="H70" s="366" t="inlineStr">
        <is>
          <t>Done</t>
        </is>
      </c>
      <c r="I70" s="149" t="n"/>
      <c r="J70" s="55" t="n"/>
    </row>
    <row r="71" ht="25.5" customHeight="1">
      <c r="B71" s="18" t="inlineStr">
        <is>
          <t>NP_062</t>
        </is>
      </c>
      <c r="C71" s="366" t="inlineStr">
        <is>
          <t>Notes Processing</t>
        </is>
      </c>
      <c r="D71" s="79" t="inlineStr">
        <is>
          <t>Verify that Language - This will be an independent filter. This filter should be single-select.</t>
        </is>
      </c>
      <c r="E71" s="79" t="inlineStr">
        <is>
          <t>Language - This will be an independent filter. This filter should be single-select.</t>
        </is>
      </c>
      <c r="F71" s="26" t="inlineStr">
        <is>
          <t>Pending</t>
        </is>
      </c>
      <c r="G71" s="3" t="n"/>
      <c r="H71" s="366" t="inlineStr">
        <is>
          <t>Done</t>
        </is>
      </c>
      <c r="I71" s="149" t="n"/>
      <c r="J71" s="55" t="n"/>
    </row>
    <row r="72" ht="42" customHeight="1">
      <c r="B72" s="18" t="inlineStr">
        <is>
          <t>NP_063</t>
        </is>
      </c>
      <c r="C72" s="366" t="inlineStr">
        <is>
          <t>Notes Processing</t>
        </is>
      </c>
      <c r="D72" s="79" t="inlineStr">
        <is>
          <t>Verify that groups and model filters will not be there if client does not want the keywords as per groups and models.</t>
        </is>
      </c>
      <c r="E72" s="79" t="inlineStr">
        <is>
          <t>In this case all keywords should be generic for all access group and model.</t>
        </is>
      </c>
      <c r="F72" s="26" t="inlineStr">
        <is>
          <t>Pending</t>
        </is>
      </c>
      <c r="G72" s="3" t="n"/>
      <c r="H72" s="366" t="inlineStr">
        <is>
          <t>Out of Scope</t>
        </is>
      </c>
      <c r="I72" s="149" t="n"/>
      <c r="J72" s="55" t="n"/>
    </row>
    <row r="73" ht="38.25" customHeight="1">
      <c r="B73" s="18" t="inlineStr">
        <is>
          <t>NP_064</t>
        </is>
      </c>
      <c r="C73" s="366" t="inlineStr">
        <is>
          <t>Notes Processing</t>
        </is>
      </c>
      <c r="D73" s="79" t="inlineStr">
        <is>
          <t>Observe download button &gt; Download notes keyword for the selected filters should be a provision on this interface.</t>
        </is>
      </c>
      <c r="E73" s="79" t="inlineStr">
        <is>
          <t>Verify that the user can download keywords.</t>
        </is>
      </c>
      <c r="F73" s="26" t="inlineStr">
        <is>
          <t>Pending</t>
        </is>
      </c>
      <c r="G73" s="3" t="n"/>
      <c r="H73" s="366" t="inlineStr">
        <is>
          <t>Done</t>
        </is>
      </c>
      <c r="I73" s="149" t="n"/>
      <c r="J73" s="55" t="n"/>
    </row>
    <row r="74" ht="38.25" customHeight="1">
      <c r="B74" s="266" t="inlineStr">
        <is>
          <t>NP_065</t>
        </is>
      </c>
      <c r="C74" s="92" t="inlineStr">
        <is>
          <t>Notes Processing</t>
        </is>
      </c>
      <c r="D74" s="92" t="inlineStr">
        <is>
          <t>Upload functionality is not required.</t>
        </is>
      </c>
      <c r="E74" s="92" t="inlineStr">
        <is>
          <t>Upload button should not be present.</t>
        </is>
      </c>
      <c r="F74" s="26" t="inlineStr">
        <is>
          <t>Pending</t>
        </is>
      </c>
      <c r="G74" s="3" t="n"/>
      <c r="H74" s="366" t="inlineStr">
        <is>
          <t>Done</t>
        </is>
      </c>
      <c r="I74" s="149" t="n"/>
      <c r="J74" s="55" t="n"/>
    </row>
    <row r="75" ht="51" customHeight="1">
      <c r="B75" s="18" t="inlineStr">
        <is>
          <t>NP_066</t>
        </is>
      </c>
      <c r="C75" s="366" t="inlineStr">
        <is>
          <t>Notes Processing</t>
        </is>
      </c>
      <c r="D75" s="79" t="inlineStr">
        <is>
          <t>Verify that on Bulk Upload and Add item: Logged in user access groups and language of the file will be considered to filter keywords and sent to ML engine in the request.</t>
        </is>
      </c>
      <c r="E75" s="79" t="inlineStr">
        <is>
          <t>The system should on Bulk Upload and Add item: Logged in user access groups and language of the file will be considered to filter keywords and sent to ML engine in the request.</t>
        </is>
      </c>
      <c r="F75" s="26" t="inlineStr">
        <is>
          <t>Pending</t>
        </is>
      </c>
      <c r="G75" s="3" t="n"/>
      <c r="H75" s="366" t="inlineStr">
        <is>
          <t>Done</t>
        </is>
      </c>
      <c r="I75" s="149" t="n"/>
      <c r="J75" s="55" t="n"/>
    </row>
    <row r="76" ht="25.5" customHeight="1">
      <c r="B76" s="18" t="inlineStr">
        <is>
          <t>NP_067</t>
        </is>
      </c>
      <c r="C76" s="366" t="inlineStr">
        <is>
          <t>Notes Processing</t>
        </is>
      </c>
      <c r="D76" s="79" t="inlineStr">
        <is>
          <t>Verify that Prediction received from ML engine will again be filtered.</t>
        </is>
      </c>
      <c r="E76" s="79" t="inlineStr">
        <is>
          <t>Should be model/group specific.</t>
        </is>
      </c>
      <c r="F76" s="26" t="inlineStr">
        <is>
          <t>Pending</t>
        </is>
      </c>
      <c r="G76" s="3" t="n"/>
      <c r="H76" s="366" t="inlineStr">
        <is>
          <t>Done</t>
        </is>
      </c>
      <c r="I76" s="149" t="n"/>
      <c r="J76" s="55" t="n"/>
    </row>
    <row r="77" ht="76.5" customHeight="1">
      <c r="B77" s="18" t="inlineStr">
        <is>
          <t>NP_068</t>
        </is>
      </c>
      <c r="C77" s="366" t="inlineStr">
        <is>
          <t>Notes Processing</t>
        </is>
      </c>
      <c r="D77" s="79" t="inlineStr">
        <is>
          <t>If keyword does not belong to the group of the item and the model used, then we will ignore the keyword prediction and if keyword belongs to the selected group and model then we will show on Spreading screen.</t>
        </is>
      </c>
      <c r="E77" s="79" t="inlineStr">
        <is>
          <t>If keyword does not belong to the group of the item and the model used, then we will ignore the keyword prediction and if keyword belongs to the selected group and model then we will show on Spreading screen.</t>
        </is>
      </c>
      <c r="F77" s="26" t="inlineStr">
        <is>
          <t>Pending</t>
        </is>
      </c>
      <c r="G77" s="3" t="n"/>
      <c r="H77" s="366" t="inlineStr">
        <is>
          <t>Done</t>
        </is>
      </c>
      <c r="I77" s="149" t="n"/>
      <c r="J77" s="55" t="n"/>
    </row>
    <row r="78" ht="25.5" customHeight="1">
      <c r="B78" s="18" t="inlineStr">
        <is>
          <t>NP_069</t>
        </is>
      </c>
      <c r="C78" s="366" t="inlineStr">
        <is>
          <t>Notes Processing</t>
        </is>
      </c>
      <c r="D78" s="79" t="inlineStr">
        <is>
          <t>Verify refresh search button.</t>
        </is>
      </c>
      <c r="E78" s="79" t="inlineStr">
        <is>
          <t>Search panel all parameters should be set to default value.</t>
        </is>
      </c>
      <c r="F78" s="26" t="inlineStr">
        <is>
          <t>Pending</t>
        </is>
      </c>
      <c r="G78" s="3" t="n"/>
      <c r="H78" s="366" t="inlineStr">
        <is>
          <t>Done</t>
        </is>
      </c>
      <c r="I78" s="149" t="n"/>
      <c r="J78" s="55" t="n"/>
    </row>
    <row r="79" ht="51.75" customHeight="1">
      <c r="B79" s="18" t="inlineStr">
        <is>
          <t>NP_070</t>
        </is>
      </c>
      <c r="C79" s="366" t="inlineStr">
        <is>
          <t>Notes Processing</t>
        </is>
      </c>
      <c r="D79" s="79" t="inlineStr">
        <is>
          <t>Go to Add Notes Keyword form. Enter Notes Keyword and leave Synonyms field bank. Click Add button.</t>
        </is>
      </c>
      <c r="E79" s="15" t="inlineStr">
        <is>
          <t>Synonyms is a mandatory field, keyword should not be added and mandatory field error message should be show.</t>
        </is>
      </c>
      <c r="F79" s="26" t="inlineStr">
        <is>
          <t>Pending</t>
        </is>
      </c>
      <c r="G79" s="3" t="n"/>
      <c r="H79" s="366" t="inlineStr">
        <is>
          <t>Out of Scope</t>
        </is>
      </c>
      <c r="I79" s="169" t="inlineStr">
        <is>
          <t>synonyms field is not mandatory</t>
        </is>
      </c>
      <c r="J79" s="55" t="n"/>
    </row>
    <row r="80" ht="25.5" customHeight="1">
      <c r="B80" s="18" t="inlineStr">
        <is>
          <t>NP_071</t>
        </is>
      </c>
      <c r="C80" s="366" t="inlineStr">
        <is>
          <t>Notes Processing</t>
        </is>
      </c>
      <c r="D80" s="79" t="inlineStr">
        <is>
          <t>User select value from pdf having number with "."
User map the values to the model side cell.</t>
        </is>
      </c>
      <c r="E80" s="79" t="inlineStr">
        <is>
          <t>Value should be mapped and "." should not present.</t>
        </is>
      </c>
      <c r="F80" s="26" t="inlineStr">
        <is>
          <t>Pending</t>
        </is>
      </c>
      <c r="G80" s="3" t="n"/>
      <c r="H80" s="366" t="inlineStr">
        <is>
          <t>Done</t>
        </is>
      </c>
      <c r="I80" s="149" t="n"/>
      <c r="J80" s="55" t="n"/>
    </row>
  </sheetData>
  <mergeCells count="7">
    <mergeCell ref="B6:C6"/>
    <mergeCell ref="B7:C7"/>
    <mergeCell ref="B2:F2"/>
    <mergeCell ref="B3:C3"/>
    <mergeCell ref="B5:C5"/>
    <mergeCell ref="B8:C8"/>
    <mergeCell ref="B4:C4"/>
  </mergeCells>
  <conditionalFormatting sqref="D3">
    <cfRule type="expression" priority="57" dxfId="51" stopIfTrue="1">
      <formula>AND(COUNTIF($A$8:$A$8, D3)+COUNTIF(#REF!, D3)&gt;1,NOT(ISBLANK(D3)))</formula>
    </cfRule>
  </conditionalFormatting>
  <conditionalFormatting sqref="D4">
    <cfRule type="cellIs" priority="56" operator="lessThan" dxfId="10" stopIfTrue="1">
      <formula>1</formula>
    </cfRule>
  </conditionalFormatting>
  <conditionalFormatting sqref="D4:D8">
    <cfRule type="cellIs" priority="51" operator="greaterThan" dxfId="9" stopIfTrue="1">
      <formula>0</formula>
    </cfRule>
    <cfRule type="cellIs" priority="52" operator="greaterThan" dxfId="9" stopIfTrue="1">
      <formula>1</formula>
    </cfRule>
    <cfRule type="cellIs" priority="53" operator="greaterThan" dxfId="10" stopIfTrue="1">
      <formula>0</formula>
    </cfRule>
    <cfRule type="cellIs" priority="54" operator="greaterThan" dxfId="10" stopIfTrue="1">
      <formula>1</formula>
    </cfRule>
    <cfRule type="cellIs" priority="55" operator="equal" dxfId="9" stopIfTrue="1">
      <formula>$C$3</formula>
    </cfRule>
  </conditionalFormatting>
  <conditionalFormatting sqref="D5">
    <cfRule type="cellIs" priority="16" operator="lessThan" dxfId="10" stopIfTrue="1">
      <formula>1</formula>
    </cfRule>
  </conditionalFormatting>
  <conditionalFormatting sqref="D5:E8">
    <cfRule type="cellIs" priority="20" operator="lessThan" dxfId="10" stopIfTrue="1">
      <formula>1</formula>
    </cfRule>
  </conditionalFormatting>
  <conditionalFormatting sqref="E4">
    <cfRule type="cellIs" priority="46" operator="equal" dxfId="9" stopIfTrue="1">
      <formula>1</formula>
    </cfRule>
    <cfRule type="cellIs" priority="47" operator="lessThan" dxfId="10" stopIfTrue="1">
      <formula>1</formula>
    </cfRule>
  </conditionalFormatting>
  <conditionalFormatting sqref="E5:E8">
    <cfRule type="cellIs" priority="17" operator="equal" dxfId="9" stopIfTrue="1">
      <formula>1</formula>
    </cfRule>
    <cfRule type="cellIs" priority="18" operator="lessThan" dxfId="10" stopIfTrue="1">
      <formula>1</formula>
    </cfRule>
    <cfRule type="cellIs" priority="19" operator="equal" dxfId="9" stopIfTrue="1">
      <formula>1</formula>
    </cfRule>
  </conditionalFormatting>
  <conditionalFormatting sqref="E4:F4">
    <cfRule type="cellIs" priority="42" operator="equal" dxfId="9" stopIfTrue="1">
      <formula>1</formula>
    </cfRule>
    <cfRule type="cellIs" priority="43" operator="lessThan" dxfId="10" stopIfTrue="1">
      <formula>1</formula>
    </cfRule>
  </conditionalFormatting>
  <conditionalFormatting sqref="F4">
    <cfRule type="cellIs" priority="40" operator="equal" dxfId="9" stopIfTrue="1">
      <formula>1</formula>
    </cfRule>
    <cfRule type="cellIs" priority="41" operator="lessThan" dxfId="10" stopIfTrue="1">
      <formula>1</formula>
    </cfRule>
  </conditionalFormatting>
  <conditionalFormatting sqref="F5">
    <cfRule type="cellIs" priority="36" operator="greaterThan" dxfId="10" stopIfTrue="1">
      <formula>0</formula>
    </cfRule>
    <cfRule type="cellIs" priority="37" operator="equal" dxfId="9" stopIfTrue="1">
      <formula>0</formula>
    </cfRule>
    <cfRule type="cellIs" priority="38" operator="greaterThan" dxfId="10" stopIfTrue="1">
      <formula>0</formula>
    </cfRule>
    <cfRule type="cellIs" priority="39" operator="equal" dxfId="9" stopIfTrue="1">
      <formula>0</formula>
    </cfRule>
  </conditionalFormatting>
  <conditionalFormatting sqref="F6">
    <cfRule type="cellIs" priority="34" operator="equal" dxfId="9" stopIfTrue="1">
      <formula>0</formula>
    </cfRule>
    <cfRule type="cellIs" priority="35" operator="greaterThan" dxfId="22" stopIfTrue="1">
      <formula>0</formula>
    </cfRule>
  </conditionalFormatting>
  <conditionalFormatting sqref="F6:F7">
    <cfRule type="cellIs" priority="30" operator="equal" dxfId="9" stopIfTrue="1">
      <formula>0</formula>
    </cfRule>
    <cfRule type="cellIs" priority="31" operator="greaterThan" dxfId="22" stopIfTrue="1">
      <formula>0</formula>
    </cfRule>
  </conditionalFormatting>
  <conditionalFormatting sqref="F7:F8">
    <cfRule type="cellIs" priority="26" operator="equal" dxfId="9" stopIfTrue="1">
      <formula>0</formula>
    </cfRule>
    <cfRule type="cellIs" priority="27" operator="greaterThan" dxfId="22" stopIfTrue="1">
      <formula>0</formula>
    </cfRule>
  </conditionalFormatting>
  <conditionalFormatting sqref="F8">
    <cfRule type="cellIs" priority="24" operator="equal" dxfId="9" stopIfTrue="1">
      <formula>0</formula>
    </cfRule>
    <cfRule type="cellIs" priority="25" operator="greaterThan" dxfId="22" stopIfTrue="1">
      <formula>0</formula>
    </cfRule>
  </conditionalFormatting>
  <conditionalFormatting sqref="F10:F80">
    <cfRule type="cellIs" priority="58" operator="equal" dxfId="6" stopIfTrue="1">
      <formula>"NA"</formula>
    </cfRule>
    <cfRule type="cellIs" priority="59" operator="equal" dxfId="5" stopIfTrue="1">
      <formula>"Blocked"</formula>
    </cfRule>
    <cfRule type="cellIs" priority="60" operator="equal" dxfId="4" stopIfTrue="1">
      <formula>"Pending"</formula>
    </cfRule>
    <cfRule type="cellIs" priority="61" operator="equal" dxfId="0" stopIfTrue="1">
      <formula>"Passed"</formula>
    </cfRule>
    <cfRule type="cellIs" priority="62" operator="equal" dxfId="1" stopIfTrue="1">
      <formula>"Failed"</formula>
    </cfRule>
    <cfRule type="cellIs" priority="63" operator="equal" dxfId="1" stopIfTrue="1">
      <formula>"Fail"</formula>
    </cfRule>
    <cfRule type="cellIs" priority="64" operator="equal" dxfId="0" stopIfTrue="1">
      <formula>"Pass"</formula>
    </cfRule>
  </conditionalFormatting>
  <conditionalFormatting sqref="G5:G8">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0:H80">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80" showDropDown="0" showInputMessage="1" showErrorMessage="1" allowBlank="1" type="list">
      <formula1>"Passed,Failed,Blocked,Pending,NA"</formula1>
    </dataValidation>
    <dataValidation sqref="H10:H80"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22.xml><?xml version="1.0" encoding="utf-8"?>
<worksheet xmlns="http://schemas.openxmlformats.org/spreadsheetml/2006/main">
  <sheetPr>
    <outlinePr summaryBelow="1" summaryRight="1"/>
    <pageSetUpPr/>
  </sheetPr>
  <dimension ref="B2:J101"/>
  <sheetViews>
    <sheetView showGridLines="0" workbookViewId="0">
      <selection activeCell="G11" sqref="G11"/>
    </sheetView>
  </sheetViews>
  <sheetFormatPr baseColWidth="8" defaultRowHeight="15"/>
  <cols>
    <col width="9.140625" customWidth="1" style="89" min="1" max="2"/>
    <col width="32" bestFit="1" customWidth="1" style="89" min="3" max="3"/>
    <col width="47.42578125" customWidth="1" style="89" min="4" max="4"/>
    <col width="45.28515625" customWidth="1" style="89" min="5" max="5"/>
    <col width="20.28515625" customWidth="1" style="89" min="6" max="6"/>
    <col width="21.5703125" customWidth="1" style="89" min="7" max="9"/>
  </cols>
  <sheetData>
    <row r="1" ht="15.75" customHeight="1" thickBot="1"/>
    <row r="2" ht="15.75" customHeight="1" thickBot="1">
      <c r="B2" s="352" t="inlineStr">
        <is>
          <t>Test Case Summary</t>
        </is>
      </c>
      <c r="C2" s="389" t="n"/>
      <c r="D2" s="389" t="n"/>
      <c r="E2" s="389" t="n"/>
      <c r="F2" s="390" t="n"/>
      <c r="G2" s="153" t="n"/>
    </row>
    <row r="3" ht="18.75" customHeight="1" thickBot="1">
      <c r="B3" s="352" t="inlineStr">
        <is>
          <t xml:space="preserve">Total Test Cases </t>
        </is>
      </c>
      <c r="C3" s="391" t="n"/>
      <c r="D3" s="352" t="inlineStr">
        <is>
          <t>1st Iteration</t>
        </is>
      </c>
      <c r="E3" s="352" t="inlineStr">
        <is>
          <t>Executed Tests</t>
        </is>
      </c>
      <c r="F3" s="352" t="inlineStr">
        <is>
          <t>Total Tests</t>
        </is>
      </c>
      <c r="G3" s="153" t="n"/>
    </row>
    <row r="4" ht="15.75" customHeight="1" thickBot="1">
      <c r="B4" s="393" t="n"/>
      <c r="C4" s="394" t="n"/>
      <c r="D4" s="47">
        <f>SUM(D5:D9)</f>
        <v/>
      </c>
      <c r="E4" s="395" t="n"/>
      <c r="F4" s="395" t="n"/>
      <c r="G4" s="352" t="inlineStr">
        <is>
          <t>Automation Scripts</t>
        </is>
      </c>
    </row>
    <row r="5" ht="15.75" customHeight="1" thickBot="1">
      <c r="B5" s="350" t="inlineStr">
        <is>
          <t>Passed</t>
        </is>
      </c>
      <c r="D5" s="52">
        <f>COUNTIF(F11:F301,"Passed")</f>
        <v/>
      </c>
      <c r="E5" s="53">
        <f>IF(D5=0,,(D5/(D5+D6)))</f>
        <v/>
      </c>
      <c r="F5" s="51">
        <f>IF(D4=0,,(D5/D4))</f>
        <v/>
      </c>
      <c r="G5" s="156">
        <f>COUNTIF(H11:H494,"Done")</f>
        <v/>
      </c>
    </row>
    <row r="6" ht="15.75" customHeight="1" thickBot="1">
      <c r="B6" s="350" t="inlineStr">
        <is>
          <t>Failed</t>
        </is>
      </c>
      <c r="D6" s="52">
        <f>COUNTIF(F11:F301,"Failed")</f>
        <v/>
      </c>
      <c r="E6" s="53">
        <f>IF(D6=0,,(D6/(D6+D7)))</f>
        <v/>
      </c>
      <c r="F6" s="51">
        <f>IF(D4=0,,(D6/D4))</f>
        <v/>
      </c>
      <c r="G6" s="52">
        <f>COUNTIF(H11:H494,"Failed")</f>
        <v/>
      </c>
    </row>
    <row r="7" ht="15.75" customHeight="1" thickBot="1">
      <c r="B7" s="350" t="inlineStr">
        <is>
          <t>Blocked</t>
        </is>
      </c>
      <c r="D7" s="52">
        <f>COUNTIF(F11:F301,"Blocked")</f>
        <v/>
      </c>
      <c r="E7" s="53">
        <f>IF(D7=0,,(D7/(D7+D8)))</f>
        <v/>
      </c>
      <c r="F7" s="51">
        <f>IF(D4=0,,(D7/D4))</f>
        <v/>
      </c>
      <c r="G7" s="52">
        <f>COUNTIF(H11:H494,"Blocked")</f>
        <v/>
      </c>
    </row>
    <row r="8" ht="15.75" customHeight="1" thickBot="1">
      <c r="B8" s="350" t="inlineStr">
        <is>
          <t>Pending</t>
        </is>
      </c>
      <c r="D8" s="52">
        <f>COUNTIF(F11:F301,"Pending")</f>
        <v/>
      </c>
      <c r="E8" s="53">
        <f>IF(D8=0,,(D8/(D8+D9)))</f>
        <v/>
      </c>
      <c r="F8" s="51">
        <f>IF(D4=0,,(D8/D4))</f>
        <v/>
      </c>
      <c r="G8" s="52">
        <f>COUNTIF(H11:H494,"Pending")</f>
        <v/>
      </c>
    </row>
    <row r="9" ht="15.75" customHeight="1" thickBot="1">
      <c r="B9" s="350" t="inlineStr">
        <is>
          <t>Not Applicable</t>
        </is>
      </c>
      <c r="D9" s="52">
        <f>COUNTIF(F11:F301,"Not Applicable")</f>
        <v/>
      </c>
      <c r="E9" s="53">
        <f>IF(D9=0,,(D9/(D9+#REF!)))</f>
        <v/>
      </c>
      <c r="F9" s="51">
        <f>IF(D4=0,,(D9/D4))</f>
        <v/>
      </c>
      <c r="G9" s="52">
        <f>COUNTIF(H11:H494,"Out of Scope")</f>
        <v/>
      </c>
    </row>
    <row r="10" ht="15.75" customHeight="1" thickBot="1">
      <c r="B10" s="9" t="inlineStr">
        <is>
          <t>S.No.</t>
        </is>
      </c>
      <c r="C10" s="10" t="inlineStr">
        <is>
          <t>Module/Sub-Module</t>
        </is>
      </c>
      <c r="D10" s="10" t="inlineStr">
        <is>
          <t>Test Steps</t>
        </is>
      </c>
      <c r="E10" s="8" t="inlineStr">
        <is>
          <t>Expected Results</t>
        </is>
      </c>
      <c r="F10" s="8" t="inlineStr">
        <is>
          <t>Result</t>
        </is>
      </c>
      <c r="G10" s="2" t="inlineStr">
        <is>
          <t>Bug ID</t>
        </is>
      </c>
      <c r="H10" s="8" t="inlineStr">
        <is>
          <t>Automation Status</t>
        </is>
      </c>
      <c r="I10" s="8" t="inlineStr">
        <is>
          <t>Mapped Scripts</t>
        </is>
      </c>
      <c r="J10" s="2" t="inlineStr">
        <is>
          <t>Comments</t>
        </is>
      </c>
    </row>
    <row r="11" ht="38.25" customHeight="1">
      <c r="B11" s="366" t="inlineStr">
        <is>
          <t>NPL2_001</t>
        </is>
      </c>
      <c r="C11" s="366" t="inlineStr">
        <is>
          <t>Notes Processing (L2)</t>
        </is>
      </c>
      <c r="D11" s="79" t="inlineStr">
        <is>
          <t>Log in to SS application &gt; launch Spreading screen.
Select any free text and map to model.
Verify Pop for Notes processing screen launches.</t>
        </is>
      </c>
      <c r="E11" s="79" t="inlineStr">
        <is>
          <t>The user should be able to log in to the application.
Pop should show for Notes processing.</t>
        </is>
      </c>
      <c r="F11" s="86" t="inlineStr">
        <is>
          <t>Pending</t>
        </is>
      </c>
      <c r="G11" s="3" t="n"/>
      <c r="H11" s="154" t="inlineStr">
        <is>
          <t>Done</t>
        </is>
      </c>
      <c r="I11" s="3" t="n"/>
      <c r="J11" s="3" t="n"/>
    </row>
    <row r="12" ht="76.5" customHeight="1">
      <c r="B12" s="366" t="inlineStr">
        <is>
          <t>NPL2_002</t>
        </is>
      </c>
      <c r="C12" s="366" t="inlineStr">
        <is>
          <t>Notes Processing (L2)</t>
        </is>
      </c>
      <c r="D12" s="79" t="inlineStr">
        <is>
          <t>Since we have mandatory fields, user should be allowed to close and then this validation will trigger and all items which has not been marked with user-chosen keyword then it should by default taken as 'None'.</t>
        </is>
      </c>
      <c r="E12" s="79" t="inlineStr">
        <is>
          <t>Since we have mandatory fields, user should be allowed to close and then this validation will trigger and all items which has not been marked with user-chosen keyword then it should by default taken as 'None'.</t>
        </is>
      </c>
      <c r="F12" s="86" t="inlineStr">
        <is>
          <t>Pending</t>
        </is>
      </c>
      <c r="G12" s="3" t="n"/>
      <c r="H12" s="366" t="inlineStr">
        <is>
          <t>Done</t>
        </is>
      </c>
      <c r="I12" s="3" t="n"/>
      <c r="J12" s="3" t="n"/>
    </row>
    <row r="13" ht="38.25" customHeight="1">
      <c r="B13" s="366" t="inlineStr">
        <is>
          <t>NPL2_003</t>
        </is>
      </c>
      <c r="C13" s="366" t="inlineStr">
        <is>
          <t>Notes Processing (L2)</t>
        </is>
      </c>
      <c r="D13" s="79" t="inlineStr">
        <is>
          <t>In Spreading screen &gt; click free text.
Map to model &gt; don't save and click close button.</t>
        </is>
      </c>
      <c r="E13" s="79" t="inlineStr">
        <is>
          <t>The user should be able to close the popup window.</t>
        </is>
      </c>
      <c r="F13" s="86" t="inlineStr">
        <is>
          <t>Pending</t>
        </is>
      </c>
      <c r="G13" s="3" t="n"/>
      <c r="H13" s="366" t="inlineStr">
        <is>
          <t>Done</t>
        </is>
      </c>
      <c r="I13" s="3" t="n"/>
      <c r="J13" s="3" t="n"/>
    </row>
    <row r="14">
      <c r="B14" s="366" t="inlineStr">
        <is>
          <t>NPL2_004</t>
        </is>
      </c>
      <c r="C14" s="366" t="inlineStr">
        <is>
          <t>Notes Processing (L2): Left Panel</t>
        </is>
      </c>
      <c r="D14" s="79" t="inlineStr">
        <is>
          <t>Verify behavior when the user clicks the relevant control in Notes Processing.</t>
        </is>
      </c>
      <c r="E14" s="79" t="inlineStr">
        <is>
          <t>The related Notes Processing behavior should be displayed correctly.</t>
        </is>
      </c>
      <c r="F14" s="86" t="inlineStr">
        <is>
          <t>Pending</t>
        </is>
      </c>
      <c r="G14" s="3" t="n"/>
      <c r="H14" s="366" t="inlineStr">
        <is>
          <t>Done</t>
        </is>
      </c>
      <c r="I14" s="3" t="n"/>
      <c r="J14" s="3" t="n"/>
    </row>
    <row r="15" ht="25.5" customHeight="1">
      <c r="B15" s="366" t="inlineStr">
        <is>
          <t>NPL2_005</t>
        </is>
      </c>
      <c r="C15" s="366" t="inlineStr">
        <is>
          <t>Notes Processing (L2): Left Panel</t>
        </is>
      </c>
      <c r="D15" s="79" t="inlineStr">
        <is>
          <t>Navigate to Notes processing screen.</t>
        </is>
      </c>
      <c r="E15" s="79" t="inlineStr">
        <is>
          <t>The user should be able to navigate to Notes processing screen.</t>
        </is>
      </c>
      <c r="F15" s="86" t="inlineStr">
        <is>
          <t>Pending</t>
        </is>
      </c>
      <c r="G15" s="3" t="n"/>
      <c r="H15" s="366" t="inlineStr">
        <is>
          <t>Done</t>
        </is>
      </c>
      <c r="I15" s="3" t="n"/>
      <c r="J15" s="3" t="n"/>
    </row>
    <row r="16" ht="25.5" customHeight="1">
      <c r="B16" s="366" t="inlineStr">
        <is>
          <t>NPL2_006</t>
        </is>
      </c>
      <c r="C16" s="366" t="inlineStr">
        <is>
          <t>Notes Processing (L2): Left Panel</t>
        </is>
      </c>
      <c r="D16" s="79" t="inlineStr">
        <is>
          <t>Verify left panel to show predictions as received from AI engine.</t>
        </is>
      </c>
      <c r="E16" s="79" t="inlineStr">
        <is>
          <t>Left panel to should show predictions as received from AI engine.</t>
        </is>
      </c>
      <c r="F16" s="86" t="inlineStr">
        <is>
          <t>Pending</t>
        </is>
      </c>
      <c r="G16" s="3" t="n"/>
      <c r="H16" s="366" t="inlineStr">
        <is>
          <t>Done</t>
        </is>
      </c>
      <c r="I16" s="3" t="n"/>
      <c r="J16" s="3" t="n"/>
    </row>
    <row r="17" ht="38.25" customHeight="1">
      <c r="B17" s="366" t="inlineStr">
        <is>
          <t>NPL2_007</t>
        </is>
      </c>
      <c r="C17" s="366" t="inlineStr">
        <is>
          <t>Notes Processing (L2): Left Panel</t>
        </is>
      </c>
      <c r="D17" s="79" t="inlineStr">
        <is>
          <t>Verify Predictions to be shown in Green Highlighted box or White( as default box).</t>
        </is>
      </c>
      <c r="E17" s="79" t="inlineStr">
        <is>
          <t>Predictions should be shown in Green Highlighted box or White( as default box).</t>
        </is>
      </c>
      <c r="F17" s="86" t="inlineStr">
        <is>
          <t>Pending</t>
        </is>
      </c>
      <c r="G17" s="3" t="n"/>
      <c r="H17" s="366" t="inlineStr">
        <is>
          <t>Done</t>
        </is>
      </c>
      <c r="I17" s="3" t="n"/>
      <c r="J17" s="3" t="n"/>
    </row>
    <row r="18" ht="63.75" customHeight="1">
      <c r="B18" s="366" t="inlineStr">
        <is>
          <t>NPL2_008</t>
        </is>
      </c>
      <c r="C18" s="366" t="inlineStr">
        <is>
          <t>Notes Processing (L2): Left Panel</t>
        </is>
      </c>
      <c r="D18" s="79" t="inlineStr">
        <is>
          <t>Verify Green highlighted box with tick means that particular prediction has been used for mapping either by system automatically (in level 2) or by user manually (in level 1 and level 2).</t>
        </is>
      </c>
      <c r="E18" s="79" t="inlineStr">
        <is>
          <t>Green highlighted box with tick means that particular prediction has been used for mapping either by system automatically (in level 2) or by user manually (in level 1 and level 2).</t>
        </is>
      </c>
      <c r="F18" s="86" t="inlineStr">
        <is>
          <t>Pending</t>
        </is>
      </c>
      <c r="G18" s="3" t="n"/>
      <c r="H18" s="366" t="inlineStr">
        <is>
          <t>Done</t>
        </is>
      </c>
      <c r="I18" s="3" t="n"/>
      <c r="J18" s="3" t="n"/>
    </row>
    <row r="19" ht="51" customHeight="1">
      <c r="B19" s="366" t="inlineStr">
        <is>
          <t>NPL2_009</t>
        </is>
      </c>
      <c r="C19" s="366" t="inlineStr">
        <is>
          <t>Notes Processing (L2): Left Panel</t>
        </is>
      </c>
      <c r="D19" s="79" t="inlineStr">
        <is>
          <t>Verify Green highlighted predictions to be moved on top of the list and to be shown in alphabetic order among all green boxes.</t>
        </is>
      </c>
      <c r="E19" s="79" t="inlineStr">
        <is>
          <t>Green highlighted predictions should be moved on top of the list and to be shown in alphabetic order among all green boxesG.</t>
        </is>
      </c>
      <c r="F19" s="86" t="inlineStr">
        <is>
          <t>Pending</t>
        </is>
      </c>
      <c r="G19" s="3" t="n"/>
      <c r="H19" s="366" t="inlineStr">
        <is>
          <t>Done</t>
        </is>
      </c>
      <c r="I19" s="3" t="n"/>
      <c r="J19" s="3" t="n"/>
    </row>
    <row r="20" ht="89.25" customHeight="1">
      <c r="B20" s="366" t="inlineStr">
        <is>
          <t>NPL2_010</t>
        </is>
      </c>
      <c r="C20" s="366" t="inlineStr">
        <is>
          <t>Notes Processing (L2): Left Panel</t>
        </is>
      </c>
      <c r="D20" s="79" t="inlineStr">
        <is>
          <t>Verify Sub predictions having page numbers to also highlighted with some color or tick mark to show that specific page has been used for mapping. For example Depreciation is predicted on Page 2 and 3 and user chooses 2 and map, then that Page number 2 needs to be highlighted for easy visibility.</t>
        </is>
      </c>
      <c r="E20" s="79" t="inlineStr">
        <is>
          <t>Sub predictions having page numbers to also highlighted with some color or tick mark to show that specific page has been used for mapping. For example Depreciation is predicted on Page 2 and 3 and user chooses 2 and map, then that Page number 2 needs to be highlighted for easy visibility.</t>
        </is>
      </c>
      <c r="F20" s="86" t="inlineStr">
        <is>
          <t>Pending</t>
        </is>
      </c>
      <c r="G20" s="3" t="n"/>
      <c r="H20" s="366" t="inlineStr">
        <is>
          <t>Done</t>
        </is>
      </c>
      <c r="I20" s="3" t="n"/>
      <c r="J20" s="3" t="n"/>
    </row>
    <row r="21" ht="51" customHeight="1">
      <c r="B21" s="366" t="inlineStr">
        <is>
          <t>NPL2_011</t>
        </is>
      </c>
      <c r="C21" s="366" t="inlineStr">
        <is>
          <t>Notes Processing (L2): Left Panel</t>
        </is>
      </c>
      <c r="D21" s="79" t="inlineStr">
        <is>
          <t>Verify White box means predictions are provided but same has not been mapped to model either automatically or manually.</t>
        </is>
      </c>
      <c r="E21" s="79" t="inlineStr">
        <is>
          <t>White box means predictions are provided but same has not been mapped to model either automatically or manually.</t>
        </is>
      </c>
      <c r="F21" s="86" t="inlineStr">
        <is>
          <t>Pending</t>
        </is>
      </c>
      <c r="G21" s="3" t="n"/>
      <c r="H21" s="366" t="inlineStr">
        <is>
          <t>Done</t>
        </is>
      </c>
      <c r="I21" s="3" t="n"/>
      <c r="J21" s="3" t="n"/>
    </row>
    <row r="22" ht="38.25" customHeight="1">
      <c r="B22" s="366" t="inlineStr">
        <is>
          <t>NPL2_012</t>
        </is>
      </c>
      <c r="C22" s="366" t="inlineStr">
        <is>
          <t>Notes Processing (L2): Left Panel</t>
        </is>
      </c>
      <c r="D22" s="79" t="inlineStr">
        <is>
          <t>Verify all predictions in white to be ordered in alphabetic order.</t>
        </is>
      </c>
      <c r="E22" s="79" t="inlineStr">
        <is>
          <t>All predictions in white should be ordered in alphabetic order.</t>
        </is>
      </c>
      <c r="F22" s="86" t="inlineStr">
        <is>
          <t>Pending</t>
        </is>
      </c>
      <c r="G22" s="3" t="n"/>
      <c r="H22" s="366" t="inlineStr">
        <is>
          <t>Done</t>
        </is>
      </c>
      <c r="I22" s="3" t="n"/>
      <c r="J22" s="3" t="n"/>
    </row>
    <row r="23" ht="63.75" customHeight="1">
      <c r="B23" s="366" t="inlineStr">
        <is>
          <t>NPL2_013</t>
        </is>
      </c>
      <c r="C23" s="366" t="inlineStr">
        <is>
          <t>Notes Processing (L2): Left Panel</t>
        </is>
      </c>
      <c r="D23" s="79" t="inlineStr">
        <is>
          <t>Verify on case any period does not have prediction then message on click of prediction sub menu to give a message ; 'No Predictions Available'(his can happen in initial base period or for any period where prediction has not been received from AI engine).</t>
        </is>
      </c>
      <c r="E23" s="79" t="inlineStr">
        <is>
          <t>In case any period does not have prediction then message on click of prediction sub menu to give a message ; 'No Predictions Available'.</t>
        </is>
      </c>
      <c r="F23" s="86" t="inlineStr">
        <is>
          <t>Pending</t>
        </is>
      </c>
      <c r="G23" s="3" t="n"/>
      <c r="H23" s="366" t="inlineStr">
        <is>
          <t>Done</t>
        </is>
      </c>
      <c r="I23" s="3" t="n"/>
      <c r="J23" s="3" t="n"/>
    </row>
    <row r="24" ht="89.25" customHeight="1">
      <c r="B24" s="366" t="inlineStr">
        <is>
          <t>NPL2_014</t>
        </is>
      </c>
      <c r="C24" s="366" t="inlineStr">
        <is>
          <t>Notes Processing (L2): Left Panel</t>
        </is>
      </c>
      <c r="D24" s="79" t="inlineStr">
        <is>
          <t>Verify Same structure of Green and white to be maintained in base period also with same information which was submitted for that period.For example in 2018 user has submitted spread with 2 predictions in green and 1 prediction in white, then same needs to be shown in 2018 as base period if it comes up.</t>
        </is>
      </c>
      <c r="E24" s="79" t="inlineStr">
        <is>
          <t>Same structure of Green and white to be maintained in base period also with same information which was submitted for that period.For example in 2018 user has submitted spread with 2 predictions in green and 1 prediction in white, then same needs to be shown in 2018 as base period if it comes up.</t>
        </is>
      </c>
      <c r="F24" s="86" t="inlineStr">
        <is>
          <t>Pending</t>
        </is>
      </c>
      <c r="G24" s="3" t="n"/>
      <c r="H24" s="366" t="inlineStr">
        <is>
          <t>Done</t>
        </is>
      </c>
      <c r="I24" s="3" t="n"/>
      <c r="J24" s="3" t="n"/>
    </row>
    <row r="25" ht="76.5" customHeight="1">
      <c r="B25" s="366" t="inlineStr">
        <is>
          <t>NPL2_015</t>
        </is>
      </c>
      <c r="C25" s="366" t="inlineStr">
        <is>
          <t>Notes Processing (L2): Left Panel</t>
        </is>
      </c>
      <c r="D25" s="79" t="inlineStr">
        <is>
          <t>Verify If the user manually finds any value and map it to model cell then it should be treated as mapping which is done for 1st time (not received as prediction) hence user will choose keyword and then that mapping will also show up in mapping tab and next period this will come up as prediction by AI engine.</t>
        </is>
      </c>
      <c r="E25" s="79" t="inlineStr">
        <is>
          <t>If the user manually finds any value and map it to model cell then it should be treated as mapping which is done for 1st time (not received as prediction) hence user will choose keyword and then that mapping will also show up in mapping tab and next period this will come up as prediction by AI engine.</t>
        </is>
      </c>
      <c r="F25" s="86" t="inlineStr">
        <is>
          <t>Pending</t>
        </is>
      </c>
      <c r="G25" s="3" t="n"/>
      <c r="H25" s="366" t="inlineStr">
        <is>
          <t>Done</t>
        </is>
      </c>
      <c r="I25" s="3" t="n"/>
      <c r="J25" s="3" t="n"/>
    </row>
    <row r="26" ht="25.5" customHeight="1">
      <c r="B26" s="366" t="inlineStr">
        <is>
          <t>NPL2_016</t>
        </is>
      </c>
      <c r="C26" s="366" t="inlineStr">
        <is>
          <t>Notes Processing (L2): Left Panel</t>
        </is>
      </c>
      <c r="D26" s="79" t="inlineStr">
        <is>
          <t>Verify Mapping data and prediction data to be shown as segregated data only.</t>
        </is>
      </c>
      <c r="E26" s="79" t="inlineStr">
        <is>
          <t>Mapping data and prediction data to be shown as segregated data only.</t>
        </is>
      </c>
      <c r="F26" s="86" t="inlineStr">
        <is>
          <t>Pending</t>
        </is>
      </c>
      <c r="G26" s="3" t="n"/>
      <c r="H26" s="366" t="inlineStr">
        <is>
          <t>Done</t>
        </is>
      </c>
      <c r="I26" s="3" t="n"/>
      <c r="J26" s="3" t="n"/>
    </row>
    <row r="27">
      <c r="B27" s="366" t="inlineStr">
        <is>
          <t>NPL2_017</t>
        </is>
      </c>
      <c r="C27" s="366" t="inlineStr">
        <is>
          <t>Notes Processing (L2): Autofill</t>
        </is>
      </c>
      <c r="D27" s="79" t="inlineStr">
        <is>
          <t>Log in to SS tool.</t>
        </is>
      </c>
      <c r="E27" s="79" t="inlineStr">
        <is>
          <t>The user should be able to log in to the SS tool.</t>
        </is>
      </c>
      <c r="F27" s="86" t="inlineStr">
        <is>
          <t>Pending</t>
        </is>
      </c>
      <c r="G27" s="3" t="n"/>
      <c r="H27" s="366" t="inlineStr">
        <is>
          <t>Done</t>
        </is>
      </c>
      <c r="I27" s="3" t="n"/>
      <c r="J27" s="3" t="n"/>
    </row>
    <row r="28">
      <c r="B28" s="366" t="inlineStr">
        <is>
          <t>NPL2_018</t>
        </is>
      </c>
      <c r="C28" s="366" t="inlineStr">
        <is>
          <t>Notes Processing (L2): Autofill</t>
        </is>
      </c>
      <c r="D28" s="79" t="inlineStr">
        <is>
          <t>Navigate to Spreading screen.</t>
        </is>
      </c>
      <c r="E28" s="79" t="inlineStr">
        <is>
          <t>Spreading screen should open.</t>
        </is>
      </c>
      <c r="F28" s="86" t="inlineStr">
        <is>
          <t>Pending</t>
        </is>
      </c>
      <c r="G28" s="3" t="n"/>
      <c r="H28" s="366" t="inlineStr">
        <is>
          <t>Done</t>
        </is>
      </c>
      <c r="I28" s="3" t="n"/>
      <c r="J28" s="3" t="n"/>
    </row>
    <row r="29" ht="51" customHeight="1">
      <c r="B29" s="366" t="inlineStr">
        <is>
          <t>NPL2_019</t>
        </is>
      </c>
      <c r="C29" s="366" t="inlineStr">
        <is>
          <t>Notes Processing (L2): Autofill</t>
        </is>
      </c>
      <c r="D29" s="79" t="inlineStr">
        <is>
          <t>Verify system to auto extract value from predicted sentence to model cell only in case 1 prediction is provided by AI ML.</t>
        </is>
      </c>
      <c r="E29" s="79" t="inlineStr">
        <is>
          <t>System to auto extract value from predicted sentence to model cell only in case 1 prediction is provided by AI ML.</t>
        </is>
      </c>
      <c r="F29" s="86" t="inlineStr">
        <is>
          <t>Pending</t>
        </is>
      </c>
      <c r="G29" s="3" t="n"/>
      <c r="H29" s="366" t="inlineStr">
        <is>
          <t>Done</t>
        </is>
      </c>
      <c r="I29" s="3" t="n"/>
      <c r="J29" s="3" t="n"/>
    </row>
    <row r="30" ht="38.25" customHeight="1">
      <c r="B30" s="366" t="inlineStr">
        <is>
          <t>NPL2_020</t>
        </is>
      </c>
      <c r="C30" s="366" t="inlineStr">
        <is>
          <t>Notes Processing (L2): Autofill</t>
        </is>
      </c>
      <c r="D30" s="79" t="inlineStr">
        <is>
          <t>Verify If only 1 prediction is available, then auto extraction of free text value to model cell happen.</t>
        </is>
      </c>
      <c r="E30" s="79" t="inlineStr">
        <is>
          <t>If only 1 prediction is available, then auto extraction of free text value to model cell happen.</t>
        </is>
      </c>
      <c r="F30" s="86" t="inlineStr">
        <is>
          <t>Pending</t>
        </is>
      </c>
      <c r="G30" s="3" t="n"/>
      <c r="H30" s="366" t="inlineStr">
        <is>
          <t>Done</t>
        </is>
      </c>
      <c r="I30" s="3" t="n"/>
      <c r="J30" s="3" t="n"/>
    </row>
    <row r="31" ht="51" customHeight="1">
      <c r="B31" s="366" t="inlineStr">
        <is>
          <t>NPL2_021</t>
        </is>
      </c>
      <c r="C31" s="366" t="inlineStr">
        <is>
          <t>Notes Processing (L2): Autofill</t>
        </is>
      </c>
      <c r="D31" s="79" t="inlineStr">
        <is>
          <t>Verify If predictions are more than one, then auto extraction should not happen and user will check for all predictions and map it to model cell.</t>
        </is>
      </c>
      <c r="E31" s="79" t="inlineStr">
        <is>
          <t>If predictions are more than one, then auto extraction should not happen and user will check for all predictions and map it to model cell.</t>
        </is>
      </c>
      <c r="F31" s="86" t="inlineStr">
        <is>
          <t>Pending</t>
        </is>
      </c>
      <c r="G31" s="3" t="n"/>
      <c r="H31" s="366" t="inlineStr">
        <is>
          <t>Done</t>
        </is>
      </c>
      <c r="I31" s="3" t="n"/>
      <c r="J31" s="3" t="n"/>
    </row>
    <row r="32">
      <c r="B32" s="366" t="inlineStr">
        <is>
          <t>NPL2_022</t>
        </is>
      </c>
      <c r="C32" s="366" t="inlineStr">
        <is>
          <t>Notes Processing (L2): Autofill</t>
        </is>
      </c>
      <c r="D32" s="79" t="inlineStr">
        <is>
          <t>Log in to SS tool.</t>
        </is>
      </c>
      <c r="E32" s="79" t="inlineStr">
        <is>
          <t>The user should be able to login.</t>
        </is>
      </c>
      <c r="F32" s="86" t="inlineStr">
        <is>
          <t>Pending</t>
        </is>
      </c>
      <c r="G32" s="3" t="n"/>
      <c r="H32" s="366" t="inlineStr">
        <is>
          <t>Done</t>
        </is>
      </c>
      <c r="I32" s="3" t="n"/>
      <c r="J32" s="3" t="n"/>
    </row>
    <row r="33">
      <c r="B33" s="366" t="inlineStr">
        <is>
          <t>NPL2_023</t>
        </is>
      </c>
      <c r="C33" s="366" t="inlineStr">
        <is>
          <t>Notes Processing (L2): Autofill</t>
        </is>
      </c>
      <c r="D33" s="79" t="inlineStr">
        <is>
          <t>Navigate to Spreading screen.</t>
        </is>
      </c>
      <c r="E33" s="79" t="inlineStr">
        <is>
          <t>Spreading screen should open.</t>
        </is>
      </c>
      <c r="F33" s="86" t="inlineStr">
        <is>
          <t>Pending</t>
        </is>
      </c>
      <c r="G33" s="3" t="n"/>
      <c r="H33" s="366" t="inlineStr">
        <is>
          <t>Done</t>
        </is>
      </c>
      <c r="I33" s="3" t="n"/>
      <c r="J33" s="3" t="n"/>
    </row>
    <row r="34" ht="25.5" customHeight="1">
      <c r="B34" s="366" t="inlineStr">
        <is>
          <t>NPL2_024</t>
        </is>
      </c>
      <c r="C34" s="366" t="inlineStr">
        <is>
          <t>Notes Processing (L2): Autofill</t>
        </is>
      </c>
      <c r="D34" s="79" t="inlineStr">
        <is>
          <t>Observe that there should be Global prediction present.</t>
        </is>
      </c>
      <c r="E34" s="79" t="inlineStr">
        <is>
          <t>Global prediction should be present.</t>
        </is>
      </c>
      <c r="F34" s="86" t="inlineStr">
        <is>
          <t>Pending</t>
        </is>
      </c>
      <c r="G34" s="3" t="n"/>
      <c r="H34" s="366" t="inlineStr">
        <is>
          <t>Done</t>
        </is>
      </c>
      <c r="I34" s="3" t="n"/>
      <c r="J34" s="3" t="n"/>
    </row>
    <row r="35" ht="38.25" customHeight="1">
      <c r="B35" s="366" t="inlineStr">
        <is>
          <t>NPL2_025</t>
        </is>
      </c>
      <c r="C35" s="366" t="inlineStr">
        <is>
          <t>Notes Processing (L2): Autofill</t>
        </is>
      </c>
      <c r="D35" s="79" t="inlineStr">
        <is>
          <t>Verify system to Autofill values from free text based on mapping from base period.</t>
        </is>
      </c>
      <c r="E35" s="79" t="inlineStr">
        <is>
          <t>The system should Autofill values from free text based on mapping from base period.</t>
        </is>
      </c>
      <c r="F35" s="86" t="inlineStr">
        <is>
          <t>Pending</t>
        </is>
      </c>
      <c r="G35" s="3" t="n"/>
      <c r="H35" s="366" t="inlineStr">
        <is>
          <t>Done</t>
        </is>
      </c>
      <c r="I35" s="3" t="n"/>
      <c r="J35" s="3" t="n"/>
    </row>
    <row r="36" ht="30.75" customHeight="1">
      <c r="B36" s="366" t="inlineStr">
        <is>
          <t>NPL2_026</t>
        </is>
      </c>
      <c r="C36" s="366" t="inlineStr">
        <is>
          <t>Notes Processing (L2): Autofill</t>
        </is>
      </c>
      <c r="D36" s="79" t="inlineStr">
        <is>
          <t>Verify Autofill to happen for free text value on click of Autofill button along with values from tables.</t>
        </is>
      </c>
      <c r="E36" s="79" t="inlineStr">
        <is>
          <t>Autofill should happen when click All keywords.</t>
        </is>
      </c>
      <c r="F36" s="86" t="inlineStr">
        <is>
          <t>Pending</t>
        </is>
      </c>
      <c r="G36" s="3" t="n"/>
      <c r="H36" s="366" t="inlineStr">
        <is>
          <t>Done</t>
        </is>
      </c>
      <c r="I36" s="3" t="n"/>
      <c r="J36" s="3" t="n"/>
    </row>
    <row r="37" ht="25.5" customHeight="1">
      <c r="B37" s="366" t="inlineStr">
        <is>
          <t>NPL2_027</t>
        </is>
      </c>
      <c r="C37" s="366" t="inlineStr">
        <is>
          <t>Notes Processing (L2): Autofill</t>
        </is>
      </c>
      <c r="D37" s="79" t="inlineStr">
        <is>
          <t>Verify Auto fill of only those prediction to happen which have mapping against them with model cell.</t>
        </is>
      </c>
      <c r="E37" s="79" t="inlineStr">
        <is>
          <t>Auto fill should happen for mentioned values.</t>
        </is>
      </c>
      <c r="F37" s="86" t="inlineStr">
        <is>
          <t>Pending</t>
        </is>
      </c>
      <c r="G37" s="3" t="n"/>
      <c r="H37" s="366" t="inlineStr">
        <is>
          <t>Done</t>
        </is>
      </c>
      <c r="I37" s="3" t="n"/>
      <c r="J37" s="3" t="n"/>
    </row>
    <row r="38" ht="51" customHeight="1">
      <c r="B38" s="366" t="inlineStr">
        <is>
          <t>NPL2_028</t>
        </is>
      </c>
      <c r="C38" s="366" t="inlineStr">
        <is>
          <t>Notes Processing (L2): Autofill</t>
        </is>
      </c>
      <c r="D38" s="79" t="inlineStr">
        <is>
          <t>Verify If only 1 prediction is provided by the ML team against that keyword and that keyword has mapping available as per base period or Master template then only Autofill will happen.</t>
        </is>
      </c>
      <c r="E38" s="79" t="inlineStr">
        <is>
          <t>The system should only 1 prediction is provided by the ML team against that keyword and that keyword has mapping available as per base period or Master template then only Autofill will happen.</t>
        </is>
      </c>
      <c r="F38" s="86" t="inlineStr">
        <is>
          <t>Pending</t>
        </is>
      </c>
      <c r="G38" s="3" t="n"/>
      <c r="H38" s="366" t="inlineStr">
        <is>
          <t>Done</t>
        </is>
      </c>
      <c r="I38" s="3" t="n"/>
      <c r="J38" s="3" t="n"/>
    </row>
    <row r="39" ht="38.25" customHeight="1">
      <c r="B39" s="366" t="inlineStr">
        <is>
          <t>NPL2_029</t>
        </is>
      </c>
      <c r="C39" s="366" t="inlineStr">
        <is>
          <t>Notes Processing (L2): Autofill</t>
        </is>
      </c>
      <c r="D39" s="79" t="inlineStr">
        <is>
          <t>Verify Master template if used as base then also Autofill to happen based on mapping created using keyword mapping from free text zone.</t>
        </is>
      </c>
      <c r="E39" s="79" t="inlineStr">
        <is>
          <t>The system should master template if used as base then also Autofill to happen based on mapping created using keyword mapping from free text zone.</t>
        </is>
      </c>
      <c r="F39" s="86" t="inlineStr">
        <is>
          <t>Pending</t>
        </is>
      </c>
      <c r="G39" s="3" t="n"/>
      <c r="H39" s="366" t="inlineStr">
        <is>
          <t>Done</t>
        </is>
      </c>
      <c r="I39" s="3" t="n"/>
      <c r="J39" s="3" t="n"/>
    </row>
    <row r="40" ht="38.25" customHeight="1">
      <c r="B40" s="366" t="inlineStr">
        <is>
          <t>NPL2_030</t>
        </is>
      </c>
      <c r="C40" s="366" t="inlineStr">
        <is>
          <t>Notes Processing (L2): Autofill</t>
        </is>
      </c>
      <c r="D40" s="79" t="inlineStr">
        <is>
          <t>Verify Map mode to happen automatically by system before Autofill can be done, no user action is required.</t>
        </is>
      </c>
      <c r="E40" s="79" t="inlineStr">
        <is>
          <t>Map mode to happen automatically by system before Autofill can be done, no user action is required.</t>
        </is>
      </c>
      <c r="F40" s="86" t="inlineStr">
        <is>
          <t>Pending</t>
        </is>
      </c>
      <c r="G40" s="3" t="n"/>
      <c r="H40" s="366" t="inlineStr">
        <is>
          <t>Done</t>
        </is>
      </c>
      <c r="I40" s="3" t="n"/>
      <c r="J40" s="3" t="n"/>
    </row>
    <row r="41" ht="65.25" customHeight="1">
      <c r="B41" s="366" t="inlineStr">
        <is>
          <t>NPL2_031</t>
        </is>
      </c>
      <c r="C41" s="366" t="inlineStr">
        <is>
          <t>Notes Processing (L2): Autofill</t>
        </is>
      </c>
      <c r="D41" s="79" t="inlineStr">
        <is>
          <t>Verify Against one keyword there can be multiple predictions based on base year where same keyword is used for different sentence. Logic unique Keyword and Sentence prediction to be followed.</t>
        </is>
      </c>
      <c r="E41" s="79" t="inlineStr">
        <is>
          <t>Against one keyword there can be multiple predictions based on base year where same keyword is used for different sentence. Logic unique Keyword and Sentence prediction to be followed.</t>
        </is>
      </c>
      <c r="F41" s="86" t="inlineStr">
        <is>
          <t>Pending</t>
        </is>
      </c>
      <c r="G41" s="3" t="n"/>
      <c r="H41" s="366" t="inlineStr">
        <is>
          <t>Done</t>
        </is>
      </c>
      <c r="I41" s="3" t="n"/>
      <c r="J41" s="3" t="n"/>
    </row>
    <row r="42" ht="63.75" customHeight="1">
      <c r="B42" s="366" t="inlineStr">
        <is>
          <t>NPL2_032</t>
        </is>
      </c>
      <c r="C42" s="366" t="inlineStr">
        <is>
          <t>Notes Processing (L2): Autofill</t>
        </is>
      </c>
      <c r="D42" s="79" t="inlineStr">
        <is>
          <t>Consider that Global Prediction coming for "Keyword 1" and keyword is mapped in Template as free text.
And another "Keyword 2" and keyword is not mapped in Template as free text.</t>
        </is>
      </c>
      <c r="E42" s="79" t="inlineStr">
        <is>
          <t>Mentioned Predictions should be present.</t>
        </is>
      </c>
      <c r="F42" s="86" t="inlineStr">
        <is>
          <t>Pending</t>
        </is>
      </c>
      <c r="G42" s="3" t="n"/>
      <c r="H42" s="366" t="inlineStr">
        <is>
          <t>Done</t>
        </is>
      </c>
      <c r="I42" s="3" t="n"/>
      <c r="J42" s="3" t="n"/>
    </row>
    <row r="43" ht="38.25" customHeight="1">
      <c r="B43" s="366" t="inlineStr">
        <is>
          <t>NPL2_033</t>
        </is>
      </c>
      <c r="C43" s="366" t="inlineStr">
        <is>
          <t>Notes Processing (L2): Autofill</t>
        </is>
      </c>
      <c r="D43" s="79" t="inlineStr">
        <is>
          <t>Autofill for all keywords &gt; observe.</t>
        </is>
      </c>
      <c r="E43" s="79" t="inlineStr">
        <is>
          <t>Autofill should happen for mapped keyword in template.</t>
        </is>
      </c>
      <c r="F43" s="86" t="inlineStr">
        <is>
          <t>Pending</t>
        </is>
      </c>
      <c r="G43" s="3" t="n"/>
      <c r="H43" s="366" t="inlineStr">
        <is>
          <t>Done</t>
        </is>
      </c>
      <c r="I43" s="3" t="n"/>
      <c r="J43" s="3" t="n"/>
    </row>
    <row r="44" ht="25.5" customHeight="1">
      <c r="B44" s="366" t="inlineStr">
        <is>
          <t>NPL2_034</t>
        </is>
      </c>
      <c r="C44" s="366" t="inlineStr">
        <is>
          <t>Notes Processing (L2): Autofill</t>
        </is>
      </c>
      <c r="D44" s="79" t="inlineStr">
        <is>
          <t>Verify that Autofill should not happen for keyword with multiple prediction on pages.</t>
        </is>
      </c>
      <c r="E44" s="79" t="inlineStr">
        <is>
          <t>Autofill should not happen.</t>
        </is>
      </c>
      <c r="F44" s="86" t="inlineStr">
        <is>
          <t>Pending</t>
        </is>
      </c>
      <c r="G44" s="3" t="n"/>
      <c r="H44" s="366" t="inlineStr">
        <is>
          <t>Done</t>
        </is>
      </c>
      <c r="I44" s="3" t="n"/>
      <c r="J44" s="3" t="n"/>
    </row>
    <row r="45" ht="25.5" customHeight="1">
      <c r="B45" s="366" t="inlineStr">
        <is>
          <t>NPL2_035</t>
        </is>
      </c>
      <c r="C45" s="366" t="inlineStr">
        <is>
          <t>Notes Processing (L2): Autofill</t>
        </is>
      </c>
      <c r="D45" s="79" t="inlineStr">
        <is>
          <t>Verify that Autofill should not happen for keyword with Single year having multiple values.</t>
        </is>
      </c>
      <c r="E45" s="79" t="inlineStr">
        <is>
          <t>Autofill should not happen in such case.</t>
        </is>
      </c>
      <c r="F45" s="86" t="inlineStr">
        <is>
          <t>Pending</t>
        </is>
      </c>
      <c r="G45" s="3" t="n"/>
      <c r="H45" s="366" t="inlineStr">
        <is>
          <t>Done</t>
        </is>
      </c>
      <c r="I45" s="3" t="n"/>
      <c r="J45" s="3" t="n"/>
    </row>
    <row r="46" ht="38.25" customHeight="1">
      <c r="B46" s="366" t="inlineStr">
        <is>
          <t>NPL2_036</t>
        </is>
      </c>
      <c r="C46" s="366" t="inlineStr">
        <is>
          <t>Notes Processing (L2): Autofill</t>
        </is>
      </c>
      <c r="D46" s="79" t="inlineStr">
        <is>
          <t>Map free text in template and then apply contra in template.
Try to Autofill in for Global prediction.</t>
        </is>
      </c>
      <c r="E46" s="79" t="inlineStr">
        <is>
          <t>Autofill should happen and contra should be part of autofilled value.</t>
        </is>
      </c>
      <c r="F46" s="86" t="inlineStr">
        <is>
          <t>Pending</t>
        </is>
      </c>
      <c r="G46" s="3" t="n"/>
      <c r="H46" s="366" t="inlineStr">
        <is>
          <t>Done</t>
        </is>
      </c>
      <c r="I46" s="3" t="n"/>
      <c r="J46" s="3" t="n"/>
    </row>
    <row r="47" ht="38.25" customHeight="1">
      <c r="B47" s="366" t="inlineStr">
        <is>
          <t>NPL2_037</t>
        </is>
      </c>
      <c r="C47" s="366" t="inlineStr">
        <is>
          <t>Notes Processing (L2): Autofill</t>
        </is>
      </c>
      <c r="D47" s="79" t="inlineStr">
        <is>
          <t>Map multiple free text values in template and then map value from other Global zones.
Try to Autofill in for Global prediction.</t>
        </is>
      </c>
      <c r="E47" s="79" t="inlineStr">
        <is>
          <t>Autofill should happen and expression should not break.</t>
        </is>
      </c>
      <c r="F47" s="86" t="inlineStr">
        <is>
          <t>Pending</t>
        </is>
      </c>
      <c r="G47" s="3" t="n"/>
      <c r="H47" s="366" t="inlineStr">
        <is>
          <t>Done</t>
        </is>
      </c>
      <c r="I47" s="3" t="n"/>
      <c r="J47" s="3" t="n"/>
    </row>
    <row r="48" ht="25.5" customHeight="1">
      <c r="B48" s="366" t="inlineStr">
        <is>
          <t>NPL2_038</t>
        </is>
      </c>
      <c r="C48" s="366" t="inlineStr">
        <is>
          <t>Notes Processing (L2): Autofill</t>
        </is>
      </c>
      <c r="D48" s="79" t="inlineStr">
        <is>
          <t>In template &gt; Create expression with free text and mapped values from zone &gt; save template.</t>
        </is>
      </c>
      <c r="E48" s="79" t="inlineStr">
        <is>
          <t>The user should be able to save template.</t>
        </is>
      </c>
      <c r="F48" s="86" t="inlineStr">
        <is>
          <t>Pending</t>
        </is>
      </c>
      <c r="G48" s="3" t="n"/>
      <c r="H48" s="366" t="inlineStr">
        <is>
          <t>Done</t>
        </is>
      </c>
      <c r="I48" s="3" t="n"/>
      <c r="J48" s="3" t="n"/>
    </row>
    <row r="49">
      <c r="B49" s="366" t="inlineStr">
        <is>
          <t>NPL2_039</t>
        </is>
      </c>
      <c r="C49" s="366" t="inlineStr">
        <is>
          <t>Notes Processing (L2): Autofill</t>
        </is>
      </c>
      <c r="D49" s="79" t="inlineStr">
        <is>
          <t>Spreading screen &gt; Autofill all keywords &gt; observe.</t>
        </is>
      </c>
      <c r="E49" s="79" t="inlineStr">
        <is>
          <t>Only free text value should be autofilled.</t>
        </is>
      </c>
      <c r="F49" s="86" t="inlineStr">
        <is>
          <t>Pending</t>
        </is>
      </c>
      <c r="G49" s="3" t="n"/>
      <c r="H49" s="366" t="inlineStr">
        <is>
          <t>Done</t>
        </is>
      </c>
      <c r="I49" s="3" t="n"/>
      <c r="J49" s="3" t="n"/>
    </row>
    <row r="50" ht="38.25" customHeight="1">
      <c r="B50" s="366" t="inlineStr">
        <is>
          <t>NPL2_040</t>
        </is>
      </c>
      <c r="C50" s="366" t="inlineStr">
        <is>
          <t>Notes Processing (L2): Autofill</t>
        </is>
      </c>
      <c r="D50" s="79" t="inlineStr">
        <is>
          <t>Set zones and Autofill all for zones &gt; observe expression.</t>
        </is>
      </c>
      <c r="E50" s="79" t="inlineStr">
        <is>
          <t>All values should be auotfilled without breaking the expression.</t>
        </is>
      </c>
      <c r="F50" s="86" t="inlineStr">
        <is>
          <t>Pending</t>
        </is>
      </c>
      <c r="G50" s="3" t="n"/>
      <c r="H50" s="366" t="inlineStr">
        <is>
          <t>Done</t>
        </is>
      </c>
      <c r="I50" s="3" t="n"/>
      <c r="J50" s="3" t="n"/>
    </row>
    <row r="51" ht="25.5" customHeight="1">
      <c r="B51" s="366" t="inlineStr">
        <is>
          <t>NPL2_041</t>
        </is>
      </c>
      <c r="C51" s="366" t="inlineStr">
        <is>
          <t>Notes Processing (L2): Autofill</t>
        </is>
      </c>
      <c r="D51" s="79" t="inlineStr">
        <is>
          <t>Observe that sequence of free text and mapped values should be correct.</t>
        </is>
      </c>
      <c r="E51" s="79" t="inlineStr">
        <is>
          <t>Values should be autofilled in a sequence of their mapping in base.</t>
        </is>
      </c>
      <c r="F51" s="86" t="inlineStr">
        <is>
          <t>Pending</t>
        </is>
      </c>
      <c r="G51" s="3" t="n"/>
      <c r="H51" s="366" t="inlineStr">
        <is>
          <t>Done</t>
        </is>
      </c>
      <c r="I51" s="3" t="n"/>
      <c r="J51" s="3" t="n"/>
    </row>
    <row r="52" ht="38.25" customHeight="1">
      <c r="B52" s="366" t="inlineStr">
        <is>
          <t>NPL2_042</t>
        </is>
      </c>
      <c r="C52" s="366" t="inlineStr">
        <is>
          <t>Notes Processing (L2): Map Mode via Page Number</t>
        </is>
      </c>
      <c r="D52" s="79" t="inlineStr">
        <is>
          <t>Spreading screen &gt; Set zones &gt; map values.</t>
        </is>
      </c>
      <c r="E52" s="79" t="inlineStr">
        <is>
          <t>The user should be able to map values.</t>
        </is>
      </c>
      <c r="F52" s="86" t="inlineStr">
        <is>
          <t>Pending</t>
        </is>
      </c>
      <c r="G52" s="3" t="n"/>
      <c r="H52" s="366" t="inlineStr">
        <is>
          <t>Done</t>
        </is>
      </c>
      <c r="I52" s="3" t="n"/>
      <c r="J52" s="3" t="n"/>
    </row>
    <row r="53" ht="38.25" customHeight="1">
      <c r="B53" s="366" t="inlineStr">
        <is>
          <t>NPL2_043</t>
        </is>
      </c>
      <c r="C53" s="366" t="inlineStr">
        <is>
          <t>Notes Processing (L2): Map Mode via Page Number</t>
        </is>
      </c>
      <c r="D53" s="79" t="inlineStr">
        <is>
          <t>Scroll to any paragraph &gt; map mode &gt; map free text values from paragraph.</t>
        </is>
      </c>
      <c r="E53" s="79" t="inlineStr">
        <is>
          <t>Free text should be mapped.</t>
        </is>
      </c>
      <c r="F53" s="86" t="inlineStr">
        <is>
          <t>Pending</t>
        </is>
      </c>
      <c r="G53" s="3" t="n"/>
      <c r="H53" s="366" t="inlineStr">
        <is>
          <t>Done</t>
        </is>
      </c>
      <c r="I53" s="3" t="n"/>
      <c r="J53" s="3" t="n"/>
    </row>
    <row r="54" ht="38.25" customHeight="1">
      <c r="B54" s="366" t="inlineStr">
        <is>
          <t>NPL2_044</t>
        </is>
      </c>
      <c r="C54" s="366" t="inlineStr">
        <is>
          <t>Notes Processing (L2): Map Mode via Page Number</t>
        </is>
      </c>
      <c r="D54" s="79" t="inlineStr">
        <is>
          <t>Submit and Continue &gt; AI Prediction.</t>
        </is>
      </c>
      <c r="E54" s="79" t="inlineStr">
        <is>
          <t>AI prediction should show predicted values.</t>
        </is>
      </c>
      <c r="F54" s="86" t="inlineStr">
        <is>
          <t>Pending</t>
        </is>
      </c>
      <c r="G54" s="3" t="n"/>
      <c r="H54" s="366" t="inlineStr">
        <is>
          <t>Done</t>
        </is>
      </c>
      <c r="I54" s="3" t="n"/>
      <c r="J54" s="3" t="n"/>
    </row>
    <row r="55" ht="38.25" customHeight="1">
      <c r="B55" s="366" t="inlineStr">
        <is>
          <t>NPL2_045</t>
        </is>
      </c>
      <c r="C55" s="366" t="inlineStr">
        <is>
          <t>Notes Processing (L2): Map Mode via Page Number</t>
        </is>
      </c>
      <c r="D55" s="79" t="inlineStr">
        <is>
          <t>Navigate to any page under predicted value &gt; directly click value.</t>
        </is>
      </c>
      <c r="E55" s="79" t="inlineStr">
        <is>
          <t>Value should be selected without clicking on map mode.</t>
        </is>
      </c>
      <c r="F55" s="86" t="inlineStr">
        <is>
          <t>Pending</t>
        </is>
      </c>
      <c r="G55" s="3" t="n"/>
      <c r="H55" s="366" t="inlineStr">
        <is>
          <t>Done</t>
        </is>
      </c>
      <c r="I55" s="3" t="n"/>
      <c r="J55" s="3" t="n"/>
    </row>
    <row r="56" ht="38.25" customHeight="1">
      <c r="B56" s="366" t="inlineStr">
        <is>
          <t>NPL2_046</t>
        </is>
      </c>
      <c r="C56" s="366" t="inlineStr">
        <is>
          <t>Notes Processing (L2): Map Mode via Page Number</t>
        </is>
      </c>
      <c r="D56" s="79" t="inlineStr">
        <is>
          <t>Verify that the user does not have to select map mode in AI Prediction to select any value.</t>
        </is>
      </c>
      <c r="E56" s="79" t="inlineStr">
        <is>
          <t>Map mode should be automatically selected.</t>
        </is>
      </c>
      <c r="F56" s="86" t="inlineStr">
        <is>
          <t>Pending</t>
        </is>
      </c>
      <c r="G56" s="3" t="n"/>
      <c r="H56" s="366" t="inlineStr">
        <is>
          <t>Done</t>
        </is>
      </c>
      <c r="I56" s="3" t="n"/>
      <c r="J56" s="3" t="n"/>
    </row>
    <row r="57" ht="38.25" customHeight="1">
      <c r="B57" s="366" t="inlineStr">
        <is>
          <t>NPL2_047</t>
        </is>
      </c>
      <c r="C57" s="267" t="inlineStr">
        <is>
          <t>Notes Processing (L2): Keyword Configuration by Language, Groups, and Models</t>
        </is>
      </c>
      <c r="D57" s="79" t="inlineStr">
        <is>
          <t>Go to Notes Processing Management Screen.</t>
        </is>
      </c>
      <c r="E57" s="79" t="inlineStr">
        <is>
          <t>The screen should be launched.</t>
        </is>
      </c>
      <c r="F57" s="86" t="inlineStr">
        <is>
          <t>Pending</t>
        </is>
      </c>
      <c r="G57" s="3" t="n"/>
      <c r="H57" s="366" t="inlineStr">
        <is>
          <t>Done</t>
        </is>
      </c>
      <c r="I57" s="3" t="n"/>
      <c r="J57" s="3" t="n"/>
    </row>
    <row r="58" ht="38.25" customHeight="1">
      <c r="B58" s="366" t="inlineStr">
        <is>
          <t>NPL2_048</t>
        </is>
      </c>
      <c r="C58" s="267" t="inlineStr">
        <is>
          <t>Notes Processing (L2): Keyword Configuration by Language, Groups, and Models</t>
        </is>
      </c>
      <c r="D58" s="79" t="inlineStr">
        <is>
          <t>Observe column options in screen: Keywords, Language, group, Model and synonyms.</t>
        </is>
      </c>
      <c r="E58" s="79" t="inlineStr">
        <is>
          <t>Options should be present.</t>
        </is>
      </c>
      <c r="F58" s="86" t="inlineStr">
        <is>
          <t>Pending</t>
        </is>
      </c>
      <c r="G58" s="3" t="n"/>
      <c r="H58" s="366" t="inlineStr">
        <is>
          <t>Done</t>
        </is>
      </c>
      <c r="I58" s="3" t="n"/>
      <c r="J58" s="3" t="n"/>
    </row>
    <row r="59" ht="38.25" customHeight="1">
      <c r="B59" s="366" t="inlineStr">
        <is>
          <t>NPL2_049</t>
        </is>
      </c>
      <c r="C59" s="267" t="inlineStr">
        <is>
          <t>Notes Processing (L2): Keyword Configuration by Language, Groups, and Models</t>
        </is>
      </c>
      <c r="D59" s="79" t="inlineStr">
        <is>
          <t>Verify that Notes processing UI screen for addition should allow for keywords to be added as per unique combination of Language, Access Group and Model.</t>
        </is>
      </c>
      <c r="E59" s="79" t="inlineStr">
        <is>
          <t>Notes processing UI screen for addition should allow for keywords to be added as per unique combination of Language, Access Group and Model.</t>
        </is>
      </c>
      <c r="F59" s="86" t="inlineStr">
        <is>
          <t>Pending</t>
        </is>
      </c>
      <c r="G59" s="3" t="n"/>
      <c r="H59" s="366" t="inlineStr">
        <is>
          <t>Done</t>
        </is>
      </c>
      <c r="I59" s="3" t="n"/>
      <c r="J59" s="3" t="n"/>
    </row>
    <row r="60" ht="38.25" customHeight="1">
      <c r="B60" s="366" t="inlineStr">
        <is>
          <t>NPL2_050</t>
        </is>
      </c>
      <c r="C60" s="267" t="inlineStr">
        <is>
          <t>Notes Processing (L2): Keyword Configuration by Language, Groups, and Models</t>
        </is>
      </c>
      <c r="D60" s="79" t="inlineStr">
        <is>
          <t>Verify that only those keywords list will be shown to the user which will be filtered based on language, group and model.</t>
        </is>
      </c>
      <c r="E60" s="79" t="inlineStr">
        <is>
          <t>The system should only those keywords list will be shown to the user which will be filtered based on language, group and model.</t>
        </is>
      </c>
      <c r="F60" s="86" t="inlineStr">
        <is>
          <t>Pending</t>
        </is>
      </c>
      <c r="G60" s="3" t="n"/>
      <c r="H60" s="366" t="inlineStr">
        <is>
          <t>Done</t>
        </is>
      </c>
      <c r="I60" s="3" t="n"/>
      <c r="J60" s="3" t="n"/>
    </row>
    <row r="61" ht="38.25" customHeight="1">
      <c r="B61" s="366" t="inlineStr">
        <is>
          <t>NPL2_051</t>
        </is>
      </c>
      <c r="C61" s="267" t="inlineStr">
        <is>
          <t>Notes Processing (L2): Keyword Configuration by Language, Groups, and Models</t>
        </is>
      </c>
      <c r="D61" s="79" t="inlineStr">
        <is>
          <t>Check that this functionality needs to be configurable as per client.</t>
        </is>
      </c>
      <c r="E61" s="79" t="inlineStr">
        <is>
          <t>This functionality should be configurable as per client.</t>
        </is>
      </c>
      <c r="F61" s="86" t="inlineStr">
        <is>
          <t>Pending</t>
        </is>
      </c>
      <c r="G61" s="3" t="n"/>
      <c r="H61" s="366" t="inlineStr">
        <is>
          <t>Out of Scope</t>
        </is>
      </c>
      <c r="I61" s="3" t="n"/>
      <c r="J61" s="3" t="n"/>
    </row>
    <row r="62" ht="38.25" customHeight="1">
      <c r="B62" s="366" t="inlineStr">
        <is>
          <t>NPL2_052</t>
        </is>
      </c>
      <c r="C62" s="267" t="inlineStr">
        <is>
          <t>Notes Processing (L2): Keyword Configuration by Language, Groups, and Models</t>
        </is>
      </c>
      <c r="D62" s="79" t="inlineStr">
        <is>
          <t>Check that Access group filter will only show the groups which are mapped to the logged in the user.</t>
        </is>
      </c>
      <c r="E62" s="79" t="inlineStr">
        <is>
          <t>Restricted groups should not be displayed.</t>
        </is>
      </c>
      <c r="F62" s="86" t="inlineStr">
        <is>
          <t>Pending</t>
        </is>
      </c>
      <c r="G62" s="3" t="n"/>
      <c r="H62" s="366" t="inlineStr">
        <is>
          <t>Done</t>
        </is>
      </c>
      <c r="I62" s="3" t="n"/>
      <c r="J62" s="3" t="n"/>
    </row>
    <row r="63" ht="38.25" customHeight="1">
      <c r="B63" s="366" t="inlineStr">
        <is>
          <t>NPL2_053</t>
        </is>
      </c>
      <c r="C63" s="267" t="inlineStr">
        <is>
          <t>Notes Processing (L2): Keyword Configuration by Language, Groups, and Models</t>
        </is>
      </c>
      <c r="D63" s="79" t="inlineStr">
        <is>
          <t>Verify that this filter should be single-select.</t>
        </is>
      </c>
      <c r="E63" s="79" t="inlineStr">
        <is>
          <t>Should be same.</t>
        </is>
      </c>
      <c r="F63" s="86" t="inlineStr">
        <is>
          <t>Pending</t>
        </is>
      </c>
      <c r="G63" s="3" t="n"/>
      <c r="H63" s="366" t="inlineStr">
        <is>
          <t>Done</t>
        </is>
      </c>
      <c r="I63" s="3" t="n"/>
      <c r="J63" s="3" t="n"/>
    </row>
    <row r="64" ht="38.25" customHeight="1">
      <c r="B64" s="366" t="inlineStr">
        <is>
          <t>NPL2_054</t>
        </is>
      </c>
      <c r="C64" s="267" t="inlineStr">
        <is>
          <t>Notes Processing (L2): Keyword Configuration by Language, Groups, and Models</t>
        </is>
      </c>
      <c r="D64" s="79" t="inlineStr">
        <is>
          <t>Verify that Model filter will have cascading effect on the group selection. This filter should be single-select.</t>
        </is>
      </c>
      <c r="E64" s="79" t="inlineStr">
        <is>
          <t>Model filter will have cascading effect on the group selection. This filter should be single-select.</t>
        </is>
      </c>
      <c r="F64" s="86" t="inlineStr">
        <is>
          <t>Pending</t>
        </is>
      </c>
      <c r="G64" s="3" t="n"/>
      <c r="H64" s="366" t="inlineStr">
        <is>
          <t>Done</t>
        </is>
      </c>
      <c r="I64" s="3" t="n"/>
      <c r="J64" s="3" t="n"/>
    </row>
    <row r="65" ht="38.25" customHeight="1">
      <c r="B65" s="366" t="inlineStr">
        <is>
          <t>NPL2_055</t>
        </is>
      </c>
      <c r="C65" s="267" t="inlineStr">
        <is>
          <t>Notes Processing (L2): Keyword Configuration by Language, Groups, and Models</t>
        </is>
      </c>
      <c r="D65" s="79" t="inlineStr">
        <is>
          <t>Verify that Language - This will be an independent filter. This filter should be single-select.</t>
        </is>
      </c>
      <c r="E65" s="79" t="inlineStr">
        <is>
          <t>Language - This will be an independent filter. This filter should be single-select.</t>
        </is>
      </c>
      <c r="F65" s="86" t="inlineStr">
        <is>
          <t>Pending</t>
        </is>
      </c>
      <c r="G65" s="3" t="n"/>
      <c r="H65" s="366" t="inlineStr">
        <is>
          <t>Done</t>
        </is>
      </c>
      <c r="I65" s="3" t="n"/>
      <c r="J65" s="3" t="n"/>
    </row>
    <row r="66" ht="38.25" customHeight="1">
      <c r="B66" s="366" t="inlineStr">
        <is>
          <t>NPL2_056</t>
        </is>
      </c>
      <c r="C66" s="267" t="inlineStr">
        <is>
          <t>Notes Processing (L2): Keyword Configuration by Language, Groups, and Models</t>
        </is>
      </c>
      <c r="D66" s="79" t="inlineStr">
        <is>
          <t>Verify that groups and model filters will not be there if client does not want the keywords as per groups and models.</t>
        </is>
      </c>
      <c r="E66" s="79" t="inlineStr">
        <is>
          <t>In this case all keywords should be generic for all access group and model.</t>
        </is>
      </c>
      <c r="F66" s="86" t="inlineStr">
        <is>
          <t>Pending</t>
        </is>
      </c>
      <c r="G66" s="3" t="n"/>
      <c r="H66" s="366" t="inlineStr">
        <is>
          <t>Out of Scope</t>
        </is>
      </c>
      <c r="I66" s="3" t="n"/>
      <c r="J66" s="3" t="n"/>
    </row>
    <row r="67" ht="38.25" customHeight="1">
      <c r="B67" s="366" t="inlineStr">
        <is>
          <t>NPL2_057</t>
        </is>
      </c>
      <c r="C67" s="267" t="inlineStr">
        <is>
          <t>Notes Processing (L2): Keyword Configuration by Language, Groups, and Models</t>
        </is>
      </c>
      <c r="D67" s="79" t="inlineStr">
        <is>
          <t>Observe download button &gt; Download notes keyword for the selected filters should be a provision on this interface.</t>
        </is>
      </c>
      <c r="E67" s="79" t="inlineStr">
        <is>
          <t>Verify that the user can download keywords.</t>
        </is>
      </c>
      <c r="F67" s="86" t="inlineStr">
        <is>
          <t>Pending</t>
        </is>
      </c>
      <c r="G67" s="3" t="n"/>
      <c r="H67" s="366" t="inlineStr">
        <is>
          <t>Done</t>
        </is>
      </c>
      <c r="I67" s="3" t="n"/>
      <c r="J67" s="3" t="n"/>
    </row>
    <row r="68" ht="38.25" customHeight="1">
      <c r="B68" s="366" t="inlineStr">
        <is>
          <t>NPL2_058</t>
        </is>
      </c>
      <c r="C68" s="267" t="inlineStr">
        <is>
          <t>Notes Processing (L2): Keyword Configuration by Language, Groups, and Models</t>
        </is>
      </c>
      <c r="D68" s="79" t="inlineStr">
        <is>
          <t>Upload functionality is not required.</t>
        </is>
      </c>
      <c r="E68" s="79" t="inlineStr">
        <is>
          <t>Upload button should not be present.</t>
        </is>
      </c>
      <c r="F68" s="86" t="inlineStr">
        <is>
          <t>Pending</t>
        </is>
      </c>
      <c r="G68" s="3" t="n"/>
      <c r="H68" s="366" t="inlineStr">
        <is>
          <t>Done</t>
        </is>
      </c>
      <c r="I68" s="3" t="n"/>
      <c r="J68" s="3" t="n"/>
    </row>
    <row r="69" ht="38.25" customHeight="1">
      <c r="B69" s="366" t="inlineStr">
        <is>
          <t>NPL2_059</t>
        </is>
      </c>
      <c r="C69" s="267" t="inlineStr">
        <is>
          <t>Notes Processing (L2): Keyword Configuration by Language, Groups, and Models</t>
        </is>
      </c>
      <c r="D69" s="79" t="inlineStr">
        <is>
          <t>Verify that on Bulk Upload and Add item: Logged in user access groups and language of the file will be considered to filter keywords and sent to ML engine in the request.</t>
        </is>
      </c>
      <c r="E69" s="79" t="inlineStr">
        <is>
          <t>The system should on Bulk Upload and Add item: Logged in user access groups and language of the file will be considered to filter keywords and sent to ML engine in the request.</t>
        </is>
      </c>
      <c r="F69" s="86" t="inlineStr">
        <is>
          <t>Pending</t>
        </is>
      </c>
      <c r="G69" s="3" t="n"/>
      <c r="H69" s="366" t="inlineStr">
        <is>
          <t>Done</t>
        </is>
      </c>
      <c r="I69" s="3" t="n"/>
      <c r="J69" s="3" t="n"/>
    </row>
    <row r="70" ht="38.25" customHeight="1">
      <c r="B70" s="366" t="inlineStr">
        <is>
          <t>NPL2_060</t>
        </is>
      </c>
      <c r="C70" s="267" t="inlineStr">
        <is>
          <t>Notes Processing (L2): Keyword Configuration by Language, Groups, and Models</t>
        </is>
      </c>
      <c r="D70" s="79" t="inlineStr">
        <is>
          <t>Verify that Prediction received from ML engine will again be filtered.</t>
        </is>
      </c>
      <c r="E70" s="79" t="inlineStr">
        <is>
          <t>Should be model/group specific.</t>
        </is>
      </c>
      <c r="F70" s="86" t="inlineStr">
        <is>
          <t>Pending</t>
        </is>
      </c>
      <c r="G70" s="3" t="n"/>
      <c r="H70" s="366" t="inlineStr">
        <is>
          <t>Done</t>
        </is>
      </c>
      <c r="I70" s="3" t="n"/>
      <c r="J70" s="3" t="n"/>
    </row>
    <row r="71" ht="63.75" customHeight="1">
      <c r="B71" s="366" t="inlineStr">
        <is>
          <t>NPL2_061</t>
        </is>
      </c>
      <c r="C71" s="267" t="inlineStr">
        <is>
          <t>Notes Processing (L2): Keyword Configuration by Language, Groups, and Models</t>
        </is>
      </c>
      <c r="D71" s="79" t="inlineStr">
        <is>
          <t>If keyword does not belong to the group of the item and the model used, then we will ignore the keyword prediction and if keyword belongs to the selected group and model then we will show on Spreading screen.</t>
        </is>
      </c>
      <c r="E71" s="79" t="inlineStr">
        <is>
          <t>If keyword does not belong to the group of the item and the model used, then we will ignore the keyword prediction and if keyword belongs to the selected group and model then we will show on Spreading screen.</t>
        </is>
      </c>
      <c r="F71" s="86" t="inlineStr">
        <is>
          <t>Pending</t>
        </is>
      </c>
      <c r="G71" s="3" t="n"/>
      <c r="H71" s="366" t="inlineStr">
        <is>
          <t>Done</t>
        </is>
      </c>
      <c r="I71" s="3" t="n"/>
      <c r="J71" s="3" t="n"/>
    </row>
    <row r="72" ht="38.25" customHeight="1">
      <c r="B72" s="366" t="inlineStr">
        <is>
          <t>NPL2_062</t>
        </is>
      </c>
      <c r="C72" s="366" t="inlineStr">
        <is>
          <t>Notes Processing (L2): Autofill for Single AI Predictions</t>
        </is>
      </c>
      <c r="D72" s="93" t="inlineStr">
        <is>
          <t>Log in to SS tool.</t>
        </is>
      </c>
      <c r="E72" s="93" t="inlineStr">
        <is>
          <t>The user should be able to log in to the SS tool.</t>
        </is>
      </c>
      <c r="F72" s="86" t="inlineStr">
        <is>
          <t>Pending</t>
        </is>
      </c>
      <c r="G72" s="3" t="n"/>
      <c r="H72" s="366" t="inlineStr">
        <is>
          <t>Done</t>
        </is>
      </c>
      <c r="I72" s="3" t="n"/>
      <c r="J72" s="3" t="n"/>
    </row>
    <row r="73" ht="38.25" customHeight="1">
      <c r="B73" s="366" t="inlineStr">
        <is>
          <t>NPL2_063</t>
        </is>
      </c>
      <c r="C73" s="366" t="inlineStr">
        <is>
          <t>Notes Processing (L2): Autofill for Single AI Predictions</t>
        </is>
      </c>
      <c r="D73" s="92" t="inlineStr">
        <is>
          <t>Navigate to Spreading screen.</t>
        </is>
      </c>
      <c r="E73" s="92" t="inlineStr">
        <is>
          <t>Spreading screen should open.</t>
        </is>
      </c>
      <c r="F73" s="86" t="inlineStr">
        <is>
          <t>Pending</t>
        </is>
      </c>
      <c r="G73" s="3" t="n"/>
      <c r="H73" s="366" t="inlineStr">
        <is>
          <t>Done</t>
        </is>
      </c>
      <c r="I73" s="3" t="n"/>
      <c r="J73" s="3" t="n"/>
    </row>
    <row r="74" ht="51" customHeight="1">
      <c r="B74" s="366" t="inlineStr">
        <is>
          <t>NPL2_064</t>
        </is>
      </c>
      <c r="C74" s="366" t="inlineStr">
        <is>
          <t>Notes Processing (L2): Autofill for Single AI Predictions</t>
        </is>
      </c>
      <c r="D74" s="79" t="inlineStr">
        <is>
          <t>Verify system to auto extract value from predicted sentence to model cell only in case 1 prediction is provided by AI ML.</t>
        </is>
      </c>
      <c r="E74" s="79" t="inlineStr">
        <is>
          <t>System to auto extract value from predicted sentence to model cell only in case 1 prediction is provided by AI ML.</t>
        </is>
      </c>
      <c r="F74" s="86" t="inlineStr">
        <is>
          <t>Pending</t>
        </is>
      </c>
      <c r="G74" s="3" t="n"/>
      <c r="H74" s="366" t="inlineStr">
        <is>
          <t>Done</t>
        </is>
      </c>
      <c r="I74" s="3" t="n"/>
      <c r="J74" s="3" t="n"/>
    </row>
    <row r="75" ht="38.25" customHeight="1">
      <c r="B75" s="366" t="inlineStr">
        <is>
          <t>NPL2_065</t>
        </is>
      </c>
      <c r="C75" s="366" t="inlineStr">
        <is>
          <t>Notes Processing (L2): Autofill for Single AI Predictions</t>
        </is>
      </c>
      <c r="D75" s="79" t="inlineStr">
        <is>
          <t>Verify If only 1 prediction is available, then auto extraction of free text value to model cell happen.</t>
        </is>
      </c>
      <c r="E75" s="79" t="inlineStr">
        <is>
          <t>If only 1 prediction is available, then auto extraction of free text value to model cell happen.</t>
        </is>
      </c>
      <c r="F75" s="86" t="inlineStr">
        <is>
          <t>Pending</t>
        </is>
      </c>
      <c r="G75" s="3" t="n"/>
      <c r="H75" s="366" t="inlineStr">
        <is>
          <t>Done</t>
        </is>
      </c>
      <c r="I75" s="3" t="n"/>
      <c r="J75" s="3" t="n"/>
    </row>
    <row r="76" ht="51" customHeight="1">
      <c r="B76" s="366" t="inlineStr">
        <is>
          <t>NPL2_066</t>
        </is>
      </c>
      <c r="C76" s="366" t="inlineStr">
        <is>
          <t>Notes Processing (L2): Autofill for Single AI Predictions</t>
        </is>
      </c>
      <c r="D76" s="79" t="inlineStr">
        <is>
          <t>Verify If predictions are more than one, then auto extraction should not happen and user will check for all predictions and map it to model cell.</t>
        </is>
      </c>
      <c r="E76" s="79" t="inlineStr">
        <is>
          <t>If predictions are more than one, then auto extraction should not happen and user will check for all predictions and map it to model cell.</t>
        </is>
      </c>
      <c r="F76" s="86" t="inlineStr">
        <is>
          <t>Pending</t>
        </is>
      </c>
      <c r="G76" s="3" t="n"/>
      <c r="H76" s="366" t="inlineStr">
        <is>
          <t>Done</t>
        </is>
      </c>
      <c r="I76" s="3" t="n"/>
      <c r="J76" s="3" t="n"/>
    </row>
    <row r="77" ht="25.5" customHeight="1">
      <c r="B77" s="366" t="inlineStr">
        <is>
          <t>NPL2_067</t>
        </is>
      </c>
      <c r="C77" s="90" t="inlineStr">
        <is>
          <t>Notes Processing (L2): Auto Extraction Scenarios</t>
        </is>
      </c>
      <c r="D77" s="79" t="inlineStr">
        <is>
          <t>Spreading screen &gt; Map free text.</t>
        </is>
      </c>
      <c r="E77" s="79" t="inlineStr">
        <is>
          <t>The user should be able to map free text.</t>
        </is>
      </c>
      <c r="F77" s="86" t="inlineStr">
        <is>
          <t>Pending</t>
        </is>
      </c>
      <c r="G77" s="3" t="n"/>
      <c r="H77" s="366" t="inlineStr">
        <is>
          <t>Done</t>
        </is>
      </c>
      <c r="I77" s="3" t="n"/>
      <c r="J77" s="3" t="n"/>
    </row>
    <row r="78" ht="38.25" customHeight="1">
      <c r="B78" s="366" t="inlineStr">
        <is>
          <t>NPL2_068</t>
        </is>
      </c>
      <c r="C78" s="90" t="inlineStr">
        <is>
          <t>Notes Processing (L2): Auto Extraction Scenarios</t>
        </is>
      </c>
      <c r="D78" s="79" t="inlineStr">
        <is>
          <t>Select alphanumeric value for auto extraction, it needs to be mapped to value row/cell on the model side then it should not be auto extracted.</t>
        </is>
      </c>
      <c r="E78" s="79" t="inlineStr">
        <is>
          <t>Select alphanumeric value for auto extraction, it needs to be mapped to value row/cell on the model side then it should not be auto extracted.</t>
        </is>
      </c>
      <c r="F78" s="86" t="inlineStr">
        <is>
          <t>Pending</t>
        </is>
      </c>
      <c r="G78" s="3" t="n"/>
      <c r="H78" s="366" t="inlineStr">
        <is>
          <t>Done</t>
        </is>
      </c>
      <c r="I78" s="3" t="n"/>
      <c r="J78" s="3" t="n"/>
    </row>
    <row r="79" ht="25.5" customHeight="1">
      <c r="B79" s="366" t="inlineStr">
        <is>
          <t>NPL2_069</t>
        </is>
      </c>
      <c r="C79" s="90" t="inlineStr">
        <is>
          <t>Notes Processing (L2): Auto Extraction Scenarios</t>
        </is>
      </c>
      <c r="D79" s="79" t="inlineStr">
        <is>
          <t>Verify that alphanumeric error should be generated and highlighted.</t>
        </is>
      </c>
      <c r="E79" s="79" t="inlineStr">
        <is>
          <t>Error should be highlighted.</t>
        </is>
      </c>
      <c r="F79" s="86" t="inlineStr">
        <is>
          <t>Pending</t>
        </is>
      </c>
      <c r="G79" s="3" t="n"/>
      <c r="H79" s="366" t="inlineStr">
        <is>
          <t>Done</t>
        </is>
      </c>
      <c r="I79" s="3" t="n"/>
      <c r="J79" s="3" t="n"/>
    </row>
    <row r="80" ht="25.5" customHeight="1">
      <c r="B80" s="366" t="inlineStr">
        <is>
          <t>NPL2_070</t>
        </is>
      </c>
      <c r="C80" s="90" t="inlineStr">
        <is>
          <t>Notes Processing (L2): Auto Extraction Scenarios</t>
        </is>
      </c>
      <c r="D80" s="79" t="inlineStr">
        <is>
          <t>Verify that If the model row/cell is string type then it will be no error and auto extraction to work AS IS.</t>
        </is>
      </c>
      <c r="E80" s="79" t="inlineStr">
        <is>
          <t>If the model row/cell is string type then it will be no error and auto extraction to work AS IS.</t>
        </is>
      </c>
      <c r="F80" s="86" t="inlineStr">
        <is>
          <t>Pending</t>
        </is>
      </c>
      <c r="G80" s="3" t="n"/>
      <c r="H80" s="366" t="inlineStr">
        <is>
          <t>Done</t>
        </is>
      </c>
      <c r="I80" s="3" t="n"/>
      <c r="J80" s="3" t="n"/>
    </row>
    <row r="81" ht="38.25" customHeight="1">
      <c r="B81" s="366" t="inlineStr">
        <is>
          <t>NPL2_071</t>
        </is>
      </c>
      <c r="C81" s="90" t="inlineStr">
        <is>
          <t>Notes Processing (L2): Master Template for Free Text Autofill</t>
        </is>
      </c>
      <c r="D81" s="79" t="inlineStr">
        <is>
          <t>Log in SS tool.</t>
        </is>
      </c>
      <c r="E81" s="79" t="inlineStr">
        <is>
          <t>The user should be able to login.</t>
        </is>
      </c>
      <c r="F81" s="86" t="inlineStr">
        <is>
          <t>Pending</t>
        </is>
      </c>
      <c r="G81" s="3" t="n"/>
      <c r="H81" s="366" t="inlineStr">
        <is>
          <t>Done</t>
        </is>
      </c>
      <c r="I81" s="3" t="n"/>
      <c r="J81" s="3" t="n"/>
    </row>
    <row r="82" ht="63.75" customHeight="1">
      <c r="B82" s="366" t="inlineStr">
        <is>
          <t>NPL2_072</t>
        </is>
      </c>
      <c r="C82" s="90" t="inlineStr">
        <is>
          <t>Notes Processing (L2): Master Template for Free Text Autofill</t>
        </is>
      </c>
      <c r="D82" s="79" t="inlineStr">
        <is>
          <t>Verify system to allow choosing template option, so that using that template free text values can be auto extracted by system for 1st time spread of that customer.</t>
        </is>
      </c>
      <c r="E82" s="79" t="inlineStr">
        <is>
          <t>System to allow choosing template option, so that using that template free text values can be auto extracted by system for 1st time spread of that customer.</t>
        </is>
      </c>
      <c r="F82" s="86" t="inlineStr">
        <is>
          <t>Pending</t>
        </is>
      </c>
      <c r="G82" s="3" t="n"/>
      <c r="H82" s="366" t="inlineStr">
        <is>
          <t>Done</t>
        </is>
      </c>
      <c r="I82" s="3" t="n"/>
      <c r="J82" s="3" t="n"/>
    </row>
    <row r="83" ht="38.25" customHeight="1">
      <c r="B83" s="366" t="inlineStr">
        <is>
          <t>NPL2_073</t>
        </is>
      </c>
      <c r="C83" s="90" t="inlineStr">
        <is>
          <t>Notes Processing (L2): Master Template for Free Text Autofill</t>
        </is>
      </c>
      <c r="D83" s="79" t="inlineStr">
        <is>
          <t>Verify system to Allow selection of template for 1st time spread.</t>
        </is>
      </c>
      <c r="E83" s="79" t="inlineStr">
        <is>
          <t>The system should Allow selection of template for 1st time spread.</t>
        </is>
      </c>
      <c r="F83" s="86" t="inlineStr">
        <is>
          <t>Pending</t>
        </is>
      </c>
      <c r="G83" s="3" t="n"/>
      <c r="H83" s="366" t="inlineStr">
        <is>
          <t>Done</t>
        </is>
      </c>
      <c r="I83" s="3" t="n"/>
      <c r="J83" s="3" t="n"/>
    </row>
    <row r="84" ht="38.25" customHeight="1">
      <c r="B84" s="366" t="inlineStr">
        <is>
          <t>NPL2_074</t>
        </is>
      </c>
      <c r="C84" s="90" t="inlineStr">
        <is>
          <t>Notes Processing (L2): Master Template for Free Text Autofill</t>
        </is>
      </c>
      <c r="D84" s="79" t="inlineStr">
        <is>
          <t>Verify template to have free text sentences and its mapping has been defined in Template feature.</t>
        </is>
      </c>
      <c r="E84" s="79" t="inlineStr">
        <is>
          <t>Template to have free text sentences and its mapping has been defined in Template feature.</t>
        </is>
      </c>
      <c r="F84" s="86" t="inlineStr">
        <is>
          <t>Pending</t>
        </is>
      </c>
      <c r="G84" s="3" t="n"/>
      <c r="H84" s="366" t="inlineStr">
        <is>
          <t>Done</t>
        </is>
      </c>
      <c r="I84" s="3" t="n"/>
      <c r="J84" s="3" t="n"/>
    </row>
    <row r="85" ht="51" customHeight="1">
      <c r="B85" s="366" t="inlineStr">
        <is>
          <t>NPL2_075</t>
        </is>
      </c>
      <c r="C85" s="90" t="inlineStr">
        <is>
          <t>Notes Processing (L2): Master Template for Free Text Autofill</t>
        </is>
      </c>
      <c r="D85" s="79" t="inlineStr">
        <is>
          <t>Verifiy mapping to be utilized to understand where the predicted values should go and system will look for remaining mappings as per expression and fetch data from AI predictions and map it to right cell.</t>
        </is>
      </c>
      <c r="E85" s="79" t="inlineStr">
        <is>
          <t>Mapping to be utilized to understand where the predicted values should go and system will look for remaining mappings as per expression and fetch data from AI predictions and map it to right cell.</t>
        </is>
      </c>
      <c r="F85" s="86" t="inlineStr">
        <is>
          <t>Pending</t>
        </is>
      </c>
      <c r="G85" s="3" t="n"/>
      <c r="H85" s="366" t="inlineStr">
        <is>
          <t>Done</t>
        </is>
      </c>
      <c r="I85" s="3" t="n"/>
      <c r="J85" s="3" t="n"/>
    </row>
    <row r="86" ht="25.5" customHeight="1">
      <c r="B86" s="366" t="inlineStr">
        <is>
          <t>NPL2_076</t>
        </is>
      </c>
      <c r="C86" s="90" t="inlineStr">
        <is>
          <t>Notes Processing (L2): Prediction Method</t>
        </is>
      </c>
      <c r="D86" s="79" t="inlineStr">
        <is>
          <t>Spreading screen &gt; verify global prediction.</t>
        </is>
      </c>
      <c r="E86" s="79" t="inlineStr">
        <is>
          <t>Global prediction should be present.</t>
        </is>
      </c>
      <c r="F86" s="86" t="inlineStr">
        <is>
          <t>Pending</t>
        </is>
      </c>
      <c r="G86" s="3" t="n"/>
      <c r="H86" s="366" t="inlineStr">
        <is>
          <t>Done</t>
        </is>
      </c>
      <c r="I86" s="3" t="n"/>
      <c r="J86" s="3" t="n"/>
    </row>
    <row r="87" ht="38.25" customHeight="1">
      <c r="B87" s="366" t="inlineStr">
        <is>
          <t>NPL2_077</t>
        </is>
      </c>
      <c r="C87" s="90" t="inlineStr">
        <is>
          <t>Notes Processing (L2): Prediction Method</t>
        </is>
      </c>
      <c r="D87" s="79" t="inlineStr">
        <is>
          <t>Verify that unique combination of Sentence and keyword should be sent to ML engine irrespective of the cells mapping.</t>
        </is>
      </c>
      <c r="E87" s="79" t="inlineStr">
        <is>
          <t>Sentence and keyword should not be same.</t>
        </is>
      </c>
      <c r="F87" s="86" t="inlineStr">
        <is>
          <t>Pending</t>
        </is>
      </c>
      <c r="G87" s="3" t="n"/>
      <c r="H87" s="366" t="inlineStr">
        <is>
          <t>Done</t>
        </is>
      </c>
      <c r="I87" s="3" t="n"/>
      <c r="J87" s="3" t="n"/>
    </row>
    <row r="88" ht="25.5" customHeight="1">
      <c r="B88" s="366" t="inlineStr">
        <is>
          <t>NPL2_078</t>
        </is>
      </c>
      <c r="C88" s="90" t="inlineStr">
        <is>
          <t>Notes Processing (L2): Prediction Method</t>
        </is>
      </c>
      <c r="D88" s="79" t="inlineStr">
        <is>
          <t>Verify inputting same sentence and keyword and save.</t>
        </is>
      </c>
      <c r="E88" s="79" t="inlineStr">
        <is>
          <t>Verify that the system shows duplicate message.</t>
        </is>
      </c>
      <c r="F88" s="86" t="inlineStr">
        <is>
          <t>Pending</t>
        </is>
      </c>
      <c r="G88" s="3" t="n"/>
      <c r="H88" s="366" t="inlineStr">
        <is>
          <t>Done</t>
        </is>
      </c>
      <c r="I88" s="3" t="n"/>
      <c r="J88" s="3" t="n"/>
    </row>
    <row r="89" ht="38.25" customHeight="1">
      <c r="B89" s="366" t="inlineStr">
        <is>
          <t>NPL2_079</t>
        </is>
      </c>
      <c r="C89" s="90" t="inlineStr">
        <is>
          <t>Notes Processing (L2): Prediction Method</t>
        </is>
      </c>
      <c r="D89" s="79" t="inlineStr">
        <is>
          <t>Verify that same sentence and keyword if available on same page or different pages then only one unique set of sentence and keyword will go to ML engine.</t>
        </is>
      </c>
      <c r="E89" s="79" t="inlineStr">
        <is>
          <t>Prediction should be based on unique set of sentence and keyword.</t>
        </is>
      </c>
      <c r="F89" s="86" t="inlineStr">
        <is>
          <t>Pending</t>
        </is>
      </c>
      <c r="G89" s="3" t="n"/>
      <c r="H89" s="366" t="inlineStr">
        <is>
          <t>Done</t>
        </is>
      </c>
      <c r="I89" s="3" t="n"/>
      <c r="J89" s="3" t="n"/>
    </row>
    <row r="90" ht="38.25" customHeight="1">
      <c r="B90" s="366" t="inlineStr">
        <is>
          <t>NPL2_080</t>
        </is>
      </c>
      <c r="C90" s="90" t="inlineStr">
        <is>
          <t>Notes Processing (L2): Prediction Method</t>
        </is>
      </c>
      <c r="D90" s="79" t="inlineStr">
        <is>
          <t>Verify that if the predicted sentence and original sentence is not matching then a new entry will go to ML engine with the same keyword.</t>
        </is>
      </c>
      <c r="E90" s="79" t="inlineStr">
        <is>
          <t>New data should be sent in case of no match.</t>
        </is>
      </c>
      <c r="F90" s="86" t="inlineStr">
        <is>
          <t>Pending</t>
        </is>
      </c>
      <c r="G90" s="3" t="n"/>
      <c r="H90" s="366" t="inlineStr">
        <is>
          <t>Out of Scope</t>
        </is>
      </c>
      <c r="I90" s="3" t="n"/>
      <c r="J90" s="3" t="n"/>
    </row>
    <row r="91" ht="38.25" customHeight="1">
      <c r="B91" s="366" t="inlineStr">
        <is>
          <t>NPL2_081</t>
        </is>
      </c>
      <c r="C91" s="90" t="inlineStr">
        <is>
          <t>Notes Processing (L2): Prediction Method</t>
        </is>
      </c>
      <c r="D91" s="79" t="inlineStr">
        <is>
          <t>Verify that If the same spread is opened and modified for which the data is already available in ML engine then the previous data will be replaced by the latest data.</t>
        </is>
      </c>
      <c r="E91" s="79" t="inlineStr">
        <is>
          <t>Latest data should be saved when modified.</t>
        </is>
      </c>
      <c r="F91" s="86" t="inlineStr">
        <is>
          <t>Pending</t>
        </is>
      </c>
      <c r="G91" s="3" t="n"/>
      <c r="H91" s="366" t="inlineStr">
        <is>
          <t>Out of Scope</t>
        </is>
      </c>
      <c r="I91" s="3" t="n"/>
      <c r="J91" s="3" t="n"/>
    </row>
    <row r="92" ht="25.5" customHeight="1">
      <c r="B92" s="366" t="inlineStr">
        <is>
          <t>NPL2_082</t>
        </is>
      </c>
      <c r="C92" s="90" t="inlineStr">
        <is>
          <t>Notes Processing (L2): Prediction Method</t>
        </is>
      </c>
      <c r="D92" s="79" t="inlineStr">
        <is>
          <t>Verify that Sentence of the base period will be used for prediction for the current period.</t>
        </is>
      </c>
      <c r="E92" s="79" t="inlineStr">
        <is>
          <t>The sentence from the base period should be used for prediction for the current period.</t>
        </is>
      </c>
      <c r="F92" s="86" t="inlineStr">
        <is>
          <t>Pending</t>
        </is>
      </c>
      <c r="G92" s="3" t="n"/>
      <c r="H92" s="366" t="inlineStr">
        <is>
          <t>Done</t>
        </is>
      </c>
      <c r="I92" s="3" t="n"/>
      <c r="J92" s="3" t="n"/>
    </row>
    <row r="93" ht="38.25" customHeight="1">
      <c r="B93" s="366" t="inlineStr">
        <is>
          <t>NPL2_083</t>
        </is>
      </c>
      <c r="C93" s="90" t="inlineStr">
        <is>
          <t>Notes Processing (L2): Prediction Method</t>
        </is>
      </c>
      <c r="D93" s="79" t="inlineStr">
        <is>
          <t>Verify on case base period does not have sentences for specific keywords, then it will utilize last sentence against that keyword (last modified date).</t>
        </is>
      </c>
      <c r="E93" s="79" t="inlineStr">
        <is>
          <t>Should send data as per the last sentence.</t>
        </is>
      </c>
      <c r="F93" s="86" t="inlineStr">
        <is>
          <t>Pending</t>
        </is>
      </c>
      <c r="G93" s="3" t="n"/>
      <c r="H93" s="366" t="inlineStr">
        <is>
          <t>Done</t>
        </is>
      </c>
      <c r="I93" s="3" t="n"/>
      <c r="J93" s="3" t="n"/>
    </row>
    <row r="94" ht="25.5" customHeight="1">
      <c r="B94" s="366" t="inlineStr">
        <is>
          <t>NPL2_084</t>
        </is>
      </c>
      <c r="C94" s="90" t="inlineStr">
        <is>
          <t>Notes Processing (L2): Prediction Method</t>
        </is>
      </c>
      <c r="D94" s="79" t="inlineStr">
        <is>
          <t>Verify that Historical Prediction with latest sentence will be picked for missing mapped sentences from free text.</t>
        </is>
      </c>
      <c r="E94" s="79" t="inlineStr">
        <is>
          <t>The latest historical prediction sentence should be used for missing mapped sentences from free text.</t>
        </is>
      </c>
      <c r="F94" s="86" t="inlineStr">
        <is>
          <t>Pending</t>
        </is>
      </c>
      <c r="G94" s="3" t="n"/>
      <c r="H94" s="366" t="inlineStr">
        <is>
          <t>Done</t>
        </is>
      </c>
      <c r="I94" s="3" t="n"/>
      <c r="J94" s="3" t="n"/>
    </row>
    <row r="95" ht="51" customHeight="1">
      <c r="B95" s="366" t="inlineStr">
        <is>
          <t>NPL2_085</t>
        </is>
      </c>
      <c r="C95" s="90" t="inlineStr">
        <is>
          <t>Notes Processing (L2): Prediction Method</t>
        </is>
      </c>
      <c r="D95" s="79" t="inlineStr">
        <is>
          <t>Verify that If the user has not chosen value from the prediction sentences of keyword 1 and mapped value from entirely different sentence and tagged it as keyword 1 then a new entry will be created in ML engine.</t>
        </is>
      </c>
      <c r="E95" s="79" t="inlineStr">
        <is>
          <t>Data should be sent as per the selected keywords.</t>
        </is>
      </c>
      <c r="F95" s="86" t="inlineStr">
        <is>
          <t>Pending</t>
        </is>
      </c>
      <c r="G95" s="3" t="n"/>
      <c r="H95" s="366" t="inlineStr">
        <is>
          <t>Done</t>
        </is>
      </c>
      <c r="I95" s="3" t="n"/>
      <c r="J95" s="3" t="n"/>
    </row>
    <row r="96" ht="25.5" customHeight="1">
      <c r="B96" s="366" t="inlineStr">
        <is>
          <t>NPL2_086</t>
        </is>
      </c>
      <c r="C96" s="90" t="inlineStr">
        <is>
          <t>Notes Processing (L2): Prediction Method</t>
        </is>
      </c>
      <c r="D96" s="79" t="inlineStr">
        <is>
          <t>Verify that In Spreadsmart database, sentence and keyword will be saved period-wise for all keywords.</t>
        </is>
      </c>
      <c r="E96" s="79" t="inlineStr">
        <is>
          <t>Should be saved as mentioned and this will be used later for Global training.</t>
        </is>
      </c>
      <c r="F96" s="86" t="inlineStr">
        <is>
          <t>Pending</t>
        </is>
      </c>
      <c r="G96" s="3" t="n"/>
      <c r="H96" s="366" t="inlineStr">
        <is>
          <t>Done</t>
        </is>
      </c>
      <c r="I96" s="3" t="n"/>
      <c r="J96" s="3" t="n"/>
    </row>
    <row r="97" ht="38.25" customHeight="1">
      <c r="B97" s="366" t="inlineStr">
        <is>
          <t>NPL2_087</t>
        </is>
      </c>
      <c r="C97" s="90" t="inlineStr">
        <is>
          <t>Notes Processing (L2): Prediction Method</t>
        </is>
      </c>
      <c r="D97" s="79" t="inlineStr">
        <is>
          <t>Verify that In case of single base, prediction will come on the basis of base spread of the customer as a first priority.</t>
        </is>
      </c>
      <c r="E97" s="79" t="inlineStr">
        <is>
          <t>Customer prediction should be display as first priority.</t>
        </is>
      </c>
      <c r="F97" s="86" t="inlineStr">
        <is>
          <t>Pending</t>
        </is>
      </c>
      <c r="G97" s="3" t="n"/>
      <c r="H97" s="366" t="inlineStr">
        <is>
          <t>Done</t>
        </is>
      </c>
      <c r="I97" s="3" t="n"/>
      <c r="J97" s="3" t="n"/>
    </row>
    <row r="98" ht="38.25" customHeight="1">
      <c r="B98" s="366" t="inlineStr">
        <is>
          <t>NPL2_088</t>
        </is>
      </c>
      <c r="C98" s="90" t="inlineStr">
        <is>
          <t>Notes Processing (L2): Prediction Method</t>
        </is>
      </c>
      <c r="D98" s="79" t="inlineStr">
        <is>
          <t>And, Prediction will come for global training data as a second priority.</t>
        </is>
      </c>
      <c r="E98" s="79" t="inlineStr">
        <is>
          <t>Global prediction should be display as second priority.</t>
        </is>
      </c>
      <c r="F98" s="86" t="inlineStr">
        <is>
          <t>Pending</t>
        </is>
      </c>
      <c r="G98" s="3" t="n"/>
      <c r="H98" s="366" t="inlineStr">
        <is>
          <t>Done</t>
        </is>
      </c>
      <c r="I98" s="3" t="n"/>
      <c r="J98" s="3" t="n"/>
    </row>
    <row r="99" ht="51" customHeight="1">
      <c r="B99" s="366" t="inlineStr">
        <is>
          <t>NPL2_089</t>
        </is>
      </c>
      <c r="C99" s="90" t="inlineStr">
        <is>
          <t>Notes Processing (L2): Prediction Method</t>
        </is>
      </c>
      <c r="D99" s="79" t="inlineStr">
        <is>
          <t>Verify that In case of multiple base spreads, prediction will come on the basis of base spread (or historical base) of the customer (first priority) and then global training data (second priority).</t>
        </is>
      </c>
      <c r="E99" s="79" t="inlineStr">
        <is>
          <t>In case of multiple base spreads, prediction should be based on the customer's base spread (or historical base) first and then on global training data.</t>
        </is>
      </c>
      <c r="F99" s="86" t="inlineStr">
        <is>
          <t>Pending</t>
        </is>
      </c>
      <c r="G99" s="3" t="n"/>
      <c r="H99" s="366" t="inlineStr">
        <is>
          <t>Done</t>
        </is>
      </c>
      <c r="I99" s="3" t="n"/>
      <c r="J99" s="3" t="n"/>
    </row>
    <row r="100" ht="38.25" customHeight="1">
      <c r="B100" s="366" t="inlineStr">
        <is>
          <t>NPL2_090</t>
        </is>
      </c>
      <c r="C100" s="90" t="inlineStr">
        <is>
          <t>Notes Processing (L2): Prediction Method</t>
        </is>
      </c>
      <c r="D100" s="79" t="inlineStr">
        <is>
          <t>Map multiple values with customer and pdf should have global prediction as well.
Submit and Continue &gt; observe.</t>
        </is>
      </c>
      <c r="E100" s="79" t="inlineStr">
        <is>
          <t>Prediction should appear as per the First and 2nd priority.</t>
        </is>
      </c>
      <c r="F100" s="86" t="inlineStr">
        <is>
          <t>Pending</t>
        </is>
      </c>
      <c r="G100" s="3" t="n"/>
      <c r="H100" s="366" t="inlineStr">
        <is>
          <t>Done</t>
        </is>
      </c>
      <c r="I100" s="3" t="n"/>
      <c r="J100" s="3" t="n"/>
    </row>
    <row r="101" ht="38.25" customHeight="1">
      <c r="B101" s="366" t="inlineStr">
        <is>
          <t>NPL2_091</t>
        </is>
      </c>
      <c r="C101" s="90" t="inlineStr">
        <is>
          <t>Notes Processing (L2): Prediction Method</t>
        </is>
      </c>
      <c r="D101" s="79" t="inlineStr">
        <is>
          <t>Autofill values from the predictions &gt; observe.</t>
        </is>
      </c>
      <c r="E101" s="79" t="inlineStr">
        <is>
          <t>With prediction, AI/ML will provide value in response for Autofill.</t>
        </is>
      </c>
      <c r="F101" s="86" t="inlineStr">
        <is>
          <t>Pending</t>
        </is>
      </c>
      <c r="G101" s="3" t="n"/>
      <c r="H101" s="366" t="inlineStr">
        <is>
          <t>Done</t>
        </is>
      </c>
      <c r="I101" s="3" t="n"/>
      <c r="J101" s="3" t="n"/>
    </row>
  </sheetData>
  <autoFilter ref="B2:J101">
    <filterColumn colId="0" hiddenButton="0" showButton="0"/>
    <filterColumn colId="1" hiddenButton="0" showButton="0"/>
    <filterColumn colId="2" hiddenButton="0" showButton="0"/>
    <filterColumn colId="3" hiddenButton="0" showButton="0"/>
  </autoFilter>
  <mergeCells count="9">
    <mergeCell ref="B6:C6"/>
    <mergeCell ref="B7:C7"/>
    <mergeCell ref="B2:F2"/>
    <mergeCell ref="B5:C5"/>
    <mergeCell ref="E3:E4"/>
    <mergeCell ref="F3:F4"/>
    <mergeCell ref="B9:C9"/>
    <mergeCell ref="B8:C8"/>
    <mergeCell ref="B3:C4"/>
  </mergeCells>
  <conditionalFormatting sqref="D4">
    <cfRule type="expression" priority="79" dxfId="51" stopIfTrue="1">
      <formula>AND(COUNTIF(#REF!, D4)+COUNTIF(#REF!, D4)&gt;1,NOT(ISBLANK(D4)))</formula>
    </cfRule>
  </conditionalFormatting>
  <conditionalFormatting sqref="D5">
    <cfRule type="cellIs" priority="78" operator="lessThan" dxfId="10" stopIfTrue="1">
      <formula>1</formula>
    </cfRule>
  </conditionalFormatting>
  <conditionalFormatting sqref="D5:D9">
    <cfRule type="cellIs" priority="73" operator="greaterThan" dxfId="9" stopIfTrue="1">
      <formula>0</formula>
    </cfRule>
    <cfRule type="cellIs" priority="74" operator="greaterThan" dxfId="9" stopIfTrue="1">
      <formula>1</formula>
    </cfRule>
    <cfRule type="cellIs" priority="75" operator="greaterThan" dxfId="10" stopIfTrue="1">
      <formula>0</formula>
    </cfRule>
    <cfRule type="cellIs" priority="76" operator="greaterThan" dxfId="10" stopIfTrue="1">
      <formula>1</formula>
    </cfRule>
    <cfRule type="cellIs" priority="77" operator="equal" dxfId="9" stopIfTrue="1">
      <formula>$C$5</formula>
    </cfRule>
  </conditionalFormatting>
  <conditionalFormatting sqref="D6:E9">
    <cfRule type="cellIs" priority="19" operator="lessThan" dxfId="10" stopIfTrue="1">
      <formula>1</formula>
    </cfRule>
  </conditionalFormatting>
  <conditionalFormatting sqref="E5">
    <cfRule type="cellIs" priority="21" operator="lessThan" dxfId="10" stopIfTrue="1">
      <formula>1</formula>
    </cfRule>
  </conditionalFormatting>
  <conditionalFormatting sqref="E5:E9">
    <cfRule type="cellIs" priority="18" operator="equal" dxfId="9" stopIfTrue="1">
      <formula>1</formula>
    </cfRule>
  </conditionalFormatting>
  <conditionalFormatting sqref="E6:E9">
    <cfRule type="cellIs" priority="16" operator="equal" dxfId="9" stopIfTrue="1">
      <formula>1</formula>
    </cfRule>
    <cfRule type="cellIs" priority="17" operator="lessThan" dxfId="10" stopIfTrue="1">
      <formula>1</formula>
    </cfRule>
  </conditionalFormatting>
  <conditionalFormatting sqref="E5:F5">
    <cfRule type="cellIs" priority="22" operator="equal" dxfId="9" stopIfTrue="1">
      <formula>1</formula>
    </cfRule>
    <cfRule type="cellIs" priority="23" operator="lessThan" dxfId="10" stopIfTrue="1">
      <formula>1</formula>
    </cfRule>
  </conditionalFormatting>
  <conditionalFormatting sqref="F5">
    <cfRule type="cellIs" priority="98" operator="equal" dxfId="9" stopIfTrue="1">
      <formula>1</formula>
    </cfRule>
    <cfRule type="cellIs" priority="99" operator="lessThan" dxfId="10" stopIfTrue="1">
      <formula>1</formula>
    </cfRule>
  </conditionalFormatting>
  <conditionalFormatting sqref="F6">
    <cfRule type="cellIs" priority="92" operator="greaterThan" dxfId="10" stopIfTrue="1">
      <formula>0</formula>
    </cfRule>
    <cfRule type="cellIs" priority="93" operator="equal" dxfId="9" stopIfTrue="1">
      <formula>0</formula>
    </cfRule>
    <cfRule type="cellIs" priority="94" operator="greaterThan" dxfId="10" stopIfTrue="1">
      <formula>0</formula>
    </cfRule>
    <cfRule type="cellIs" priority="95" operator="equal" dxfId="9" stopIfTrue="1">
      <formula>0</formula>
    </cfRule>
  </conditionalFormatting>
  <conditionalFormatting sqref="F7">
    <cfRule type="cellIs" priority="90" operator="equal" dxfId="9" stopIfTrue="1">
      <formula>0</formula>
    </cfRule>
    <cfRule type="cellIs" priority="91" operator="greaterThan" dxfId="22" stopIfTrue="1">
      <formula>0</formula>
    </cfRule>
  </conditionalFormatting>
  <conditionalFormatting sqref="F7:F8">
    <cfRule type="cellIs" priority="86" operator="equal" dxfId="9" stopIfTrue="1">
      <formula>0</formula>
    </cfRule>
    <cfRule type="cellIs" priority="87" operator="greaterThan" dxfId="22" stopIfTrue="1">
      <formula>0</formula>
    </cfRule>
  </conditionalFormatting>
  <conditionalFormatting sqref="F8:F9">
    <cfRule type="cellIs" priority="82" operator="equal" dxfId="9" stopIfTrue="1">
      <formula>0</formula>
    </cfRule>
    <cfRule type="cellIs" priority="83" operator="greaterThan" dxfId="22" stopIfTrue="1">
      <formula>0</formula>
    </cfRule>
  </conditionalFormatting>
  <conditionalFormatting sqref="F9">
    <cfRule type="cellIs" priority="80" operator="equal" dxfId="9" stopIfTrue="1">
      <formula>0</formula>
    </cfRule>
    <cfRule type="cellIs" priority="81" operator="greaterThan" dxfId="22" stopIfTrue="1">
      <formula>0</formula>
    </cfRule>
  </conditionalFormatting>
  <conditionalFormatting sqref="F11:F101">
    <cfRule type="cellIs" priority="170" operator="equal" dxfId="6" stopIfTrue="1">
      <formula>"NA"</formula>
    </cfRule>
    <cfRule type="cellIs" priority="171" operator="equal" dxfId="5" stopIfTrue="1">
      <formula>"Blocked"</formula>
    </cfRule>
    <cfRule type="cellIs" priority="172" operator="equal" dxfId="4" stopIfTrue="1">
      <formula>"Pending"</formula>
    </cfRule>
    <cfRule type="cellIs" priority="173" operator="equal" dxfId="0" stopIfTrue="1">
      <formula>"Passed"</formula>
    </cfRule>
    <cfRule type="cellIs" priority="174" operator="equal" dxfId="1" stopIfTrue="1">
      <formula>"Failed"</formula>
    </cfRule>
    <cfRule type="cellIs" priority="175" operator="equal" dxfId="1" stopIfTrue="1">
      <formula>"Fail"</formula>
    </cfRule>
    <cfRule type="cellIs" priority="176" operator="equal" dxfId="0" stopIfTrue="1">
      <formula>"Pass"</formula>
    </cfRule>
  </conditionalFormatting>
  <conditionalFormatting sqref="G6:G9">
    <cfRule type="cellIs" priority="10" operator="lessThan" dxfId="10" stopIfTrue="1">
      <formula>1</formula>
    </cfRule>
    <cfRule type="cellIs" priority="11" operator="greaterThan" dxfId="9" stopIfTrue="1">
      <formula>0</formula>
    </cfRule>
    <cfRule type="cellIs" priority="12" operator="greaterThan" dxfId="9" stopIfTrue="1">
      <formula>1</formula>
    </cfRule>
    <cfRule type="cellIs" priority="13" operator="greaterThan" dxfId="10" stopIfTrue="1">
      <formula>0</formula>
    </cfRule>
    <cfRule type="cellIs" priority="14" operator="greaterThan" dxfId="10" stopIfTrue="1">
      <formula>1</formula>
    </cfRule>
    <cfRule type="cellIs" priority="15" operator="equal" dxfId="9" stopIfTrue="1">
      <formula>$C$3</formula>
    </cfRule>
  </conditionalFormatting>
  <conditionalFormatting sqref="H11:H101">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disablePrompts="1" count="2">
    <dataValidation sqref="F11:F101" showDropDown="0" showInputMessage="1" showErrorMessage="1" allowBlank="1" type="list">
      <formula1>"Passed,Failed,Blocked,Pending,NA"</formula1>
    </dataValidation>
    <dataValidation sqref="H11:H101"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B2:J62"/>
  <sheetViews>
    <sheetView showGridLines="0" topLeftCell="D4" workbookViewId="0">
      <selection activeCell="I11" sqref="I11"/>
    </sheetView>
  </sheetViews>
  <sheetFormatPr baseColWidth="8" defaultRowHeight="15"/>
  <cols>
    <col width="5" customWidth="1" min="1" max="1"/>
    <col width="27.5703125" customWidth="1" min="3" max="3"/>
    <col width="44.7109375" customWidth="1" min="4" max="5"/>
    <col width="12" customWidth="1" min="7" max="7"/>
    <col width="23.28515625" customWidth="1" min="8" max="8"/>
    <col width="12" customWidth="1" min="9" max="9"/>
    <col width="13.28515625" customWidth="1" min="10"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COUNTIF(F9:F64,"Passed")</f>
        <v/>
      </c>
      <c r="E4" s="53">
        <f>IF(D4=0,,(D4/(D4+D5)))</f>
        <v/>
      </c>
      <c r="F4" s="51">
        <f>IF(D3=0,,(D4/D3))</f>
        <v/>
      </c>
      <c r="G4" s="156">
        <f>COUNTIF(H10:H499,"Done")</f>
        <v/>
      </c>
    </row>
    <row r="5" ht="15.75" customHeight="1" thickBot="1">
      <c r="B5" s="350" t="inlineStr">
        <is>
          <t>Failed</t>
        </is>
      </c>
      <c r="D5" s="52">
        <f>COUNTIF(F9:F64,"Failed")</f>
        <v/>
      </c>
      <c r="E5" s="53">
        <f>IF(D5=0,,(D5/(D5+D6)))</f>
        <v/>
      </c>
      <c r="F5" s="51">
        <f>IF(D3=0,,(D5/D3))</f>
        <v/>
      </c>
      <c r="G5" s="52">
        <f>COUNTIF(H10:H499,"Failed")</f>
        <v/>
      </c>
    </row>
    <row r="6" ht="15.75" customHeight="1" thickBot="1">
      <c r="B6" s="350" t="inlineStr">
        <is>
          <t>Blocked</t>
        </is>
      </c>
      <c r="D6" s="52">
        <f>COUNTIF(F9:F64,"Blocked")</f>
        <v/>
      </c>
      <c r="E6" s="53">
        <f>IF(D6=0,,(D6/(D6+D7)))</f>
        <v/>
      </c>
      <c r="F6" s="51">
        <f>IF(D3=0,,(D6/D3))</f>
        <v/>
      </c>
      <c r="G6" s="52">
        <f>COUNTIF(H10:H499,"Blocked")</f>
        <v/>
      </c>
    </row>
    <row r="7" ht="15.75" customHeight="1" thickBot="1">
      <c r="B7" s="350" t="inlineStr">
        <is>
          <t>Pending</t>
        </is>
      </c>
      <c r="D7" s="52">
        <f>COUNTIF(F9:F64,"Pending")</f>
        <v/>
      </c>
      <c r="E7" s="53">
        <f>IF(D7=0,,(D7/(D7+D8)))</f>
        <v/>
      </c>
      <c r="F7" s="51">
        <f>IF(D3=0,,(D7/D3))</f>
        <v/>
      </c>
      <c r="G7" s="52">
        <f>COUNTIF(H10:H499,"Pending")</f>
        <v/>
      </c>
    </row>
    <row r="8" ht="15.75" customHeight="1" thickBot="1">
      <c r="B8" s="350" t="inlineStr">
        <is>
          <t>Not Applicable</t>
        </is>
      </c>
      <c r="D8" s="52">
        <f>COUNTIF(F9:F64,"Not Applicable")</f>
        <v/>
      </c>
      <c r="E8" s="53">
        <f>IF(D8=0,,(D8/(D8+#REF!)))</f>
        <v/>
      </c>
      <c r="F8" s="51">
        <f>IF(D3=0,,(D8/D3))</f>
        <v/>
      </c>
      <c r="G8" s="52">
        <f>COUNTIF(H10:H499,"Out of Scope")</f>
        <v/>
      </c>
    </row>
    <row r="9" ht="15.75" customHeight="1" thickBot="1">
      <c r="B9" s="9" t="inlineStr">
        <is>
          <t>S.No.</t>
        </is>
      </c>
      <c r="C9" s="10" t="inlineStr">
        <is>
          <t>Module/Sub-Module</t>
        </is>
      </c>
      <c r="D9" s="10" t="inlineStr">
        <is>
          <t>Test Steps</t>
        </is>
      </c>
      <c r="E9" s="8" t="inlineStr">
        <is>
          <t>Expected Results</t>
        </is>
      </c>
      <c r="F9" s="8" t="inlineStr">
        <is>
          <t>Result</t>
        </is>
      </c>
      <c r="G9" s="8" t="inlineStr">
        <is>
          <t>Bug ID</t>
        </is>
      </c>
      <c r="H9" s="8" t="inlineStr">
        <is>
          <t>Automation Status</t>
        </is>
      </c>
      <c r="I9" s="8" t="inlineStr">
        <is>
          <t>Mapped Scripts</t>
        </is>
      </c>
      <c r="J9" s="2" t="inlineStr">
        <is>
          <t>Comments</t>
        </is>
      </c>
    </row>
    <row r="10" ht="38.25" customHeight="1">
      <c r="B10" s="18" t="inlineStr">
        <is>
          <t>QC_001</t>
        </is>
      </c>
      <c r="C10" s="18" t="inlineStr">
        <is>
          <t>Configuration Settings</t>
        </is>
      </c>
      <c r="D10" s="18" t="inlineStr">
        <is>
          <t>Verify that the user can navigate to Configuration setting screen when click Configuration settings under Admin module.</t>
        </is>
      </c>
      <c r="E10" s="18" t="inlineStr">
        <is>
          <t>Configuration Settings screen should be launched.</t>
        </is>
      </c>
      <c r="F10" s="26" t="inlineStr">
        <is>
          <t>Pending</t>
        </is>
      </c>
      <c r="G10" s="7" t="n"/>
      <c r="H10" s="18" t="inlineStr">
        <is>
          <t>Pending</t>
        </is>
      </c>
      <c r="I10" s="148" t="n">
        <v>0.5</v>
      </c>
      <c r="J10" s="55" t="n"/>
    </row>
    <row r="11" ht="51" customHeight="1">
      <c r="B11" s="18" t="inlineStr">
        <is>
          <t>QC_002</t>
        </is>
      </c>
      <c r="C11" s="18" t="inlineStr">
        <is>
          <t>Configuration Settings</t>
        </is>
      </c>
      <c r="D11" s="366" t="inlineStr">
        <is>
          <t>Verify that the user has option for Voluntary request with active/inactive button.
Verify that the user can active/inactive and save settings.</t>
        </is>
      </c>
      <c r="E11" s="366" t="inlineStr">
        <is>
          <t>Selected option should be saved.</t>
        </is>
      </c>
      <c r="F11" s="26" t="inlineStr">
        <is>
          <t>Pending</t>
        </is>
      </c>
      <c r="G11" s="3" t="n"/>
      <c r="H11" s="366" t="inlineStr">
        <is>
          <t>Pending</t>
        </is>
      </c>
      <c r="I11" s="149" t="n">
        <v>0.5</v>
      </c>
      <c r="J11" s="55" t="n"/>
    </row>
    <row r="12" ht="51" customHeight="1">
      <c r="B12" s="18" t="inlineStr">
        <is>
          <t>QC_003</t>
        </is>
      </c>
      <c r="C12" s="18" t="inlineStr">
        <is>
          <t>Configuration Settings</t>
        </is>
      </c>
      <c r="D12" s="366" t="inlineStr">
        <is>
          <t>Verify that the user has option for Audit method with Active/inactive button.
Verify that the user can launch the dropdown to select audit method and save settings.</t>
        </is>
      </c>
      <c r="E12" s="366" t="inlineStr">
        <is>
          <t>Selected audit method should be saved.</t>
        </is>
      </c>
      <c r="F12" s="26" t="inlineStr">
        <is>
          <t>Pending</t>
        </is>
      </c>
      <c r="G12" s="3" t="n"/>
      <c r="H12" s="366" t="inlineStr">
        <is>
          <t>Pending</t>
        </is>
      </c>
      <c r="I12" s="149" t="n">
        <v>0.5</v>
      </c>
      <c r="J12" s="55" t="n"/>
    </row>
    <row r="13" ht="38.25" customHeight="1">
      <c r="B13" s="18" t="inlineStr">
        <is>
          <t>QC_004</t>
        </is>
      </c>
      <c r="C13" s="18" t="inlineStr">
        <is>
          <t>Configuration Settings</t>
        </is>
      </c>
      <c r="D13" s="366" t="inlineStr">
        <is>
          <t>Verify that the user has option TAT with time to set in days, hours, minutes.
Verify that the user can set TAT and save configuration.</t>
        </is>
      </c>
      <c r="E13" s="366" t="inlineStr">
        <is>
          <t>TAT should be updated.</t>
        </is>
      </c>
      <c r="F13" s="26" t="inlineStr">
        <is>
          <t>Pending</t>
        </is>
      </c>
      <c r="G13" s="3" t="n"/>
      <c r="H13" s="366" t="inlineStr">
        <is>
          <t>Pending</t>
        </is>
      </c>
      <c r="I13" s="149" t="n">
        <v>0.5</v>
      </c>
      <c r="J13" s="55" t="n"/>
    </row>
    <row r="14" ht="51" customHeight="1">
      <c r="B14" s="18" t="inlineStr">
        <is>
          <t>QC_005</t>
        </is>
      </c>
      <c r="C14" s="18" t="inlineStr">
        <is>
          <t>Configuration Settings</t>
        </is>
      </c>
      <c r="D14" s="366" t="inlineStr">
        <is>
          <t>Verify that the user has option for variance with Active/inactive button.
Verify that the user can add model line items using Add/Modify Account.</t>
        </is>
      </c>
      <c r="E14" s="18" t="inlineStr">
        <is>
          <t>The user should be able to set Variance formulas.
Model line items should load when the user clicks Add/Modify Account.</t>
        </is>
      </c>
      <c r="F14" s="26" t="inlineStr">
        <is>
          <t>Pending</t>
        </is>
      </c>
      <c r="G14" s="3" t="n"/>
      <c r="H14" s="366" t="inlineStr">
        <is>
          <t>Pending</t>
        </is>
      </c>
      <c r="I14" s="149" t="n"/>
      <c r="J14" s="55" t="n"/>
    </row>
    <row r="15" ht="127.5" customHeight="1">
      <c r="B15" s="18" t="inlineStr">
        <is>
          <t>QC_006</t>
        </is>
      </c>
      <c r="C15" s="18" t="inlineStr">
        <is>
          <t>Configuration Settings</t>
        </is>
      </c>
      <c r="D15" s="18" t="inlineStr">
        <is>
          <t>Verify the pagination behavior.
1. Click Admin tab.
2. Select Configuration Management.
3. Click "Variance"
4. Now, select any group and model.
5. Click Add/Modify Account.
6. Observe that text line items are getting loaded.
7. Now, select any item on "Page1"
8. Navigate to Page 2.
9. Navigate back to Page 1.</t>
        </is>
      </c>
      <c r="E15" s="18" t="inlineStr">
        <is>
          <t>Selected line items should appear selected i.e., the checkbox should appear selected for the selected items.</t>
        </is>
      </c>
      <c r="F15" s="26" t="inlineStr">
        <is>
          <t>Pending</t>
        </is>
      </c>
      <c r="G15" s="3" t="n"/>
      <c r="H15" s="366" t="inlineStr">
        <is>
          <t>Pending</t>
        </is>
      </c>
      <c r="I15" s="149" t="n"/>
      <c r="J15" s="55" t="n"/>
    </row>
    <row r="16" ht="127.5" customHeight="1">
      <c r="B16" s="18" t="inlineStr">
        <is>
          <t>QC_007</t>
        </is>
      </c>
      <c r="C16" s="18" t="inlineStr">
        <is>
          <t>Configuration Settings</t>
        </is>
      </c>
      <c r="D16" s="18" t="inlineStr">
        <is>
          <t>Verify that the user can save the model.
1. Click Admin tab.
2. Select Configuration Management.
3. Click "Variance"
4. Select any group and model.
5. Click Add/Modify Account.
6. Select line items.
7. Click "OK" button.
8. Select the "Operator" and "Individual Variance"
9. Click "Save" button.</t>
        </is>
      </c>
      <c r="E16" s="18" t="inlineStr">
        <is>
          <t>The user should be able to save the model with the selected line items.</t>
        </is>
      </c>
      <c r="F16" s="26" t="inlineStr">
        <is>
          <t>Pending</t>
        </is>
      </c>
      <c r="G16" s="3" t="n"/>
      <c r="H16" s="366" t="inlineStr">
        <is>
          <t>Pending</t>
        </is>
      </c>
      <c r="I16" s="149" t="n"/>
      <c r="J16" s="55" t="n"/>
    </row>
    <row r="17" ht="153" customHeight="1">
      <c r="B17" s="18" t="inlineStr">
        <is>
          <t>QC_008</t>
        </is>
      </c>
      <c r="C17" s="18" t="inlineStr">
        <is>
          <t>Variance Breach Condition</t>
        </is>
      </c>
      <c r="D17" s="18" t="inlineStr">
        <is>
          <t>Verify the variance breach condition.
1. Click Admin tab.
2. Select Configuration Management.
3. Click "Variance"
4. Select any group and model.
5. Click Add/Modify Account.
6. Select some accounts and save the model.
7. Save the variance condition.
8. Create a new user.
9. Add the item and spread it.
10. Breach the variance condition.
11. Submit the spread.</t>
        </is>
      </c>
      <c r="E17" s="18" t="inlineStr">
        <is>
          <t>Spread should moved to "For QC" pool on the breach of any variance.</t>
        </is>
      </c>
      <c r="F17" s="26" t="inlineStr">
        <is>
          <t>Pending</t>
        </is>
      </c>
      <c r="G17" s="3" t="n"/>
      <c r="H17" s="366" t="inlineStr">
        <is>
          <t>Pending</t>
        </is>
      </c>
      <c r="I17" s="149" t="n"/>
      <c r="J17" s="55" t="n"/>
    </row>
    <row r="18" ht="51" customHeight="1">
      <c r="B18" s="18" t="inlineStr">
        <is>
          <t>QC_009</t>
        </is>
      </c>
      <c r="C18" s="18" t="inlineStr">
        <is>
          <t>Configuration Settings</t>
        </is>
      </c>
      <c r="D18" s="366" t="inlineStr">
        <is>
          <t>Verify that the user has option for size of business with Active/inactive button.
Verify that the user can set size of business condition and save it.</t>
        </is>
      </c>
      <c r="E18" s="18" t="inlineStr">
        <is>
          <t>Size of business condition should get active.</t>
        </is>
      </c>
      <c r="F18" s="26" t="inlineStr">
        <is>
          <t>Pending</t>
        </is>
      </c>
      <c r="G18" s="3" t="n"/>
      <c r="H18" s="366" t="inlineStr">
        <is>
          <t>Pending</t>
        </is>
      </c>
      <c r="I18" s="149" t="n"/>
      <c r="J18" s="55" t="n"/>
    </row>
    <row r="19" ht="153" customHeight="1">
      <c r="B19" s="18" t="inlineStr">
        <is>
          <t>QC_010</t>
        </is>
      </c>
      <c r="C19" s="18" t="inlineStr">
        <is>
          <t>Size of Business Breach</t>
        </is>
      </c>
      <c r="D19" s="18" t="inlineStr">
        <is>
          <t>Verify that user is not able to submit the spread when size of business condition breaches.
1. Click Admin tab.
2. Select Configuration Management.
3. Click "Size of Business"
4. Now, select the checkboxes and click active button.
5. Save the size of business condition.
6. Now, create a new user and select the size of business that is not selected under Configuration Management - SIZE OF BUSINESS.
7. Add the item and spread it.</t>
        </is>
      </c>
      <c r="E19" s="18" t="inlineStr">
        <is>
          <t>The system should move all the spreads of the customer "For QC" where its size of business is not matching. Submit button should be in disabled state.</t>
        </is>
      </c>
      <c r="F19" s="26" t="inlineStr">
        <is>
          <t>Pending</t>
        </is>
      </c>
      <c r="G19" s="3" t="n"/>
      <c r="H19" s="366" t="inlineStr">
        <is>
          <t>Pending</t>
        </is>
      </c>
      <c r="I19" s="149" t="n"/>
      <c r="J19" s="55" t="n"/>
    </row>
    <row r="20" ht="51" customHeight="1">
      <c r="B20" s="18" t="inlineStr">
        <is>
          <t>QC_011</t>
        </is>
      </c>
      <c r="C20" s="18" t="inlineStr">
        <is>
          <t>Analyst - Maker</t>
        </is>
      </c>
      <c r="D20" s="18" t="inlineStr">
        <is>
          <t>Admin &gt; User Management &gt; QC % option should be present.
Verify that the user can set as QC % from the dropdown.</t>
        </is>
      </c>
      <c r="E20" s="18" t="inlineStr">
        <is>
          <t>The user should be able to set QC%.</t>
        </is>
      </c>
      <c r="F20" s="26" t="inlineStr">
        <is>
          <t>Pending</t>
        </is>
      </c>
      <c r="G20" s="3" t="n"/>
      <c r="H20" s="366" t="inlineStr">
        <is>
          <t>Pending</t>
        </is>
      </c>
      <c r="I20" s="149" t="n">
        <v>0.5</v>
      </c>
      <c r="J20" s="55" t="n"/>
    </row>
    <row r="21" ht="25.5" customHeight="1">
      <c r="B21" s="18" t="inlineStr">
        <is>
          <t>QC_012</t>
        </is>
      </c>
      <c r="C21" s="18" t="inlineStr">
        <is>
          <t>Analyst - Maker</t>
        </is>
      </c>
      <c r="D21" s="366" t="inlineStr">
        <is>
          <t>Login as a Analyst &gt; Spreading screen.
Observe options for submit spread.</t>
        </is>
      </c>
      <c r="E21" s="366" t="inlineStr">
        <is>
          <t>Analyst should get only the Submit for Review option in place of Submit Spread.</t>
        </is>
      </c>
      <c r="F21" s="26" t="inlineStr">
        <is>
          <t>Pending</t>
        </is>
      </c>
      <c r="G21" s="3" t="n"/>
      <c r="H21" s="366" t="inlineStr">
        <is>
          <t>Pending</t>
        </is>
      </c>
      <c r="I21" s="149" t="n">
        <v>0.5</v>
      </c>
      <c r="J21" s="55" t="n"/>
    </row>
    <row r="22" ht="51" customHeight="1">
      <c r="B22" s="18" t="inlineStr">
        <is>
          <t>QC_013</t>
        </is>
      </c>
      <c r="C22" s="18" t="inlineStr">
        <is>
          <t>Analyst - Maker</t>
        </is>
      </c>
      <c r="D22" s="366" t="inlineStr">
        <is>
          <t>Verify that Analyst is able to create new item and launch Spreading screen.
Verify that both Submit For QC and Submit Spread options are enabled for the user.</t>
        </is>
      </c>
      <c r="E22" s="366" t="inlineStr">
        <is>
          <t>Spreading screen should be visible for Maker.</t>
        </is>
      </c>
      <c r="F22" s="26" t="inlineStr">
        <is>
          <t>Pending</t>
        </is>
      </c>
      <c r="G22" s="3" t="n"/>
      <c r="H22" s="366" t="inlineStr">
        <is>
          <t>Pending</t>
        </is>
      </c>
      <c r="I22" s="149" t="n">
        <v>0.5</v>
      </c>
      <c r="J22" s="55" t="n"/>
    </row>
    <row r="23" ht="51" customHeight="1">
      <c r="B23" s="18" t="inlineStr">
        <is>
          <t>QC_014</t>
        </is>
      </c>
      <c r="C23" s="18" t="inlineStr">
        <is>
          <t>Analyst - Maker</t>
        </is>
      </c>
      <c r="D23" s="366" t="inlineStr">
        <is>
          <t>Verify that the user can Submit For QC once map values in model.
Verify on Submit For QC the item, status should be displayed as Submit For QC.</t>
        </is>
      </c>
      <c r="E23" s="366" t="inlineStr">
        <is>
          <t>Status should be same as selected.</t>
        </is>
      </c>
      <c r="F23" s="26" t="inlineStr">
        <is>
          <t>Pending</t>
        </is>
      </c>
      <c r="G23" s="3" t="n"/>
      <c r="H23" s="366" t="inlineStr">
        <is>
          <t>Pending</t>
        </is>
      </c>
      <c r="I23" s="149" t="n">
        <v>0.5</v>
      </c>
      <c r="J23" s="55" t="n"/>
    </row>
    <row r="24" ht="51" customHeight="1">
      <c r="B24" s="18" t="inlineStr">
        <is>
          <t>QC_015</t>
        </is>
      </c>
      <c r="C24" s="18" t="inlineStr">
        <is>
          <t>Analyst - Maker</t>
        </is>
      </c>
      <c r="D24" s="366" t="inlineStr">
        <is>
          <t>Verify that the user can submit spread once map values in model.
Verify on submit spread, status should be displayed as submitted.</t>
        </is>
      </c>
      <c r="E24" s="366" t="inlineStr">
        <is>
          <t>Status should be same as selected.</t>
        </is>
      </c>
      <c r="F24" s="26" t="inlineStr">
        <is>
          <t>Pending</t>
        </is>
      </c>
      <c r="G24" s="3" t="n"/>
      <c r="H24" s="366" t="inlineStr">
        <is>
          <t>Pending</t>
        </is>
      </c>
      <c r="I24" s="149" t="n">
        <v>0.5</v>
      </c>
      <c r="J24" s="55" t="n"/>
    </row>
    <row r="25" ht="24" customHeight="1">
      <c r="B25" s="18" t="inlineStr">
        <is>
          <t>QC_016</t>
        </is>
      </c>
      <c r="C25" s="18" t="inlineStr">
        <is>
          <t>Analyst - Maker</t>
        </is>
      </c>
      <c r="D25" s="14" t="inlineStr">
        <is>
          <t>Verify that Maker name should be displayed in Analyst name column on Submit For QC.</t>
        </is>
      </c>
      <c r="E25" s="14" t="inlineStr">
        <is>
          <t>Analyst should be displayed correct.</t>
        </is>
      </c>
      <c r="F25" s="26" t="inlineStr">
        <is>
          <t>Pending</t>
        </is>
      </c>
      <c r="G25" s="3" t="n"/>
      <c r="H25" s="366" t="inlineStr">
        <is>
          <t>Pending</t>
        </is>
      </c>
      <c r="I25" s="149" t="n">
        <v>0.5</v>
      </c>
      <c r="J25" s="55" t="n"/>
    </row>
    <row r="26" ht="38.25" customHeight="1">
      <c r="B26" s="18" t="inlineStr">
        <is>
          <t>QC_017</t>
        </is>
      </c>
      <c r="C26" s="366" t="inlineStr">
        <is>
          <t>Analyst - Checker</t>
        </is>
      </c>
      <c r="D26" s="366" t="inlineStr">
        <is>
          <t>Login as a Checker &gt; Quality Check screen.
Verify that the user can view the Items submitted For QC.</t>
        </is>
      </c>
      <c r="E26" s="366" t="inlineStr">
        <is>
          <t>Quality Check tab should show all the items For QC.</t>
        </is>
      </c>
      <c r="F26" s="26" t="inlineStr">
        <is>
          <t>Pending</t>
        </is>
      </c>
      <c r="G26" s="3" t="n"/>
      <c r="H26" s="366" t="inlineStr">
        <is>
          <t>Pending</t>
        </is>
      </c>
      <c r="I26" s="149" t="n">
        <v>0.5</v>
      </c>
      <c r="J26" s="55" t="n"/>
    </row>
    <row r="27" ht="38.25" customHeight="1">
      <c r="B27" s="18" t="inlineStr">
        <is>
          <t>QC_018</t>
        </is>
      </c>
      <c r="C27" s="366" t="inlineStr">
        <is>
          <t>Analyst - Checker</t>
        </is>
      </c>
      <c r="D27" s="366" t="inlineStr">
        <is>
          <t>Verify that on launching the Spreading screen from QC pool tab for any item, User gets option to Submit spread or Rework Spread.</t>
        </is>
      </c>
      <c r="E27" s="366" t="inlineStr">
        <is>
          <t>Checker should have options to submit or rework the spread.</t>
        </is>
      </c>
      <c r="F27" s="26" t="inlineStr">
        <is>
          <t>Pending</t>
        </is>
      </c>
      <c r="G27" s="3" t="n"/>
      <c r="H27" s="366" t="inlineStr">
        <is>
          <t>Pending</t>
        </is>
      </c>
      <c r="I27" s="149" t="n">
        <v>0.5</v>
      </c>
      <c r="J27" s="55" t="n"/>
    </row>
    <row r="28" ht="51.75" customHeight="1">
      <c r="B28" s="18" t="inlineStr">
        <is>
          <t>QC_019</t>
        </is>
      </c>
      <c r="C28" s="366" t="inlineStr">
        <is>
          <t>Analyst - Checker</t>
        </is>
      </c>
      <c r="D28" s="15" t="inlineStr">
        <is>
          <t>Verify that once Checker click rework button along with comments, then status should be updated with rework and Item should not be displayed in QC pool tab.</t>
        </is>
      </c>
      <c r="E28" s="15" t="inlineStr">
        <is>
          <t>On rework status, item should be removed from QC Pool.</t>
        </is>
      </c>
      <c r="F28" s="26" t="inlineStr">
        <is>
          <t>Pending</t>
        </is>
      </c>
      <c r="G28" s="3" t="n"/>
      <c r="H28" s="366" t="inlineStr">
        <is>
          <t>Pending</t>
        </is>
      </c>
      <c r="I28" s="149" t="n">
        <v>0.5</v>
      </c>
      <c r="J28" s="55" t="n"/>
    </row>
    <row r="29" ht="51.75" customHeight="1">
      <c r="B29" s="18" t="inlineStr">
        <is>
          <t>QC_020</t>
        </is>
      </c>
      <c r="C29" s="366" t="inlineStr">
        <is>
          <t>Analyst - Checker</t>
        </is>
      </c>
      <c r="D29" s="15" t="inlineStr">
        <is>
          <t>Verify that once Checker click submit spread button along with comments, then status should be updated as sub,itted and Item should not be displayed in QC pool tab.</t>
        </is>
      </c>
      <c r="E29" s="15" t="inlineStr">
        <is>
          <t>On submit spread status, item should be removed from QC Pool.</t>
        </is>
      </c>
      <c r="F29" s="26" t="inlineStr">
        <is>
          <t>Pending</t>
        </is>
      </c>
      <c r="G29" s="3" t="n"/>
      <c r="H29" s="366" t="inlineStr">
        <is>
          <t>Pending</t>
        </is>
      </c>
      <c r="I29" s="149" t="n">
        <v>0.5</v>
      </c>
      <c r="J29" s="55" t="n"/>
    </row>
    <row r="30" ht="39" customHeight="1">
      <c r="B30" s="18" t="inlineStr">
        <is>
          <t>QC_021</t>
        </is>
      </c>
      <c r="C30" s="366" t="inlineStr">
        <is>
          <t>Analyst - Checker</t>
        </is>
      </c>
      <c r="D30" s="15" t="inlineStr">
        <is>
          <t>Verify that checker gets option to direct submit without going into Spreading screen. Option should be in action button.</t>
        </is>
      </c>
      <c r="E30" s="15" t="inlineStr">
        <is>
          <t>Direct submit should submit spread directly.</t>
        </is>
      </c>
      <c r="F30" s="26" t="inlineStr">
        <is>
          <t>Pending</t>
        </is>
      </c>
      <c r="G30" s="3" t="n"/>
      <c r="H30" s="366" t="inlineStr">
        <is>
          <t>Pending</t>
        </is>
      </c>
      <c r="I30" s="149" t="n">
        <v>0.5</v>
      </c>
      <c r="J30" s="55" t="n"/>
    </row>
    <row r="31" ht="39" customHeight="1">
      <c r="B31" s="18" t="inlineStr">
        <is>
          <t>QC_022</t>
        </is>
      </c>
      <c r="C31" s="366" t="inlineStr">
        <is>
          <t>Analyst - Checker</t>
        </is>
      </c>
      <c r="D31" s="15" t="inlineStr">
        <is>
          <t>Verify that when user enabled TAT from configuration settings, then Item submitted For QC should display that time in green color under TAT column.</t>
        </is>
      </c>
      <c r="E31" s="15" t="inlineStr">
        <is>
          <t>TAT should be started once Maker Submit For QC.</t>
        </is>
      </c>
      <c r="F31" s="26" t="inlineStr">
        <is>
          <t>Pending</t>
        </is>
      </c>
      <c r="G31" s="3" t="n"/>
      <c r="H31" s="366" t="inlineStr">
        <is>
          <t>Pending</t>
        </is>
      </c>
      <c r="I31" s="149" t="n">
        <v>0.5</v>
      </c>
      <c r="J31" s="55" t="n"/>
    </row>
    <row r="32" ht="39" customHeight="1">
      <c r="B32" s="18" t="inlineStr">
        <is>
          <t>QC_023</t>
        </is>
      </c>
      <c r="C32" s="18" t="inlineStr">
        <is>
          <t>Analyst - Maker</t>
        </is>
      </c>
      <c r="D32" s="15" t="inlineStr">
        <is>
          <t>Verify that once TAT time is over, then timer should be displayed in RED, and start showing the extra time taken by Checker to submit.</t>
        </is>
      </c>
      <c r="E32" s="15" t="inlineStr">
        <is>
          <t>TAT should be updated as per the time taken.</t>
        </is>
      </c>
      <c r="F32" s="26" t="inlineStr">
        <is>
          <t>Pending</t>
        </is>
      </c>
      <c r="G32" s="3" t="n"/>
      <c r="H32" s="366" t="inlineStr">
        <is>
          <t>Pending</t>
        </is>
      </c>
      <c r="I32" s="149" t="n">
        <v>1</v>
      </c>
      <c r="J32" s="55" t="n"/>
    </row>
    <row r="33" ht="51" customHeight="1">
      <c r="B33" s="18" t="inlineStr">
        <is>
          <t>QC_024</t>
        </is>
      </c>
      <c r="C33" s="366" t="inlineStr">
        <is>
          <t>Analyst - Checker</t>
        </is>
      </c>
      <c r="D33" s="18" t="inlineStr">
        <is>
          <t>Verify that once user enables Voluntary request option in Configuration settings, Checker should get option to pick Item from Non-QC pool and submit spread for those items.</t>
        </is>
      </c>
      <c r="E33" s="18" t="inlineStr">
        <is>
          <t>Pick item option should be displayed under Action button in Non-QC pool.</t>
        </is>
      </c>
      <c r="F33" s="26" t="inlineStr">
        <is>
          <t>Pending</t>
        </is>
      </c>
      <c r="G33" s="3" t="n"/>
      <c r="H33" s="366" t="inlineStr">
        <is>
          <t>Pending</t>
        </is>
      </c>
      <c r="I33" s="149" t="n">
        <v>1</v>
      </c>
      <c r="J33" s="55" t="n"/>
    </row>
    <row r="34" ht="63.75" customHeight="1">
      <c r="B34" s="18" t="inlineStr">
        <is>
          <t>QC_025</t>
        </is>
      </c>
      <c r="C34" s="366" t="inlineStr">
        <is>
          <t>Analyst - Checker</t>
        </is>
      </c>
      <c r="D34" s="366" t="inlineStr">
        <is>
          <t>Verify that when user enabled Audit method from configuration settings, user set the same audit method during item creation,then only Submit Spread option should be enabled for Maker. Not Submit For QC.</t>
        </is>
      </c>
      <c r="E34" s="366" t="inlineStr">
        <is>
          <t>Audit method option should help user to submit spread.</t>
        </is>
      </c>
      <c r="F34" s="26" t="inlineStr">
        <is>
          <t>Pending</t>
        </is>
      </c>
      <c r="G34" s="3" t="n"/>
      <c r="H34" s="366" t="inlineStr">
        <is>
          <t>Pending</t>
        </is>
      </c>
      <c r="I34" s="149" t="n">
        <v>1</v>
      </c>
      <c r="J34" s="55" t="n"/>
    </row>
    <row r="35" ht="38.25" customHeight="1">
      <c r="B35" s="18" t="inlineStr">
        <is>
          <t>QC_026</t>
        </is>
      </c>
      <c r="C35" s="366" t="inlineStr">
        <is>
          <t>Analyst - Checker</t>
        </is>
      </c>
      <c r="D35" s="366" t="inlineStr">
        <is>
          <t>Verify that once Checker rework the item, then Maker should be able to see the same item under Rework tab in Quality Check screen.</t>
        </is>
      </c>
      <c r="E35" s="366" t="inlineStr">
        <is>
          <t>Rework screen should only be visible to Maker only.</t>
        </is>
      </c>
      <c r="F35" s="26" t="inlineStr">
        <is>
          <t>Pending</t>
        </is>
      </c>
      <c r="G35" s="3" t="n"/>
      <c r="H35" s="366" t="inlineStr">
        <is>
          <t>Pending</t>
        </is>
      </c>
      <c r="I35" s="149" t="n">
        <v>1</v>
      </c>
      <c r="J35" s="55" t="n"/>
    </row>
    <row r="36" ht="25.5" customHeight="1">
      <c r="B36" s="18" t="inlineStr">
        <is>
          <t>QC_027</t>
        </is>
      </c>
      <c r="C36" s="366" t="inlineStr">
        <is>
          <t>Analyst - Checker</t>
        </is>
      </c>
      <c r="D36" s="366" t="inlineStr">
        <is>
          <t>Verify that For QC and Non-QC pool screen is only visible to Checker only.</t>
        </is>
      </c>
      <c r="E36" s="366" t="inlineStr">
        <is>
          <t>Quality Check tab with QC, Non-QC options is for Checker only.</t>
        </is>
      </c>
      <c r="F36" s="26" t="inlineStr">
        <is>
          <t>Pending</t>
        </is>
      </c>
      <c r="G36" s="3" t="n"/>
      <c r="H36" s="366" t="inlineStr">
        <is>
          <t>Pending</t>
        </is>
      </c>
      <c r="I36" s="149" t="n">
        <v>1</v>
      </c>
      <c r="J36" s="55" t="n"/>
    </row>
    <row r="37" ht="38.25" customHeight="1">
      <c r="B37" s="18" t="inlineStr">
        <is>
          <t>QC_028</t>
        </is>
      </c>
      <c r="C37" s="366" t="inlineStr">
        <is>
          <t>Analyst - Checker</t>
        </is>
      </c>
      <c r="D37" s="366" t="inlineStr">
        <is>
          <t>Verify that once Checker submit spread For QC-ed item, then Maker should be able to see the same item under Item listing screen.</t>
        </is>
      </c>
      <c r="E37" s="366" t="inlineStr">
        <is>
          <t>Submitted item should show Checker name.</t>
        </is>
      </c>
      <c r="F37" s="26" t="inlineStr">
        <is>
          <t>Pending</t>
        </is>
      </c>
      <c r="G37" s="3" t="n"/>
      <c r="H37" s="366" t="inlineStr">
        <is>
          <t>Pending</t>
        </is>
      </c>
      <c r="I37" s="149" t="n">
        <v>1</v>
      </c>
      <c r="J37" s="55" t="n"/>
    </row>
    <row r="38" ht="25.5" customHeight="1">
      <c r="B38" s="18" t="inlineStr">
        <is>
          <t>QC_029</t>
        </is>
      </c>
      <c r="C38" s="366" t="inlineStr">
        <is>
          <t>Checker Visibility Restriction for Own QC Spreads</t>
        </is>
      </c>
      <c r="D38" s="79" t="inlineStr">
        <is>
          <t>Log in to SS application.</t>
        </is>
      </c>
      <c r="E38" s="79" t="inlineStr">
        <is>
          <t>The user should be able to login.</t>
        </is>
      </c>
      <c r="F38" s="26" t="inlineStr">
        <is>
          <t>Pending</t>
        </is>
      </c>
      <c r="G38" s="3" t="n"/>
      <c r="H38" s="366" t="inlineStr">
        <is>
          <t>Pending</t>
        </is>
      </c>
      <c r="I38" s="149" t="n">
        <v>1</v>
      </c>
      <c r="J38" s="55" t="n"/>
    </row>
    <row r="39" ht="64.5" customHeight="1">
      <c r="B39" s="18" t="inlineStr">
        <is>
          <t>QC_030</t>
        </is>
      </c>
      <c r="C39" s="366" t="inlineStr">
        <is>
          <t>Checker Visibility Restriction for Own QC Spreads</t>
        </is>
      </c>
      <c r="D39" s="79" t="inlineStr">
        <is>
          <t>Verify Checker's submitted spreads For QC should not be visible to him For QC.This is for all clients and for base product also.</t>
        </is>
      </c>
      <c r="E39" s="15" t="inlineStr">
        <is>
          <t>Checker's submitted spreads For QC should not be visible to him For QC.
This is for all clients and for base product also.</t>
        </is>
      </c>
      <c r="F39" s="26" t="inlineStr">
        <is>
          <t>Pending</t>
        </is>
      </c>
      <c r="G39" s="3" t="n"/>
      <c r="H39" s="366" t="inlineStr">
        <is>
          <t>Pending</t>
        </is>
      </c>
      <c r="I39" s="149" t="n">
        <v>1</v>
      </c>
      <c r="J39" s="55" t="n"/>
    </row>
    <row r="40" ht="51" customHeight="1">
      <c r="B40" s="18" t="inlineStr">
        <is>
          <t>QC_031</t>
        </is>
      </c>
      <c r="C40" s="90" t="inlineStr">
        <is>
          <t>Checker Visibility Restriction for Own QC Spreads</t>
        </is>
      </c>
      <c r="D40" s="79" t="inlineStr">
        <is>
          <t>Verify If one analyst who is checker also submits the spread, then his submitted spread should not be visible to him in QC queue for checking purposes.</t>
        </is>
      </c>
      <c r="E40" s="79" t="inlineStr">
        <is>
          <t>If one analyst who is checker also submits the spread, then his submitted spread should not be visible to him in QC queue for checking purposes.</t>
        </is>
      </c>
      <c r="F40" s="26" t="inlineStr">
        <is>
          <t>Pending</t>
        </is>
      </c>
      <c r="G40" s="3" t="n"/>
      <c r="H40" s="366" t="inlineStr">
        <is>
          <t>Pending</t>
        </is>
      </c>
      <c r="I40" s="149" t="n">
        <v>1</v>
      </c>
      <c r="J40" s="55" t="n"/>
    </row>
    <row r="41" ht="25.5" customHeight="1">
      <c r="B41" s="18" t="inlineStr">
        <is>
          <t>QC_032</t>
        </is>
      </c>
      <c r="C41" s="96" t="inlineStr">
        <is>
          <t>Maker Checker: Random % Logic for QC</t>
        </is>
      </c>
      <c r="D41" s="79" t="inlineStr">
        <is>
          <t>Log in SS &gt; User Management screen.</t>
        </is>
      </c>
      <c r="E41" s="79" t="inlineStr">
        <is>
          <t>The user should be able to go to User management.</t>
        </is>
      </c>
      <c r="F41" s="26" t="inlineStr">
        <is>
          <t>Pending</t>
        </is>
      </c>
      <c r="G41" s="3" t="n"/>
      <c r="H41" s="366" t="inlineStr">
        <is>
          <t>Pending</t>
        </is>
      </c>
      <c r="I41" s="149" t="n">
        <v>1</v>
      </c>
      <c r="J41" s="55" t="n"/>
    </row>
    <row r="42" ht="25.5" customHeight="1">
      <c r="B42" s="18" t="inlineStr">
        <is>
          <t>QC_033</t>
        </is>
      </c>
      <c r="C42" s="96" t="inlineStr">
        <is>
          <t>Maker Checker: Random % Logic for QC</t>
        </is>
      </c>
      <c r="D42" s="79" t="inlineStr">
        <is>
          <t>Search any user in all users &gt; observe % QC Column.</t>
        </is>
      </c>
      <c r="E42" s="79" t="inlineStr">
        <is>
          <t>QC % Column should be added.</t>
        </is>
      </c>
      <c r="F42" s="26" t="inlineStr">
        <is>
          <t>Pending</t>
        </is>
      </c>
      <c r="G42" s="3" t="n"/>
      <c r="H42" s="366" t="inlineStr">
        <is>
          <t>Pending</t>
        </is>
      </c>
      <c r="I42" s="149" t="n">
        <v>1</v>
      </c>
      <c r="J42" s="55" t="n"/>
    </row>
    <row r="43" ht="25.5" customHeight="1">
      <c r="B43" s="18" t="inlineStr">
        <is>
          <t>QC_034</t>
        </is>
      </c>
      <c r="C43" s="96" t="inlineStr">
        <is>
          <t>Maker Checker: Random % Logic for QC</t>
        </is>
      </c>
      <c r="D43" s="79" t="inlineStr">
        <is>
          <t>Select user in user management &gt; Edit.</t>
        </is>
      </c>
      <c r="E43" s="79" t="inlineStr">
        <is>
          <t>Editing should be enabled.</t>
        </is>
      </c>
      <c r="F43" s="26" t="inlineStr">
        <is>
          <t>Pending</t>
        </is>
      </c>
      <c r="G43" s="3" t="n"/>
      <c r="H43" s="366" t="inlineStr">
        <is>
          <t>Pending</t>
        </is>
      </c>
      <c r="I43" s="149" t="n">
        <v>1</v>
      </c>
      <c r="J43" s="55" t="n"/>
    </row>
    <row r="44" ht="25.5" customHeight="1">
      <c r="B44" s="18" t="inlineStr">
        <is>
          <t>QC_035</t>
        </is>
      </c>
      <c r="C44" s="96" t="inlineStr">
        <is>
          <t>Maker Checker: Random % Logic for QC</t>
        </is>
      </c>
      <c r="D44" s="79" t="inlineStr">
        <is>
          <t>Set 50% in QC &gt; save.</t>
        </is>
      </c>
      <c r="E44" s="79" t="inlineStr">
        <is>
          <t>The user should be able to save.</t>
        </is>
      </c>
      <c r="F44" s="26" t="inlineStr">
        <is>
          <t>Pending</t>
        </is>
      </c>
      <c r="G44" s="3" t="n"/>
      <c r="H44" s="366" t="inlineStr">
        <is>
          <t>Pending</t>
        </is>
      </c>
      <c r="I44" s="149" t="n">
        <v>1</v>
      </c>
      <c r="J44" s="55" t="n"/>
    </row>
    <row r="45" ht="25.5" customHeight="1">
      <c r="B45" s="18" t="inlineStr">
        <is>
          <t>QC_036</t>
        </is>
      </c>
      <c r="C45" s="96" t="inlineStr">
        <is>
          <t>Maker Checker: Random % Logic for QC</t>
        </is>
      </c>
      <c r="D45" s="79" t="inlineStr">
        <is>
          <t>Login with QC % user.</t>
        </is>
      </c>
      <c r="E45" s="79" t="inlineStr">
        <is>
          <t>The user should be able to login.</t>
        </is>
      </c>
      <c r="F45" s="26" t="inlineStr">
        <is>
          <t>Pending</t>
        </is>
      </c>
      <c r="G45" s="3" t="n"/>
      <c r="H45" s="366" t="inlineStr">
        <is>
          <t>Pending</t>
        </is>
      </c>
      <c r="I45" s="149" t="n">
        <v>1</v>
      </c>
      <c r="J45" s="55" t="n"/>
    </row>
    <row r="46" ht="25.5" customHeight="1">
      <c r="B46" s="18" t="inlineStr">
        <is>
          <t>QC_037</t>
        </is>
      </c>
      <c r="C46" s="96" t="inlineStr">
        <is>
          <t>Maker Checker: Random % Logic for QC</t>
        </is>
      </c>
      <c r="D46" s="79" t="inlineStr">
        <is>
          <t>Add item &gt; Spreading screen &gt; map values &gt; submit spread.</t>
        </is>
      </c>
      <c r="E46" s="79" t="inlineStr">
        <is>
          <t>The user should be able to submit.</t>
        </is>
      </c>
      <c r="F46" s="26" t="inlineStr">
        <is>
          <t>Pending</t>
        </is>
      </c>
      <c r="G46" s="3" t="n"/>
      <c r="H46" s="366" t="inlineStr">
        <is>
          <t>Pending</t>
        </is>
      </c>
      <c r="I46" s="149" t="n">
        <v>1</v>
      </c>
      <c r="J46" s="55" t="n"/>
    </row>
    <row r="47" ht="25.5" customHeight="1">
      <c r="B47" s="18" t="inlineStr">
        <is>
          <t>QC_038</t>
        </is>
      </c>
      <c r="C47" s="96" t="inlineStr">
        <is>
          <t>Maker Checker: Random % Logic for QC</t>
        </is>
      </c>
      <c r="D47" s="79" t="inlineStr">
        <is>
          <t>Observe 1st item should be sent to QC by itself as QC is 50%.</t>
        </is>
      </c>
      <c r="E47" s="79" t="inlineStr">
        <is>
          <t>The item should be sent to QC.</t>
        </is>
      </c>
      <c r="F47" s="26" t="inlineStr">
        <is>
          <t>Pending</t>
        </is>
      </c>
      <c r="G47" s="3" t="n"/>
      <c r="H47" s="366" t="inlineStr">
        <is>
          <t>Pending</t>
        </is>
      </c>
      <c r="I47" s="149" t="n">
        <v>1</v>
      </c>
      <c r="J47" s="55" t="n"/>
    </row>
    <row r="48" ht="25.5" customHeight="1">
      <c r="B48" s="18" t="inlineStr">
        <is>
          <t>QC_039</t>
        </is>
      </c>
      <c r="C48" s="96" t="inlineStr">
        <is>
          <t>Maker Checker: Random % Logic for QC</t>
        </is>
      </c>
      <c r="D48" s="79" t="inlineStr">
        <is>
          <t>Consider QC % is set to 60%.</t>
        </is>
      </c>
      <c r="E48" s="79" t="inlineStr">
        <is>
          <t>The system should consider QC % is set to 60%.</t>
        </is>
      </c>
      <c r="F48" s="26" t="inlineStr">
        <is>
          <t>Pending</t>
        </is>
      </c>
      <c r="G48" s="3" t="n"/>
      <c r="H48" s="366" t="inlineStr">
        <is>
          <t>Pending</t>
        </is>
      </c>
      <c r="I48" s="149" t="n">
        <v>0.5</v>
      </c>
      <c r="J48" s="55" t="n"/>
    </row>
    <row r="49" ht="25.5" customHeight="1">
      <c r="B49" s="18" t="inlineStr">
        <is>
          <t>QC_040</t>
        </is>
      </c>
      <c r="C49" s="96" t="inlineStr">
        <is>
          <t>Maker Checker: Random % Logic for QC</t>
        </is>
      </c>
      <c r="D49" s="79" t="inlineStr">
        <is>
          <t>Submit multiple items.</t>
        </is>
      </c>
      <c r="E49" s="79" t="inlineStr">
        <is>
          <t>The user should be able to submit.</t>
        </is>
      </c>
      <c r="F49" s="26" t="inlineStr">
        <is>
          <t>Pending</t>
        </is>
      </c>
      <c r="G49" s="3" t="n"/>
      <c r="H49" s="366" t="inlineStr">
        <is>
          <t>Pending</t>
        </is>
      </c>
      <c r="I49" s="149" t="n">
        <v>0.5</v>
      </c>
      <c r="J49" s="55" t="n"/>
    </row>
    <row r="50" ht="25.5" customHeight="1">
      <c r="B50" s="18" t="inlineStr">
        <is>
          <t>QC_041</t>
        </is>
      </c>
      <c r="C50" s="96" t="inlineStr">
        <is>
          <t>Maker Checker: Random % Logic for QC</t>
        </is>
      </c>
      <c r="D50" s="79" t="inlineStr">
        <is>
          <t>Verify that if user has done 3 items and its QC% is 60% then out of 3 - 2 should go to QC.</t>
        </is>
      </c>
      <c r="E50" s="79" t="inlineStr">
        <is>
          <t>If user has done 3 items and its QC% is 60% then out of 3 - 2 should go to QC.</t>
        </is>
      </c>
      <c r="F50" s="26" t="inlineStr">
        <is>
          <t>Pending</t>
        </is>
      </c>
      <c r="G50" s="3" t="n"/>
      <c r="H50" s="366" t="inlineStr">
        <is>
          <t>Pending</t>
        </is>
      </c>
      <c r="I50" s="149" t="n">
        <v>0.5</v>
      </c>
      <c r="J50" s="55" t="n"/>
    </row>
    <row r="51" ht="51" customHeight="1">
      <c r="B51" s="18" t="inlineStr">
        <is>
          <t>QC_042</t>
        </is>
      </c>
      <c r="C51" s="96" t="inlineStr">
        <is>
          <t>Maker Checker: Random % Logic for QC</t>
        </is>
      </c>
      <c r="D51" s="79" t="inlineStr">
        <is>
          <t>This will be based on logic of number of spreads submitted by the user (excluding spreads) which has been assigned to QC * by QC% as against his name.</t>
        </is>
      </c>
      <c r="E51" s="79" t="inlineStr">
        <is>
          <t>The items should work in same manner.</t>
        </is>
      </c>
      <c r="F51" s="26" t="inlineStr">
        <is>
          <t>Pending</t>
        </is>
      </c>
      <c r="G51" s="3" t="n"/>
      <c r="H51" s="366" t="inlineStr">
        <is>
          <t>Pending</t>
        </is>
      </c>
      <c r="I51" s="149" t="n">
        <v>0.5</v>
      </c>
      <c r="J51" s="55" t="n"/>
    </row>
    <row r="52" ht="38.25" customHeight="1">
      <c r="B52" s="18" t="inlineStr">
        <is>
          <t>QC_043</t>
        </is>
      </c>
      <c r="C52" s="96" t="inlineStr">
        <is>
          <t>Maker Checker: Random % Logic for QC</t>
        </is>
      </c>
      <c r="D52" s="79" t="inlineStr">
        <is>
          <t>In case of 5 Spreads and with 70% QC - It 3 spreads will be 60%, hence 4th will be between 60-80% and hence total 4 out of 5 spreads will go to QC randomly.</t>
        </is>
      </c>
      <c r="E52" s="79" t="inlineStr">
        <is>
          <t>The items should work in same manner.</t>
        </is>
      </c>
      <c r="F52" s="26" t="inlineStr">
        <is>
          <t>Pending</t>
        </is>
      </c>
      <c r="G52" s="3" t="n"/>
      <c r="H52" s="366" t="inlineStr">
        <is>
          <t>Pending</t>
        </is>
      </c>
      <c r="I52" s="149" t="n">
        <v>0.5</v>
      </c>
      <c r="J52" s="55" t="n"/>
    </row>
    <row r="53" ht="25.5" customHeight="1">
      <c r="B53" s="18" t="inlineStr">
        <is>
          <t>QC_044</t>
        </is>
      </c>
      <c r="C53" s="96" t="inlineStr">
        <is>
          <t>Maker Checker: Random % Logic for QC</t>
        </is>
      </c>
      <c r="D53" s="79" t="inlineStr">
        <is>
          <t>Submit few items &gt; and observe QC reason.</t>
        </is>
      </c>
      <c r="E53" s="79" t="inlineStr">
        <is>
          <t>QC reason column should be present.</t>
        </is>
      </c>
      <c r="F53" s="26" t="inlineStr">
        <is>
          <t>Pending</t>
        </is>
      </c>
      <c r="G53" s="3" t="n"/>
      <c r="H53" s="366" t="inlineStr">
        <is>
          <t>Pending</t>
        </is>
      </c>
      <c r="I53" s="149" t="n">
        <v>0.5</v>
      </c>
      <c r="J53" s="55" t="n"/>
    </row>
    <row r="54" ht="25.5" customHeight="1">
      <c r="B54" s="18" t="inlineStr">
        <is>
          <t>QC_045</t>
        </is>
      </c>
      <c r="C54" s="96" t="inlineStr">
        <is>
          <t>Maker Checker: Random % Logic for QC</t>
        </is>
      </c>
      <c r="D54" s="79" t="inlineStr">
        <is>
          <t>Reason should come 'Random QC by System'.</t>
        </is>
      </c>
      <c r="E54" s="79" t="inlineStr">
        <is>
          <t>Reason should come 'Random QC by System'.</t>
        </is>
      </c>
      <c r="F54" s="26" t="inlineStr">
        <is>
          <t>Pending</t>
        </is>
      </c>
      <c r="G54" s="3" t="n"/>
      <c r="H54" s="366" t="inlineStr">
        <is>
          <t>Pending</t>
        </is>
      </c>
      <c r="I54" s="149" t="n">
        <v>1</v>
      </c>
      <c r="J54" s="55" t="n"/>
    </row>
    <row r="55" ht="25.5" customHeight="1">
      <c r="B55" s="18" t="inlineStr">
        <is>
          <t>QC_046</t>
        </is>
      </c>
      <c r="C55" s="96" t="inlineStr">
        <is>
          <t>Maker Checker: Random % Logic for QC</t>
        </is>
      </c>
      <c r="D55" s="79" t="inlineStr">
        <is>
          <t>Login using checker in SS.</t>
        </is>
      </c>
      <c r="E55" s="79" t="inlineStr">
        <is>
          <t>The user should be able to login.</t>
        </is>
      </c>
      <c r="F55" s="26" t="inlineStr">
        <is>
          <t>Pending</t>
        </is>
      </c>
      <c r="G55" s="3" t="n"/>
      <c r="H55" s="366" t="inlineStr">
        <is>
          <t>Pending</t>
        </is>
      </c>
      <c r="I55" s="149" t="n">
        <v>1</v>
      </c>
      <c r="J55" s="55" t="n"/>
    </row>
    <row r="56" ht="25.5" customHeight="1">
      <c r="B56" s="18" t="inlineStr">
        <is>
          <t>QC_047</t>
        </is>
      </c>
      <c r="C56" s="96" t="inlineStr">
        <is>
          <t>Maker Checker: Random % Logic for QC</t>
        </is>
      </c>
      <c r="D56" s="79" t="inlineStr">
        <is>
          <t>Verify QC-ed items in QC pool.</t>
        </is>
      </c>
      <c r="E56" s="79" t="inlineStr">
        <is>
          <t>The items should be present in QC pool.</t>
        </is>
      </c>
      <c r="F56" s="26" t="inlineStr">
        <is>
          <t>Pending</t>
        </is>
      </c>
      <c r="G56" s="3" t="n"/>
      <c r="H56" s="366" t="inlineStr">
        <is>
          <t>Pending</t>
        </is>
      </c>
      <c r="I56" s="149" t="n">
        <v>1</v>
      </c>
      <c r="J56" s="55" t="n"/>
    </row>
    <row r="57" ht="25.5" customHeight="1">
      <c r="B57" s="18" t="inlineStr">
        <is>
          <t>QC_048</t>
        </is>
      </c>
      <c r="C57" s="96" t="inlineStr">
        <is>
          <t>Maker Checker: Random % Logic for QC</t>
        </is>
      </c>
      <c r="D57" s="79" t="inlineStr">
        <is>
          <t>Checker should be able to submit or reject QC-ed item.</t>
        </is>
      </c>
      <c r="E57" s="79" t="inlineStr">
        <is>
          <t>Checker should be able to submit or reject QC-ed item.</t>
        </is>
      </c>
      <c r="F57" s="26" t="inlineStr">
        <is>
          <t>Pending</t>
        </is>
      </c>
      <c r="G57" s="3" t="n"/>
      <c r="H57" s="366" t="inlineStr">
        <is>
          <t>Pending</t>
        </is>
      </c>
      <c r="I57" s="149" t="n">
        <v>1</v>
      </c>
      <c r="J57" s="55" t="n"/>
    </row>
    <row r="58" ht="51" customHeight="1">
      <c r="B58" s="18" t="inlineStr">
        <is>
          <t>QC_049</t>
        </is>
      </c>
      <c r="C58" s="366" t="inlineStr">
        <is>
          <t>Checker Visibility Restriction for Own QC Spreads</t>
        </is>
      </c>
      <c r="D58" s="79" t="inlineStr">
        <is>
          <t>Click Spreading tab and select For QC option, all the spreads submitted by the checker For QC should not be visible to him / her but it should be visible to other Checkers'.</t>
        </is>
      </c>
      <c r="E58" s="79" t="inlineStr">
        <is>
          <t>Checker's submitted spreads For QC should not be visible to him For QC.</t>
        </is>
      </c>
      <c r="F58" s="26" t="inlineStr">
        <is>
          <t>Pending</t>
        </is>
      </c>
      <c r="G58" s="3" t="n"/>
      <c r="H58" s="366" t="inlineStr">
        <is>
          <t>Pending</t>
        </is>
      </c>
      <c r="I58" s="149" t="n">
        <v>1</v>
      </c>
      <c r="J58" s="55" t="n"/>
    </row>
    <row r="59" ht="76.5" customHeight="1">
      <c r="B59" s="18" t="inlineStr">
        <is>
          <t>QC_050</t>
        </is>
      </c>
      <c r="C59" s="90" t="inlineStr">
        <is>
          <t>Analyst and Checker Names in Existing Items Screen</t>
        </is>
      </c>
      <c r="D59" s="79" t="inlineStr">
        <is>
          <t>Click Existing items screen for a customer and if any spread has been submitted by Maker directly, it will have checker name as NA but if the spread has been submitted after QC, the screen will show both Maker / Analyst and checker name in the existing items screen.</t>
        </is>
      </c>
      <c r="E59" s="79" t="inlineStr">
        <is>
          <t>Quality Check screen should appear.</t>
        </is>
      </c>
      <c r="F59" s="26" t="inlineStr">
        <is>
          <t>Pending</t>
        </is>
      </c>
      <c r="G59" s="3" t="n"/>
      <c r="H59" s="366" t="inlineStr">
        <is>
          <t>Pending</t>
        </is>
      </c>
      <c r="I59" s="149" t="n">
        <v>1</v>
      </c>
      <c r="J59" s="55" t="n"/>
    </row>
    <row r="60" ht="76.5" customHeight="1">
      <c r="B60" s="18" t="inlineStr">
        <is>
          <t>QC_051</t>
        </is>
      </c>
      <c r="C60" s="90" t="inlineStr">
        <is>
          <t>Analyst and Checker Names</t>
        </is>
      </c>
      <c r="D60" s="79" t="inlineStr">
        <is>
          <t>Spreading &gt; click Quality Check; Observe Maker and checker columns should be present in all QC pool, non-qc pool, rework pool; Verify that last submitted analyst and checker name will be shown as final names in respective columns while total time per role.</t>
        </is>
      </c>
      <c r="E60" s="79" t="inlineStr">
        <is>
          <t>Spreading &gt; click Quality Check; Observe Maker and checker columns should be present in all QC pool, non-qc pool, rework pool; Verify that last submitted analyst and checker name will be shown as final names in respective columns while total time per role.</t>
        </is>
      </c>
      <c r="F60" s="26" t="inlineStr">
        <is>
          <t>Pending</t>
        </is>
      </c>
      <c r="G60" s="3" t="n"/>
      <c r="H60" s="366" t="inlineStr">
        <is>
          <t>Pending</t>
        </is>
      </c>
      <c r="I60" s="149" t="n">
        <v>1</v>
      </c>
      <c r="J60" s="55" t="n"/>
    </row>
    <row r="61" ht="51" customHeight="1">
      <c r="B61" s="18" t="inlineStr">
        <is>
          <t>QC_052</t>
        </is>
      </c>
      <c r="C61" s="90" t="inlineStr">
        <is>
          <t>Checker Access to Rejected Pool Screen</t>
        </is>
      </c>
      <c r="D61" s="79" t="inlineStr">
        <is>
          <t>Spreading &gt; click Quality Check; Verify that Rejected pool access to be provided to Checker also and check that in Rejected pool checker will be able to see all item except his own.</t>
        </is>
      </c>
      <c r="E61" s="79" t="inlineStr">
        <is>
          <t>Checker should be able to see all the items that are sent for rework.</t>
        </is>
      </c>
      <c r="F61" s="26" t="inlineStr">
        <is>
          <t>Pending</t>
        </is>
      </c>
      <c r="G61" s="3" t="n"/>
      <c r="H61" s="366" t="inlineStr">
        <is>
          <t>Pending</t>
        </is>
      </c>
      <c r="I61" s="149" t="n">
        <v>1</v>
      </c>
      <c r="J61" s="55" t="n"/>
    </row>
    <row r="62" ht="51" customHeight="1">
      <c r="B62" s="18" t="inlineStr">
        <is>
          <t>QC_053</t>
        </is>
      </c>
      <c r="C62" s="90" t="inlineStr">
        <is>
          <t>Non-QC Pool</t>
        </is>
      </c>
      <c r="D62" s="79" t="inlineStr">
        <is>
          <t>Verify all the options under actions button.
Assign QC.
Pick QC.
Audit log.</t>
        </is>
      </c>
      <c r="E62" s="79" t="inlineStr">
        <is>
          <t>Mentioned buttons should be enabled as per configurations set and should work properly.</t>
        </is>
      </c>
      <c r="F62" s="26" t="inlineStr">
        <is>
          <t>Pending</t>
        </is>
      </c>
      <c r="G62" s="5" t="n">
        <v>71179</v>
      </c>
      <c r="H62" s="366" t="inlineStr">
        <is>
          <t>Pending</t>
        </is>
      </c>
      <c r="I62" s="158" t="n">
        <v>1</v>
      </c>
      <c r="J62" s="55" t="n"/>
    </row>
  </sheetData>
  <mergeCells count="7">
    <mergeCell ref="B6:C6"/>
    <mergeCell ref="B7:C7"/>
    <mergeCell ref="B2:F2"/>
    <mergeCell ref="B3:C3"/>
    <mergeCell ref="B5:C5"/>
    <mergeCell ref="B8:C8"/>
    <mergeCell ref="B4:C4"/>
  </mergeCells>
  <conditionalFormatting sqref="D3">
    <cfRule type="expression" priority="66" dxfId="51" stopIfTrue="1">
      <formula>AND(COUNTIF($A$8:$A$8, D3)+COUNTIF(#REF!, D3)&gt;1,NOT(ISBLANK(D3)))</formula>
    </cfRule>
  </conditionalFormatting>
  <conditionalFormatting sqref="D4">
    <cfRule type="cellIs" priority="65" operator="lessThan" dxfId="10" stopIfTrue="1">
      <formula>1</formula>
    </cfRule>
  </conditionalFormatting>
  <conditionalFormatting sqref="D4:D8">
    <cfRule type="cellIs" priority="60" operator="greaterThan" dxfId="9" stopIfTrue="1">
      <formula>0</formula>
    </cfRule>
    <cfRule type="cellIs" priority="61" operator="greaterThan" dxfId="9" stopIfTrue="1">
      <formula>1</formula>
    </cfRule>
    <cfRule type="cellIs" priority="62" operator="greaterThan" dxfId="10" stopIfTrue="1">
      <formula>0</formula>
    </cfRule>
    <cfRule type="cellIs" priority="63" operator="greaterThan" dxfId="10" stopIfTrue="1">
      <formula>1</formula>
    </cfRule>
    <cfRule type="cellIs" priority="64" operator="equal" dxfId="9" stopIfTrue="1">
      <formula>$C$3</formula>
    </cfRule>
  </conditionalFormatting>
  <conditionalFormatting sqref="D5">
    <cfRule type="cellIs" priority="25" operator="lessThan" dxfId="10" stopIfTrue="1">
      <formula>1</formula>
    </cfRule>
  </conditionalFormatting>
  <conditionalFormatting sqref="D5:E8">
    <cfRule type="cellIs" priority="29" operator="lessThan" dxfId="10" stopIfTrue="1">
      <formula>1</formula>
    </cfRule>
  </conditionalFormatting>
  <conditionalFormatting sqref="E4">
    <cfRule type="cellIs" priority="55" operator="equal" dxfId="9" stopIfTrue="1">
      <formula>1</formula>
    </cfRule>
    <cfRule type="cellIs" priority="56" operator="lessThan" dxfId="10" stopIfTrue="1">
      <formula>1</formula>
    </cfRule>
  </conditionalFormatting>
  <conditionalFormatting sqref="E5:E8">
    <cfRule type="cellIs" priority="26" operator="equal" dxfId="9" stopIfTrue="1">
      <formula>1</formula>
    </cfRule>
    <cfRule type="cellIs" priority="27" operator="lessThan" dxfId="10" stopIfTrue="1">
      <formula>1</formula>
    </cfRule>
    <cfRule type="cellIs" priority="28" operator="equal" dxfId="9" stopIfTrue="1">
      <formula>1</formula>
    </cfRule>
  </conditionalFormatting>
  <conditionalFormatting sqref="E4:F4">
    <cfRule type="cellIs" priority="51" operator="equal" dxfId="9" stopIfTrue="1">
      <formula>1</formula>
    </cfRule>
    <cfRule type="cellIs" priority="52" operator="lessThan" dxfId="10" stopIfTrue="1">
      <formula>1</formula>
    </cfRule>
  </conditionalFormatting>
  <conditionalFormatting sqref="F4">
    <cfRule type="cellIs" priority="49" operator="equal" dxfId="9" stopIfTrue="1">
      <formula>1</formula>
    </cfRule>
    <cfRule type="cellIs" priority="50" operator="lessThan" dxfId="10" stopIfTrue="1">
      <formula>1</formula>
    </cfRule>
  </conditionalFormatting>
  <conditionalFormatting sqref="F5">
    <cfRule type="cellIs" priority="45" operator="greaterThan" dxfId="10" stopIfTrue="1">
      <formula>0</formula>
    </cfRule>
    <cfRule type="cellIs" priority="46" operator="equal" dxfId="9" stopIfTrue="1">
      <formula>0</formula>
    </cfRule>
    <cfRule type="cellIs" priority="47" operator="greaterThan" dxfId="10" stopIfTrue="1">
      <formula>0</formula>
    </cfRule>
    <cfRule type="cellIs" priority="48" operator="equal" dxfId="9" stopIfTrue="1">
      <formula>0</formula>
    </cfRule>
  </conditionalFormatting>
  <conditionalFormatting sqref="F6">
    <cfRule type="cellIs" priority="43" operator="equal" dxfId="9" stopIfTrue="1">
      <formula>0</formula>
    </cfRule>
    <cfRule type="cellIs" priority="44" operator="greaterThan" dxfId="22" stopIfTrue="1">
      <formula>0</formula>
    </cfRule>
  </conditionalFormatting>
  <conditionalFormatting sqref="F6:F7">
    <cfRule type="cellIs" priority="39" operator="equal" dxfId="9" stopIfTrue="1">
      <formula>0</formula>
    </cfRule>
    <cfRule type="cellIs" priority="40" operator="greaterThan" dxfId="22" stopIfTrue="1">
      <formula>0</formula>
    </cfRule>
  </conditionalFormatting>
  <conditionalFormatting sqref="F7:F8">
    <cfRule type="cellIs" priority="35" operator="equal" dxfId="9" stopIfTrue="1">
      <formula>0</formula>
    </cfRule>
    <cfRule type="cellIs" priority="36" operator="greaterThan" dxfId="22" stopIfTrue="1">
      <formula>0</formula>
    </cfRule>
  </conditionalFormatting>
  <conditionalFormatting sqref="F8">
    <cfRule type="cellIs" priority="33" operator="equal" dxfId="9" stopIfTrue="1">
      <formula>0</formula>
    </cfRule>
    <cfRule type="cellIs" priority="34" operator="greaterThan" dxfId="22" stopIfTrue="1">
      <formula>0</formula>
    </cfRule>
  </conditionalFormatting>
  <conditionalFormatting sqref="F10:F62">
    <cfRule type="cellIs" priority="67" operator="equal" dxfId="6" stopIfTrue="1">
      <formula>"NA"</formula>
    </cfRule>
    <cfRule type="cellIs" priority="68" operator="equal" dxfId="5" stopIfTrue="1">
      <formula>"Blocked"</formula>
    </cfRule>
    <cfRule type="cellIs" priority="69" operator="equal" dxfId="4" stopIfTrue="1">
      <formula>"Pending"</formula>
    </cfRule>
    <cfRule type="cellIs" priority="70" operator="equal" dxfId="0" stopIfTrue="1">
      <formula>"Passed"</formula>
    </cfRule>
    <cfRule type="cellIs" priority="71" operator="equal" dxfId="1" stopIfTrue="1">
      <formula>"Failed"</formula>
    </cfRule>
    <cfRule type="cellIs" priority="72" operator="equal" dxfId="1" stopIfTrue="1">
      <formula>"Fail"</formula>
    </cfRule>
    <cfRule type="cellIs" priority="73" operator="equal" dxfId="0" stopIfTrue="1">
      <formula>"Pass"</formula>
    </cfRule>
  </conditionalFormatting>
  <conditionalFormatting sqref="G5:G8">
    <cfRule type="cellIs" priority="19" operator="lessThan" dxfId="10" stopIfTrue="1">
      <formula>1</formula>
    </cfRule>
    <cfRule type="cellIs" priority="20" operator="greaterThan" dxfId="9" stopIfTrue="1">
      <formula>0</formula>
    </cfRule>
    <cfRule type="cellIs" priority="21" operator="greaterThan" dxfId="9" stopIfTrue="1">
      <formula>1</formula>
    </cfRule>
    <cfRule type="cellIs" priority="22" operator="greaterThan" dxfId="10" stopIfTrue="1">
      <formula>0</formula>
    </cfRule>
    <cfRule type="cellIs" priority="23" operator="greaterThan" dxfId="10" stopIfTrue="1">
      <formula>1</formula>
    </cfRule>
    <cfRule type="cellIs" priority="24" operator="equal" dxfId="9" stopIfTrue="1">
      <formula>$C$3</formula>
    </cfRule>
  </conditionalFormatting>
  <conditionalFormatting sqref="H10:H62">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62" showDropDown="0" showInputMessage="1" showErrorMessage="1" allowBlank="1" type="list">
      <formula1>"Passed,Failed,Blocked,Pending,NA"</formula1>
    </dataValidation>
    <dataValidation sqref="H10:H62"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24.xml><?xml version="1.0" encoding="utf-8"?>
<worksheet xmlns="http://schemas.openxmlformats.org/spreadsheetml/2006/main">
  <sheetPr>
    <outlinePr summaryBelow="1" summaryRight="1"/>
    <pageSetUpPr/>
  </sheetPr>
  <dimension ref="B2:J37"/>
  <sheetViews>
    <sheetView showGridLines="0" topLeftCell="C1" workbookViewId="0">
      <selection activeCell="G11" sqref="G11"/>
    </sheetView>
  </sheetViews>
  <sheetFormatPr baseColWidth="8" defaultRowHeight="15"/>
  <cols>
    <col width="5" customWidth="1" min="1" max="1"/>
    <col width="27.5703125" customWidth="1" min="3" max="3"/>
    <col width="44.7109375" customWidth="1" min="4" max="5"/>
    <col width="14.5703125" customWidth="1" min="7" max="7"/>
    <col width="23.42578125" customWidth="1" min="8" max="8"/>
    <col width="14.5703125" customWidth="1" min="9" max="9"/>
    <col width="14.7109375" customWidth="1" min="10"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COUNTIF(F9:F40,"Passed")</f>
        <v/>
      </c>
      <c r="E4" s="53">
        <f>IF(D4=0,,(D4/(D4+D5)))</f>
        <v/>
      </c>
      <c r="F4" s="51">
        <f>IF(D3=0,,(D4/D3))</f>
        <v/>
      </c>
      <c r="G4" s="156">
        <f>COUNTIF(H10:H493,"Done")</f>
        <v/>
      </c>
    </row>
    <row r="5" ht="15.75" customHeight="1" thickBot="1">
      <c r="B5" s="350" t="inlineStr">
        <is>
          <t>Failed</t>
        </is>
      </c>
      <c r="D5" s="52">
        <f>COUNTIF(F9:F40,"Failed")</f>
        <v/>
      </c>
      <c r="E5" s="53">
        <f>IF(D5=0,,(D5/(D5+D6)))</f>
        <v/>
      </c>
      <c r="F5" s="51">
        <f>IF(D3=0,,(D5/D3))</f>
        <v/>
      </c>
      <c r="G5" s="52">
        <f>COUNTIF(H10:H493,"Failed")</f>
        <v/>
      </c>
    </row>
    <row r="6" ht="15.75" customHeight="1" thickBot="1">
      <c r="B6" s="350" t="inlineStr">
        <is>
          <t>Blocked</t>
        </is>
      </c>
      <c r="D6" s="52">
        <f>COUNTIF(F9:F40,"Blocked")</f>
        <v/>
      </c>
      <c r="E6" s="53">
        <f>IF(D6=0,,(D6/(D6+D7)))</f>
        <v/>
      </c>
      <c r="F6" s="51">
        <f>IF(D3=0,,(D6/D3))</f>
        <v/>
      </c>
      <c r="G6" s="52">
        <f>COUNTIF(H10:H493,"Blocked")</f>
        <v/>
      </c>
    </row>
    <row r="7" ht="15.75" customHeight="1" thickBot="1">
      <c r="B7" s="350" t="inlineStr">
        <is>
          <t>Pending</t>
        </is>
      </c>
      <c r="D7" s="52">
        <f>COUNTIF(F9:F40,"Pending")</f>
        <v/>
      </c>
      <c r="E7" s="53">
        <f>IF(D7=0,,(D7/(D7+D8)))</f>
        <v/>
      </c>
      <c r="F7" s="51">
        <f>IF(D3=0,,(D7/D3))</f>
        <v/>
      </c>
      <c r="G7" s="52">
        <f>COUNTIF(H10:H493,"Pending")</f>
        <v/>
      </c>
    </row>
    <row r="8" ht="15.75" customHeight="1" thickBot="1">
      <c r="B8" s="350" t="inlineStr">
        <is>
          <t>Not Applicable</t>
        </is>
      </c>
      <c r="D8" s="52">
        <f>COUNTIF(F9:F40,"Not Applicable")</f>
        <v/>
      </c>
      <c r="E8" s="53">
        <f>IF(D8=0,,(D8/(D8+#REF!)))</f>
        <v/>
      </c>
      <c r="F8" s="51">
        <f>IF(D3=0,,(D8/D3))</f>
        <v/>
      </c>
      <c r="G8" s="52">
        <f>COUNTIF(H10:H493,"Out of Scope")</f>
        <v/>
      </c>
    </row>
    <row r="9" ht="15.75" customHeight="1" thickBot="1">
      <c r="B9" s="1" t="inlineStr">
        <is>
          <t>S.No.</t>
        </is>
      </c>
      <c r="C9" s="1" t="inlineStr">
        <is>
          <t>Module/Sub-Module</t>
        </is>
      </c>
      <c r="D9" s="1" t="inlineStr">
        <is>
          <t>Test Steps</t>
        </is>
      </c>
      <c r="E9" s="2" t="inlineStr">
        <is>
          <t>Expected Results</t>
        </is>
      </c>
      <c r="F9" s="8" t="inlineStr">
        <is>
          <t>Result</t>
        </is>
      </c>
      <c r="G9" s="8" t="inlineStr">
        <is>
          <t>Bug ID</t>
        </is>
      </c>
      <c r="H9" s="8" t="inlineStr">
        <is>
          <t>Automation Status</t>
        </is>
      </c>
      <c r="I9" s="8" t="inlineStr">
        <is>
          <t>Mapped Scripts</t>
        </is>
      </c>
      <c r="J9" s="2" t="inlineStr">
        <is>
          <t>Comments</t>
        </is>
      </c>
    </row>
    <row r="10" ht="38.25" customHeight="1">
      <c r="B10" s="366" t="inlineStr">
        <is>
          <t>Taxo_001</t>
        </is>
      </c>
      <c r="C10" s="366" t="inlineStr">
        <is>
          <t>Taxonomy Group Management</t>
        </is>
      </c>
      <c r="D10" s="366" t="inlineStr">
        <is>
          <t>Verify that the user can Navigate to taxonomy group management screen on clicking the option under Admin menu.</t>
        </is>
      </c>
      <c r="E10" s="366" t="inlineStr">
        <is>
          <t>Taxonomy Group management screen should be launched.</t>
        </is>
      </c>
      <c r="F10" s="26" t="inlineStr">
        <is>
          <t>Pending</t>
        </is>
      </c>
      <c r="G10" s="7" t="n"/>
      <c r="H10" s="18" t="inlineStr">
        <is>
          <t>Done</t>
        </is>
      </c>
      <c r="I10" s="148" t="n"/>
      <c r="J10" s="55" t="n"/>
    </row>
    <row r="11" ht="63.75" customHeight="1">
      <c r="B11" s="366" t="inlineStr">
        <is>
          <t>Taxo_002</t>
        </is>
      </c>
      <c r="C11" s="366" t="inlineStr">
        <is>
          <t>Taxonomy Group Management</t>
        </is>
      </c>
      <c r="D11" s="366" t="inlineStr">
        <is>
          <t>Verify that the user can view list of already existing taxonomy groups along with 3 columns present :
Taxonomy Group Name.
Status.
Action.</t>
        </is>
      </c>
      <c r="E11" s="366" t="inlineStr">
        <is>
          <t>Mentioned column should be present in the screen.</t>
        </is>
      </c>
      <c r="F11" s="26" t="inlineStr">
        <is>
          <t>Pending</t>
        </is>
      </c>
      <c r="G11" s="3" t="n"/>
      <c r="H11" s="366" t="inlineStr">
        <is>
          <t>Done</t>
        </is>
      </c>
      <c r="I11" s="149" t="n"/>
      <c r="J11" s="55" t="n"/>
    </row>
    <row r="12" ht="38.25" customHeight="1">
      <c r="B12" s="366" t="inlineStr">
        <is>
          <t>Taxo_003</t>
        </is>
      </c>
      <c r="C12" s="366" t="inlineStr">
        <is>
          <t>Taxonomy Group Management - Create Taxonomy Group</t>
        </is>
      </c>
      <c r="D12" s="366" t="inlineStr">
        <is>
          <t>Verify that the user can create new taxonomy group by clicking on Taxonomy group name text field and then click add option.</t>
        </is>
      </c>
      <c r="E12" s="366" t="inlineStr">
        <is>
          <t>New taxonomy group should be created and visible to client.</t>
        </is>
      </c>
      <c r="F12" s="26" t="inlineStr">
        <is>
          <t>Pending</t>
        </is>
      </c>
      <c r="G12" s="3" t="n"/>
      <c r="H12" s="366" t="inlineStr">
        <is>
          <t>Done</t>
        </is>
      </c>
      <c r="I12" s="149" t="n"/>
      <c r="J12" s="55" t="n"/>
    </row>
    <row r="13" ht="25.5" customHeight="1">
      <c r="B13" s="366" t="inlineStr">
        <is>
          <t>Taxo_004</t>
        </is>
      </c>
      <c r="C13" s="366" t="inlineStr">
        <is>
          <t>Taxonomy Group Management</t>
        </is>
      </c>
      <c r="D13" s="366" t="inlineStr">
        <is>
          <t>Verify that user is not able to create duplicate group.</t>
        </is>
      </c>
      <c r="E13" s="366" t="inlineStr">
        <is>
          <t>On duplicate group creation, system should show popup "Group already exists."</t>
        </is>
      </c>
      <c r="F13" s="26" t="inlineStr">
        <is>
          <t>Pending</t>
        </is>
      </c>
      <c r="G13" s="3" t="n"/>
      <c r="H13" s="366" t="inlineStr">
        <is>
          <t>Pending</t>
        </is>
      </c>
      <c r="I13" s="149" t="n">
        <v>0.5</v>
      </c>
      <c r="J13" s="55" t="n"/>
    </row>
    <row r="14" ht="51" customHeight="1">
      <c r="B14" s="366" t="inlineStr">
        <is>
          <t>Taxo_005</t>
        </is>
      </c>
      <c r="C14" s="366" t="inlineStr">
        <is>
          <t>Taxonomy Group Management - Search / Reset</t>
        </is>
      </c>
      <c r="D14" s="366" t="inlineStr">
        <is>
          <t>Verify that the user can search the group from Search textbox by entering the group name.
And, reset should reset the searched text on clicking the reset button.</t>
        </is>
      </c>
      <c r="E14" s="366" t="inlineStr">
        <is>
          <t>Search and reset should work for User.
Reset should clear the searched text and show all the available groups.</t>
        </is>
      </c>
      <c r="F14" s="26" t="inlineStr">
        <is>
          <t>Pending</t>
        </is>
      </c>
      <c r="G14" s="3" t="n"/>
      <c r="H14" s="366" t="inlineStr">
        <is>
          <t>Done</t>
        </is>
      </c>
      <c r="I14" s="149" t="n"/>
      <c r="J14" s="55" t="n"/>
    </row>
    <row r="15" ht="25.5" customHeight="1">
      <c r="B15" s="5" t="n"/>
      <c r="C15" s="366" t="inlineStr">
        <is>
          <t>Taxonomy Group Management - Modify</t>
        </is>
      </c>
      <c r="D15" s="366" t="inlineStr">
        <is>
          <t>Verify that the user can Modify existing Taxonomy group by click the Edit button in the Action.</t>
        </is>
      </c>
      <c r="E15" s="366" t="inlineStr">
        <is>
          <t>Modification in group name is allowed.</t>
        </is>
      </c>
      <c r="F15" s="26" t="inlineStr">
        <is>
          <t>Pending</t>
        </is>
      </c>
      <c r="G15" s="3" t="n"/>
      <c r="H15" s="366" t="inlineStr">
        <is>
          <t>Done</t>
        </is>
      </c>
      <c r="I15" s="149" t="n"/>
      <c r="J15" s="55" t="n"/>
    </row>
    <row r="16" ht="63.75" customHeight="1">
      <c r="B16" s="5" t="n">
        <v>6</v>
      </c>
      <c r="C16" s="366" t="inlineStr">
        <is>
          <t>Taxonomy Group Management - Active / Inactive</t>
        </is>
      </c>
      <c r="D16" s="366" t="inlineStr">
        <is>
          <t>Verify that the user can update the status as Active/inactive.
Updated status should be reflected in Status Column.</t>
        </is>
      </c>
      <c r="E16" s="366" t="inlineStr">
        <is>
          <t>All the inactive group should be shown after all the active group.
Verify that the user can sort the group name in alphabetical order and by active/inactive status by clicking the table titles (Taxonomy Group Name and Status).</t>
        </is>
      </c>
      <c r="F16" s="26" t="inlineStr">
        <is>
          <t>Pending</t>
        </is>
      </c>
      <c r="G16" s="3" t="n"/>
      <c r="H16" s="366" t="inlineStr">
        <is>
          <t>Pending</t>
        </is>
      </c>
      <c r="I16" s="149" t="n">
        <v>0.5</v>
      </c>
      <c r="J16" s="55" t="n"/>
    </row>
    <row r="17" ht="25.5" customHeight="1">
      <c r="B17" s="5" t="n">
        <v>7</v>
      </c>
      <c r="C17" s="366" t="inlineStr">
        <is>
          <t>Taxonomy Management -Global Taxonomy</t>
        </is>
      </c>
      <c r="D17" s="366" t="inlineStr">
        <is>
          <t>Verify that user navigates to Taxonomy screen on click of Global Taxonomy Management. Under Admin menu.</t>
        </is>
      </c>
      <c r="E17" s="366" t="inlineStr">
        <is>
          <t>Global taxonomy screen should be launched.</t>
        </is>
      </c>
      <c r="F17" s="26" t="inlineStr">
        <is>
          <t>Pending</t>
        </is>
      </c>
      <c r="G17" s="3" t="n"/>
      <c r="H17" s="366" t="inlineStr">
        <is>
          <t>Done</t>
        </is>
      </c>
      <c r="I17" s="149" t="n"/>
      <c r="J17" s="55" t="n"/>
    </row>
    <row r="18" ht="38.25" customHeight="1">
      <c r="B18" s="5" t="n">
        <v>8</v>
      </c>
      <c r="C18" s="366" t="inlineStr">
        <is>
          <t>Taxonomy Management -Global Taxonomy</t>
        </is>
      </c>
      <c r="D18" s="366" t="inlineStr">
        <is>
          <t>Verify that user gets option to Add keyword and synonym in Global Taxonomy Management screen.
Add Taxonomy &gt; enter keyword and synonym.</t>
        </is>
      </c>
      <c r="E18" s="366" t="inlineStr">
        <is>
          <t>Language and Taxonomy Group options should be disabled while adding keyword.</t>
        </is>
      </c>
      <c r="F18" s="26" t="inlineStr">
        <is>
          <t>Pending</t>
        </is>
      </c>
      <c r="G18" s="3" t="n"/>
      <c r="H18" s="366" t="inlineStr">
        <is>
          <t>Pending</t>
        </is>
      </c>
      <c r="I18" s="149" t="n">
        <v>0.5</v>
      </c>
      <c r="J18" s="55" t="n"/>
    </row>
    <row r="19" ht="25.5" customHeight="1">
      <c r="B19" s="184" t="n">
        <v>9</v>
      </c>
      <c r="C19" s="185" t="inlineStr">
        <is>
          <t>Taxonomy Management -Global Taxonomy</t>
        </is>
      </c>
      <c r="D19" s="185" t="inlineStr">
        <is>
          <t>Short-hand notation should be ignored while adding keyword ("and" and "&amp;" to be considered).</t>
        </is>
      </c>
      <c r="E19" s="185" t="inlineStr">
        <is>
          <t>Verify that the user can add the same.</t>
        </is>
      </c>
      <c r="F19" s="26" t="inlineStr">
        <is>
          <t>Pending</t>
        </is>
      </c>
      <c r="G19" s="3" t="n"/>
      <c r="H19" s="366" t="inlineStr">
        <is>
          <t>Pending</t>
        </is>
      </c>
      <c r="I19" s="149" t="n">
        <v>0.5</v>
      </c>
      <c r="J19" s="55" t="n"/>
    </row>
    <row r="20" ht="38.25" customHeight="1">
      <c r="B20" s="5" t="n">
        <v>10</v>
      </c>
      <c r="C20" s="366" t="inlineStr">
        <is>
          <t>Taxonomy Management -Global Taxonomy</t>
        </is>
      </c>
      <c r="D20" s="366" t="inlineStr">
        <is>
          <t>Verify that the user can add multiple synonyms for a keyword.</t>
        </is>
      </c>
      <c r="E20" s="366" t="inlineStr">
        <is>
          <t>Multiple synonyms should be added.
The system should allow the user to add the keyword with/without synonyms.</t>
        </is>
      </c>
      <c r="F20" s="26" t="inlineStr">
        <is>
          <t>Pending</t>
        </is>
      </c>
      <c r="G20" s="3" t="n"/>
      <c r="H20" s="366" t="inlineStr">
        <is>
          <t>Pending</t>
        </is>
      </c>
      <c r="I20" s="149" t="n">
        <v>0.5</v>
      </c>
      <c r="J20" s="55" t="n"/>
    </row>
    <row r="21" ht="25.5" customHeight="1">
      <c r="B21" s="5" t="n">
        <v>11</v>
      </c>
      <c r="C21" s="366" t="inlineStr">
        <is>
          <t>Taxonomy Management -Global Taxonomy</t>
        </is>
      </c>
      <c r="D21" s="366" t="inlineStr">
        <is>
          <t>The keyword should not exist as a synonym of any other keyword.</t>
        </is>
      </c>
      <c r="E21" s="366" t="inlineStr">
        <is>
          <t>The keyword should not exist as a synonym of any other keyword.</t>
        </is>
      </c>
      <c r="F21" s="26" t="inlineStr">
        <is>
          <t>Pending</t>
        </is>
      </c>
      <c r="G21" s="3" t="n"/>
      <c r="H21" s="366" t="inlineStr">
        <is>
          <t>Pending</t>
        </is>
      </c>
      <c r="I21" s="149" t="n">
        <v>0.5</v>
      </c>
      <c r="J21" s="55" t="n"/>
    </row>
    <row r="22" ht="114.75" customHeight="1">
      <c r="B22" s="5" t="n">
        <v>12</v>
      </c>
      <c r="C22" s="366" t="inlineStr">
        <is>
          <t>Global Taxonomy - Upload</t>
        </is>
      </c>
      <c r="D22" s="366" t="inlineStr">
        <is>
          <t>The system should allow the user to upload the excel with keywords but with/without synonyms. An error log should not display the errors of keywords without synonyms.</t>
        </is>
      </c>
      <c r="E22" s="366" t="inlineStr">
        <is>
          <t>Verify that the user can add taxonomy using excel.
The system should not allowed to add duplicate synonyms and popup should show "Duplicate items not allowed"
User will have to click every time enter button to add synonyms then save button.
The system should allow to add synonyms if there is any difference in presentation (like - dash, Hyphen,comma,'s).</t>
        </is>
      </c>
      <c r="F22" s="26" t="inlineStr">
        <is>
          <t>Pending</t>
        </is>
      </c>
      <c r="G22" s="3" t="n"/>
      <c r="H22" s="366" t="inlineStr">
        <is>
          <t>Pending</t>
        </is>
      </c>
      <c r="I22" s="149" t="n">
        <v>1</v>
      </c>
      <c r="J22" s="55" t="n"/>
    </row>
    <row r="23" ht="51" customHeight="1">
      <c r="B23" s="5" t="n">
        <v>13</v>
      </c>
      <c r="C23" s="366" t="inlineStr">
        <is>
          <t>Global Taxonomy - Download Taxonomy</t>
        </is>
      </c>
      <c r="D23" s="366" t="inlineStr">
        <is>
          <t>Verify that the user can download taxonomy using Download taxonomy under Download button.</t>
        </is>
      </c>
      <c r="E23" s="366" t="inlineStr">
        <is>
          <t>Taxonomy should be downloaded for the selected language/taxonomy group.
The Synonyms of any keyword should not be the keyword of selected taxonomy group.</t>
        </is>
      </c>
      <c r="F23" s="26" t="inlineStr">
        <is>
          <t>Pending</t>
        </is>
      </c>
      <c r="G23" s="3" t="n"/>
      <c r="H23" s="366" t="inlineStr">
        <is>
          <t>Pending</t>
        </is>
      </c>
      <c r="I23" s="149" t="n">
        <v>1</v>
      </c>
      <c r="J23" s="55" t="n"/>
    </row>
    <row r="24" ht="140.25" customHeight="1">
      <c r="B24" s="5" t="n">
        <v>14</v>
      </c>
      <c r="C24" s="366" t="inlineStr">
        <is>
          <t>Global Taxonomy - Download Template</t>
        </is>
      </c>
      <c r="D24" s="366" t="inlineStr">
        <is>
          <t>Verify that the user can download taxonomy using Download template under Download button.
Template option should only be enable when there is no taxonomy added for a language selected, else it should be disabled.</t>
        </is>
      </c>
      <c r="E24" s="366" t="inlineStr">
        <is>
          <t>The system should allow to upload the defined format column excel.
The system should verify the language and group while uploading and show error message if both are different.
The system should generate error log if any error occurred while uploading the file.
The system should not allow to upload the file if any error available.
User will be allow to download the file with error log to rectify it and upload again.</t>
        </is>
      </c>
      <c r="F24" s="26" t="inlineStr">
        <is>
          <t>Pending</t>
        </is>
      </c>
      <c r="G24" s="3" t="n"/>
      <c r="H24" s="366" t="inlineStr">
        <is>
          <t>Pending</t>
        </is>
      </c>
      <c r="I24" s="149" t="n">
        <v>1</v>
      </c>
      <c r="J24" s="55" t="n"/>
    </row>
    <row r="25" ht="63.75" customHeight="1">
      <c r="B25" s="5" t="n">
        <v>15</v>
      </c>
      <c r="C25" s="366" t="inlineStr">
        <is>
          <t>Global Taxonomy - Unlock</t>
        </is>
      </c>
      <c r="D25" s="366" t="inlineStr">
        <is>
          <t>Verify that the user can unlock taxonomy after download of taxonomy.
Unlock option should be enable if user downloads taxonomy and lit gets locked, else Unlock option should be disabled.</t>
        </is>
      </c>
      <c r="E25" s="366" t="inlineStr">
        <is>
          <t>Unlock icon should be displayed in front of keywords when unlocked, else lock icon should be displayed.</t>
        </is>
      </c>
      <c r="F25" s="26" t="inlineStr">
        <is>
          <t>Pending</t>
        </is>
      </c>
      <c r="G25" s="3" t="n"/>
      <c r="H25" s="366" t="inlineStr">
        <is>
          <t>Pending</t>
        </is>
      </c>
      <c r="I25" s="149" t="n">
        <v>1</v>
      </c>
      <c r="J25" s="55" t="n"/>
    </row>
    <row r="26" ht="38.25" customHeight="1">
      <c r="B26" s="5" t="n">
        <v>16</v>
      </c>
      <c r="C26" s="366" t="inlineStr">
        <is>
          <t>Global Taxonomy - Filters</t>
        </is>
      </c>
      <c r="D26" s="366" t="inlineStr">
        <is>
          <t>Verify that the user can filter taxonomy using Language filter, Taxonomy group selection.</t>
        </is>
      </c>
      <c r="E26" s="366" t="inlineStr">
        <is>
          <t>User will be allow to download template with defined column name -ID,Taxonomy group,Language,Taxonomy Keywords and Synonyms.</t>
        </is>
      </c>
      <c r="F26" s="26" t="inlineStr">
        <is>
          <t>Pending</t>
        </is>
      </c>
      <c r="G26" s="3" t="n"/>
      <c r="H26" s="366" t="inlineStr">
        <is>
          <t>Pending</t>
        </is>
      </c>
      <c r="I26" s="149" t="n">
        <v>1</v>
      </c>
      <c r="J26" s="55" t="n"/>
    </row>
    <row r="27">
      <c r="B27" s="5" t="n">
        <v>17</v>
      </c>
      <c r="C27" s="366" t="inlineStr">
        <is>
          <t>Global Taxonomy - Search</t>
        </is>
      </c>
      <c r="D27" s="13" t="inlineStr">
        <is>
          <t>Verify that the user can Search by keyword/synonyms.</t>
        </is>
      </c>
      <c r="E27" s="23" t="inlineStr">
        <is>
          <t>Verify that the user can search.</t>
        </is>
      </c>
      <c r="F27" s="26" t="inlineStr">
        <is>
          <t>Pending</t>
        </is>
      </c>
      <c r="G27" s="3" t="n"/>
      <c r="H27" s="366" t="inlineStr">
        <is>
          <t>Pending</t>
        </is>
      </c>
      <c r="I27" s="149" t="n">
        <v>0.5</v>
      </c>
      <c r="J27" s="55" t="n"/>
    </row>
    <row r="28" ht="24" customHeight="1">
      <c r="B28" s="5" t="n">
        <v>18</v>
      </c>
      <c r="C28" s="366" t="inlineStr">
        <is>
          <t>Global Taxonomy - Reset</t>
        </is>
      </c>
      <c r="D28" s="14" t="inlineStr">
        <is>
          <t>Verify that the user can reset the filters applied, by clicking on Reset button.</t>
        </is>
      </c>
      <c r="E28" s="14" t="inlineStr">
        <is>
          <t>Reset should clear all the filter applied.</t>
        </is>
      </c>
      <c r="F28" s="26" t="inlineStr">
        <is>
          <t>Pending</t>
        </is>
      </c>
      <c r="G28" s="3" t="n"/>
      <c r="H28" s="366" t="inlineStr">
        <is>
          <t>Pending</t>
        </is>
      </c>
      <c r="I28" s="149" t="n">
        <v>0.5</v>
      </c>
      <c r="J28" s="55" t="n"/>
    </row>
    <row r="29" ht="25.5" customHeight="1">
      <c r="B29" s="5" t="n">
        <v>19</v>
      </c>
      <c r="C29" s="366" t="inlineStr">
        <is>
          <t>Global Taxonomy - Modify</t>
        </is>
      </c>
      <c r="D29" s="366" t="inlineStr">
        <is>
          <t>Verify that the user can modify synonyms using modify option under action button.</t>
        </is>
      </c>
      <c r="E29" s="366" t="inlineStr">
        <is>
          <t>Modification should be updated.</t>
        </is>
      </c>
      <c r="F29" s="26" t="inlineStr">
        <is>
          <t>Pending</t>
        </is>
      </c>
      <c r="G29" s="3" t="n"/>
      <c r="H29" s="366" t="inlineStr">
        <is>
          <t>Pending</t>
        </is>
      </c>
      <c r="I29" s="149" t="n">
        <v>0.5</v>
      </c>
      <c r="J29" s="55" t="n"/>
    </row>
    <row r="30" ht="76.5" customHeight="1">
      <c r="B30" s="5" t="n">
        <v>20</v>
      </c>
      <c r="C30" s="366" t="inlineStr">
        <is>
          <t>Global Taxonomy - Audit Logs</t>
        </is>
      </c>
      <c r="D30" s="366" t="inlineStr">
        <is>
          <t>Verify that the user can check audit logs for taxonomy using Audit logs option under action button.
Audit logs should show data like :
Keyword, synonym, status, Modified date, User, comments.</t>
        </is>
      </c>
      <c r="E30" s="366" t="inlineStr">
        <is>
          <t>The correct audit logs should be displayed.</t>
        </is>
      </c>
      <c r="F30" s="26" t="inlineStr">
        <is>
          <t>Pending</t>
        </is>
      </c>
      <c r="G30" s="3" t="n"/>
      <c r="H30" s="366" t="inlineStr">
        <is>
          <t>Pending</t>
        </is>
      </c>
      <c r="I30" s="149" t="n">
        <v>1</v>
      </c>
      <c r="J30" s="55" t="n"/>
    </row>
    <row r="31" ht="25.5" customHeight="1">
      <c r="B31" s="5" t="n">
        <v>21</v>
      </c>
      <c r="C31" s="366" t="inlineStr">
        <is>
          <t>Global Taxonomy - Active</t>
        </is>
      </c>
      <c r="D31" s="366" t="inlineStr">
        <is>
          <t>Verify that the user can change the status from Active/inactive button.</t>
        </is>
      </c>
      <c r="E31" s="366" t="inlineStr">
        <is>
          <t>Correct status should be displayed under Status column.</t>
        </is>
      </c>
      <c r="F31" s="26" t="inlineStr">
        <is>
          <t>Pending</t>
        </is>
      </c>
      <c r="G31" s="3" t="n"/>
      <c r="H31" s="366" t="inlineStr">
        <is>
          <t>Pending</t>
        </is>
      </c>
      <c r="I31" s="149" t="n">
        <v>0.5</v>
      </c>
      <c r="J31" s="55" t="n"/>
    </row>
    <row r="32" ht="25.5" customHeight="1">
      <c r="B32" s="5" t="n">
        <v>22</v>
      </c>
      <c r="C32" s="366" t="inlineStr">
        <is>
          <t>Global Taxonomy - Unlock</t>
        </is>
      </c>
      <c r="D32" s="366" t="inlineStr">
        <is>
          <t>Verify that the user can delete synonyms using Delete option under action button.</t>
        </is>
      </c>
      <c r="E32" s="366" t="inlineStr">
        <is>
          <t>Taxonomy should be deleted along with keyword/synonym.</t>
        </is>
      </c>
      <c r="F32" s="26" t="inlineStr">
        <is>
          <t>Pending</t>
        </is>
      </c>
      <c r="G32" s="3" t="n"/>
      <c r="H32" s="366" t="inlineStr">
        <is>
          <t>Pending</t>
        </is>
      </c>
      <c r="I32" s="149" t="n">
        <v>0.5</v>
      </c>
      <c r="J32" s="55" t="n"/>
    </row>
    <row r="33" ht="25.5" customHeight="1">
      <c r="B33" s="5" t="n">
        <v>23</v>
      </c>
      <c r="C33" s="366" t="inlineStr">
        <is>
          <t>Global Taxonomy - Autofill</t>
        </is>
      </c>
      <c r="D33" s="366" t="inlineStr">
        <is>
          <t>Verify that the user can Autofill using synonyms added for the keywords.</t>
        </is>
      </c>
      <c r="E33" s="366" t="inlineStr">
        <is>
          <t>Autofilled item should show taxonomy icon in front of line item autofilled.</t>
        </is>
      </c>
      <c r="F33" s="26" t="inlineStr">
        <is>
          <t>Pending</t>
        </is>
      </c>
      <c r="G33" s="3" t="n"/>
      <c r="H33" s="366" t="inlineStr">
        <is>
          <t>Pending</t>
        </is>
      </c>
      <c r="I33" s="149" t="n">
        <v>0.5</v>
      </c>
      <c r="J33" s="55" t="n"/>
    </row>
    <row r="34" ht="25.5" customHeight="1">
      <c r="B34" s="5" t="n">
        <v>24</v>
      </c>
      <c r="C34" s="366" t="inlineStr">
        <is>
          <t>Global Taxonomy - Autofill</t>
        </is>
      </c>
      <c r="D34" s="366" t="inlineStr">
        <is>
          <t>Verify that the user can Autofill using synonyms added for the keywords.</t>
        </is>
      </c>
      <c r="E34" s="25" t="inlineStr">
        <is>
          <t>Autofilled item should show taxonomy icon in front of line item autofilled.</t>
        </is>
      </c>
      <c r="F34" s="26" t="inlineStr">
        <is>
          <t>Pending</t>
        </is>
      </c>
      <c r="G34" s="3" t="n"/>
      <c r="H34" s="366" t="inlineStr">
        <is>
          <t>Pending</t>
        </is>
      </c>
      <c r="I34" s="149" t="n">
        <v>0.5</v>
      </c>
      <c r="J34" s="55" t="n"/>
    </row>
    <row r="35" ht="38.25" customHeight="1">
      <c r="B35" s="5" t="n">
        <v>25</v>
      </c>
      <c r="C35" s="366" t="inlineStr">
        <is>
          <t>Global Taxonomy - Sorting</t>
        </is>
      </c>
      <c r="D35" s="366" t="inlineStr">
        <is>
          <t>Verify that the user can sort the Taxonomy keywords in alphabetical order and by active/inactive status by clicking the table titles (Taxonomy Keywords and Status).</t>
        </is>
      </c>
      <c r="E35" s="25" t="inlineStr">
        <is>
          <t>Sorting should work for both table columns.</t>
        </is>
      </c>
      <c r="F35" s="26" t="inlineStr">
        <is>
          <t>Pending</t>
        </is>
      </c>
      <c r="G35" s="3" t="n"/>
      <c r="H35" s="366" t="inlineStr">
        <is>
          <t>Pending</t>
        </is>
      </c>
      <c r="I35" s="149" t="n">
        <v>1</v>
      </c>
      <c r="J35" s="55" t="n"/>
    </row>
    <row r="36" ht="25.5" customHeight="1">
      <c r="B36" s="111" t="n">
        <v>26</v>
      </c>
      <c r="C36" s="366" t="inlineStr">
        <is>
          <t>Global Taxonomy - Duplicate</t>
        </is>
      </c>
      <c r="D36" s="366" t="inlineStr">
        <is>
          <t>Add duplicate taxonomy keywords and synonyms in Global taxonomy management screen.</t>
        </is>
      </c>
      <c r="E36" s="25" t="inlineStr">
        <is>
          <t>The user should not be allowed to add duplicate data.</t>
        </is>
      </c>
      <c r="F36" s="26" t="inlineStr">
        <is>
          <t>Pending</t>
        </is>
      </c>
      <c r="G36" s="3" t="inlineStr">
        <is>
          <t>Newly added</t>
        </is>
      </c>
      <c r="H36" s="366" t="inlineStr">
        <is>
          <t>Pending</t>
        </is>
      </c>
      <c r="I36" s="149" t="n">
        <v>1</v>
      </c>
      <c r="J36" s="55" t="n"/>
    </row>
    <row r="37" ht="115.5" customHeight="1">
      <c r="B37" s="111" t="n">
        <v>27</v>
      </c>
      <c r="C37" s="111" t="inlineStr">
        <is>
          <t>Taxonomy Group</t>
        </is>
      </c>
      <c r="D37" s="221" t="inlineStr">
        <is>
          <t>Open the provided URL, go to the Spread tab, open Create Model, click Save Model, and review the observed issue.</t>
        </is>
      </c>
      <c r="E37" s="111" t="inlineStr">
        <is>
          <t>The groups should be visible.</t>
        </is>
      </c>
      <c r="F37" s="366" t="inlineStr">
        <is>
          <t>Pending</t>
        </is>
      </c>
      <c r="G37" s="5" t="inlineStr">
        <is>
          <t xml:space="preserve">137435 bug id </t>
        </is>
      </c>
      <c r="H37" s="366" t="inlineStr">
        <is>
          <t>Pending</t>
        </is>
      </c>
      <c r="I37" s="3" t="n"/>
      <c r="J37" s="3" t="n"/>
    </row>
  </sheetData>
  <mergeCells count="7">
    <mergeCell ref="B6:C6"/>
    <mergeCell ref="B7:C7"/>
    <mergeCell ref="B2:F2"/>
    <mergeCell ref="B3:C3"/>
    <mergeCell ref="B5:C5"/>
    <mergeCell ref="B8:C8"/>
    <mergeCell ref="B4:C4"/>
  </mergeCells>
  <conditionalFormatting sqref="D3">
    <cfRule type="expression" priority="80" dxfId="51" stopIfTrue="1">
      <formula>AND(COUNTIF($A$8:$A$8, D3)+COUNTIF(#REF!, D3)&gt;1,NOT(ISBLANK(D3)))</formula>
    </cfRule>
  </conditionalFormatting>
  <conditionalFormatting sqref="D4">
    <cfRule type="cellIs" priority="79" operator="lessThan" dxfId="10" stopIfTrue="1">
      <formula>1</formula>
    </cfRule>
  </conditionalFormatting>
  <conditionalFormatting sqref="D4:D8">
    <cfRule type="cellIs" priority="74" operator="greaterThan" dxfId="9" stopIfTrue="1">
      <formula>0</formula>
    </cfRule>
    <cfRule type="cellIs" priority="75" operator="greaterThan" dxfId="9" stopIfTrue="1">
      <formula>1</formula>
    </cfRule>
    <cfRule type="cellIs" priority="76" operator="greaterThan" dxfId="10" stopIfTrue="1">
      <formula>0</formula>
    </cfRule>
    <cfRule type="cellIs" priority="77" operator="greaterThan" dxfId="10" stopIfTrue="1">
      <formula>1</formula>
    </cfRule>
    <cfRule type="cellIs" priority="78" operator="equal" dxfId="9" stopIfTrue="1">
      <formula>$C$3</formula>
    </cfRule>
  </conditionalFormatting>
  <conditionalFormatting sqref="D5">
    <cfRule type="cellIs" priority="39" operator="lessThan" dxfId="10" stopIfTrue="1">
      <formula>1</formula>
    </cfRule>
  </conditionalFormatting>
  <conditionalFormatting sqref="D5:E8">
    <cfRule type="cellIs" priority="43" operator="lessThan" dxfId="10" stopIfTrue="1">
      <formula>1</formula>
    </cfRule>
  </conditionalFormatting>
  <conditionalFormatting sqref="E4">
    <cfRule type="cellIs" priority="69" operator="equal" dxfId="9" stopIfTrue="1">
      <formula>1</formula>
    </cfRule>
    <cfRule type="cellIs" priority="70" operator="lessThan" dxfId="10" stopIfTrue="1">
      <formula>1</formula>
    </cfRule>
  </conditionalFormatting>
  <conditionalFormatting sqref="E5:E8">
    <cfRule type="cellIs" priority="40" operator="equal" dxfId="9" stopIfTrue="1">
      <formula>1</formula>
    </cfRule>
    <cfRule type="cellIs" priority="41" operator="lessThan" dxfId="10" stopIfTrue="1">
      <formula>1</formula>
    </cfRule>
    <cfRule type="cellIs" priority="42" operator="equal" dxfId="9" stopIfTrue="1">
      <formula>1</formula>
    </cfRule>
  </conditionalFormatting>
  <conditionalFormatting sqref="E34:E37">
    <cfRule type="cellIs" priority="1" operator="equal" dxfId="6" stopIfTrue="1">
      <formula>"NA"</formula>
    </cfRule>
    <cfRule type="cellIs" priority="2" operator="equal" dxfId="5" stopIfTrue="1">
      <formula>"Blocked"</formula>
    </cfRule>
    <cfRule type="cellIs" priority="3" operator="equal" dxfId="4" stopIfTrue="1">
      <formula>"Pending"</formula>
    </cfRule>
    <cfRule type="cellIs" priority="4" operator="equal" dxfId="0" stopIfTrue="1">
      <formula>"Passed"</formula>
    </cfRule>
    <cfRule type="cellIs" priority="5" operator="equal" dxfId="1" stopIfTrue="1">
      <formula>"Failed"</formula>
    </cfRule>
    <cfRule type="cellIs" priority="6" operator="equal" dxfId="1" stopIfTrue="1">
      <formula>"Fail"</formula>
    </cfRule>
    <cfRule type="cellIs" priority="7" operator="equal" dxfId="0" stopIfTrue="1">
      <formula>"Pass"</formula>
    </cfRule>
  </conditionalFormatting>
  <conditionalFormatting sqref="E4:F4">
    <cfRule type="cellIs" priority="65" operator="equal" dxfId="9" stopIfTrue="1">
      <formula>1</formula>
    </cfRule>
    <cfRule type="cellIs" priority="66" operator="lessThan" dxfId="10" stopIfTrue="1">
      <formula>1</formula>
    </cfRule>
  </conditionalFormatting>
  <conditionalFormatting sqref="F4">
    <cfRule type="cellIs" priority="63" operator="equal" dxfId="9" stopIfTrue="1">
      <formula>1</formula>
    </cfRule>
    <cfRule type="cellIs" priority="64" operator="lessThan" dxfId="10" stopIfTrue="1">
      <formula>1</formula>
    </cfRule>
  </conditionalFormatting>
  <conditionalFormatting sqref="F5">
    <cfRule type="cellIs" priority="59" operator="greaterThan" dxfId="10" stopIfTrue="1">
      <formula>0</formula>
    </cfRule>
    <cfRule type="cellIs" priority="60" operator="equal" dxfId="9" stopIfTrue="1">
      <formula>0</formula>
    </cfRule>
    <cfRule type="cellIs" priority="61" operator="greaterThan" dxfId="10" stopIfTrue="1">
      <formula>0</formula>
    </cfRule>
    <cfRule type="cellIs" priority="62" operator="equal" dxfId="9" stopIfTrue="1">
      <formula>0</formula>
    </cfRule>
  </conditionalFormatting>
  <conditionalFormatting sqref="F6">
    <cfRule type="cellIs" priority="57" operator="equal" dxfId="9" stopIfTrue="1">
      <formula>0</formula>
    </cfRule>
    <cfRule type="cellIs" priority="58" operator="greaterThan" dxfId="22" stopIfTrue="1">
      <formula>0</formula>
    </cfRule>
  </conditionalFormatting>
  <conditionalFormatting sqref="F6:F7">
    <cfRule type="cellIs" priority="53" operator="equal" dxfId="9" stopIfTrue="1">
      <formula>0</formula>
    </cfRule>
    <cfRule type="cellIs" priority="54" operator="greaterThan" dxfId="22" stopIfTrue="1">
      <formula>0</formula>
    </cfRule>
  </conditionalFormatting>
  <conditionalFormatting sqref="F7:F8">
    <cfRule type="cellIs" priority="49" operator="equal" dxfId="9" stopIfTrue="1">
      <formula>0</formula>
    </cfRule>
    <cfRule type="cellIs" priority="50" operator="greaterThan" dxfId="22" stopIfTrue="1">
      <formula>0</formula>
    </cfRule>
  </conditionalFormatting>
  <conditionalFormatting sqref="F8">
    <cfRule type="cellIs" priority="47" operator="equal" dxfId="9" stopIfTrue="1">
      <formula>0</formula>
    </cfRule>
    <cfRule type="cellIs" priority="48" operator="greaterThan" dxfId="22" stopIfTrue="1">
      <formula>0</formula>
    </cfRule>
  </conditionalFormatting>
  <conditionalFormatting sqref="F10:F37">
    <cfRule type="cellIs" priority="81" operator="equal" dxfId="6" stopIfTrue="1">
      <formula>"NA"</formula>
    </cfRule>
    <cfRule type="cellIs" priority="82" operator="equal" dxfId="5" stopIfTrue="1">
      <formula>"Blocked"</formula>
    </cfRule>
    <cfRule type="cellIs" priority="83" operator="equal" dxfId="4" stopIfTrue="1">
      <formula>"Pending"</formula>
    </cfRule>
    <cfRule type="cellIs" priority="84" operator="equal" dxfId="0" stopIfTrue="1">
      <formula>"Passed"</formula>
    </cfRule>
    <cfRule type="cellIs" priority="85" operator="equal" dxfId="1" stopIfTrue="1">
      <formula>"Failed"</formula>
    </cfRule>
    <cfRule type="cellIs" priority="86" operator="equal" dxfId="1" stopIfTrue="1">
      <formula>"Fail"</formula>
    </cfRule>
    <cfRule type="cellIs" priority="87" operator="equal" dxfId="0" stopIfTrue="1">
      <formula>"Pass"</formula>
    </cfRule>
  </conditionalFormatting>
  <conditionalFormatting sqref="G5:G8">
    <cfRule type="cellIs" priority="26" operator="lessThan" dxfId="10" stopIfTrue="1">
      <formula>1</formula>
    </cfRule>
    <cfRule type="cellIs" priority="27" operator="greaterThan" dxfId="9" stopIfTrue="1">
      <formula>0</formula>
    </cfRule>
    <cfRule type="cellIs" priority="28" operator="greaterThan" dxfId="9" stopIfTrue="1">
      <formula>1</formula>
    </cfRule>
    <cfRule type="cellIs" priority="29" operator="greaterThan" dxfId="10" stopIfTrue="1">
      <formula>0</formula>
    </cfRule>
    <cfRule type="cellIs" priority="30" operator="greaterThan" dxfId="10" stopIfTrue="1">
      <formula>1</formula>
    </cfRule>
    <cfRule type="cellIs" priority="31" operator="equal" dxfId="9" stopIfTrue="1">
      <formula>$C$3</formula>
    </cfRule>
  </conditionalFormatting>
  <conditionalFormatting sqref="H10:H37">
    <cfRule type="cellIs" priority="8" operator="equal" dxfId="0">
      <formula>"Done"</formula>
    </cfRule>
    <cfRule type="cellIs" priority="9" operator="equal" dxfId="7">
      <formula>"Pending"</formula>
    </cfRule>
    <cfRule type="cellIs" priority="10" operator="equal" dxfId="6" stopIfTrue="1">
      <formula>"NA"</formula>
    </cfRule>
    <cfRule type="cellIs" priority="11" operator="equal" dxfId="5" stopIfTrue="1">
      <formula>"Blocked"</formula>
    </cfRule>
    <cfRule type="cellIs" priority="12" operator="equal" dxfId="4" stopIfTrue="1">
      <formula>"Pending"</formula>
    </cfRule>
    <cfRule type="cellIs" priority="13" operator="equal" dxfId="0" stopIfTrue="1">
      <formula>"Passed"</formula>
    </cfRule>
    <cfRule type="cellIs" priority="14" operator="equal" dxfId="1" stopIfTrue="1">
      <formula>"Failed"</formula>
    </cfRule>
    <cfRule type="cellIs" priority="15" operator="equal" dxfId="1" stopIfTrue="1">
      <formula>"Fail"</formula>
    </cfRule>
    <cfRule type="cellIs" priority="16" operator="equal" dxfId="0" stopIfTrue="1">
      <formula>"Pass"</formula>
    </cfRule>
  </conditionalFormatting>
  <dataValidations count="2">
    <dataValidation sqref="F10:F37" showDropDown="0" showInputMessage="1" showErrorMessage="1" allowBlank="1" type="list">
      <formula1>"Passed,Failed,Blocked,Pending,NA"</formula1>
    </dataValidation>
    <dataValidation sqref="H10:H37"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25.xml><?xml version="1.0" encoding="utf-8"?>
<worksheet xmlns="http://schemas.openxmlformats.org/spreadsheetml/2006/main">
  <sheetPr>
    <outlinePr summaryBelow="1" summaryRight="1"/>
    <pageSetUpPr/>
  </sheetPr>
  <dimension ref="B2:J22"/>
  <sheetViews>
    <sheetView showGridLines="0" workbookViewId="0">
      <selection activeCell="G4" sqref="G4"/>
    </sheetView>
  </sheetViews>
  <sheetFormatPr baseColWidth="8" defaultRowHeight="15"/>
  <cols>
    <col width="5" customWidth="1" min="1" max="1"/>
    <col width="10.7109375" customWidth="1" min="2" max="2"/>
    <col width="27.5703125" customWidth="1" min="3" max="3"/>
    <col width="44.7109375" customWidth="1" min="4" max="5"/>
    <col width="12.85546875" customWidth="1" min="7" max="7"/>
    <col width="19.5703125" customWidth="1" min="8" max="8"/>
    <col width="12.85546875" customWidth="1" min="9"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COUNTIF(F9:F22,"Passed")</f>
        <v/>
      </c>
      <c r="E4" s="53">
        <f>IF(D4=0,,(D4/(D4+D5)))</f>
        <v/>
      </c>
      <c r="F4" s="51">
        <f>IF(D3=0,,(D4/D3))</f>
        <v/>
      </c>
      <c r="G4" s="156">
        <f>COUNTIF(H10:H493,"Done")</f>
        <v/>
      </c>
    </row>
    <row r="5" ht="15.75" customHeight="1" thickBot="1">
      <c r="B5" s="350" t="inlineStr">
        <is>
          <t>Failed</t>
        </is>
      </c>
      <c r="D5" s="52">
        <f>COUNTIF(F9:F27,"Failed")</f>
        <v/>
      </c>
      <c r="E5" s="53">
        <f>IF(D5=0,,(D5/(D5+D6)))</f>
        <v/>
      </c>
      <c r="F5" s="51">
        <f>IF(D3=0,,(D5/D3))</f>
        <v/>
      </c>
      <c r="G5" s="52">
        <f>COUNTIF(H10:H493,"Failed")</f>
        <v/>
      </c>
    </row>
    <row r="6" ht="15.75" customHeight="1" thickBot="1">
      <c r="B6" s="350" t="inlineStr">
        <is>
          <t>Blocked</t>
        </is>
      </c>
      <c r="D6" s="52">
        <f>COUNTIF(F9:F27,"Blocked")</f>
        <v/>
      </c>
      <c r="E6" s="53">
        <f>IF(D6=0,,(D6/(D6+D7)))</f>
        <v/>
      </c>
      <c r="F6" s="51">
        <f>IF(D3=0,,(D6/D3))</f>
        <v/>
      </c>
      <c r="G6" s="52">
        <f>COUNTIF(H10:H493,"Blocked")</f>
        <v/>
      </c>
    </row>
    <row r="7" ht="15.75" customHeight="1" thickBot="1">
      <c r="B7" s="350" t="inlineStr">
        <is>
          <t>Pending</t>
        </is>
      </c>
      <c r="D7" s="52">
        <f>COUNTIF(F9:F27,"Pending")</f>
        <v/>
      </c>
      <c r="E7" s="53">
        <f>IF(D7=0,,(D7/(D7+D8)))</f>
        <v/>
      </c>
      <c r="F7" s="51">
        <f>IF(D3=0,,(D7/D3))</f>
        <v/>
      </c>
      <c r="G7" s="52">
        <f>COUNTIF(H10:H493,"Pending")</f>
        <v/>
      </c>
    </row>
    <row r="8" ht="15.75" customHeight="1" thickBot="1">
      <c r="B8" s="350" t="inlineStr">
        <is>
          <t>Not Applicable</t>
        </is>
      </c>
      <c r="D8" s="52">
        <f>COUNTIF(F9:F27,"Not Applicable")</f>
        <v/>
      </c>
      <c r="E8" s="53">
        <f>IF(D8=0,,(D8/(D8+#REF!)))</f>
        <v/>
      </c>
      <c r="F8" s="51">
        <f>IF(D3=0,,(D8/D3))</f>
        <v/>
      </c>
      <c r="G8" s="52">
        <f>COUNTIF(H10:H493,"Out of Scope")</f>
        <v/>
      </c>
    </row>
    <row r="9" ht="15.75" customHeight="1" thickBot="1">
      <c r="B9" s="9" t="inlineStr">
        <is>
          <t>S.No.</t>
        </is>
      </c>
      <c r="C9" s="8" t="inlineStr">
        <is>
          <t>Module/Sub-Module</t>
        </is>
      </c>
      <c r="D9" s="10" t="inlineStr">
        <is>
          <t>Test Steps</t>
        </is>
      </c>
      <c r="E9" s="8" t="inlineStr">
        <is>
          <t>Expected Results</t>
        </is>
      </c>
      <c r="F9" s="8" t="inlineStr">
        <is>
          <t>Result</t>
        </is>
      </c>
      <c r="G9" s="8" t="inlineStr">
        <is>
          <t>Bug ID</t>
        </is>
      </c>
      <c r="H9" s="8" t="inlineStr">
        <is>
          <t>Automation Status</t>
        </is>
      </c>
      <c r="I9" s="8" t="inlineStr">
        <is>
          <t>Mapped Scripts</t>
        </is>
      </c>
      <c r="J9" s="2" t="inlineStr">
        <is>
          <t>Comments</t>
        </is>
      </c>
    </row>
    <row r="10" ht="38.25" customHeight="1">
      <c r="B10" s="18" t="inlineStr">
        <is>
          <t>Exclsn_001</t>
        </is>
      </c>
      <c r="C10" s="18" t="inlineStr">
        <is>
          <t>Exclusion Management</t>
        </is>
      </c>
      <c r="D10" s="18" t="inlineStr">
        <is>
          <t>Verify that the user can navigate to Exclusion management screen on clicking option under Admin Menu.</t>
        </is>
      </c>
      <c r="E10" s="26" t="inlineStr">
        <is>
          <t>Exclusion management screen should be launched.</t>
        </is>
      </c>
      <c r="F10" s="54" t="inlineStr">
        <is>
          <t>Pending</t>
        </is>
      </c>
      <c r="G10" s="7" t="n"/>
      <c r="H10" s="18" t="inlineStr">
        <is>
          <t>Done</t>
        </is>
      </c>
      <c r="I10" s="148" t="n"/>
      <c r="J10" s="55" t="n"/>
    </row>
    <row r="11" ht="89.25" customHeight="1">
      <c r="B11" s="18" t="inlineStr">
        <is>
          <t>Exclsn_002</t>
        </is>
      </c>
      <c r="C11" s="366" t="inlineStr">
        <is>
          <t>Exclusion Management</t>
        </is>
      </c>
      <c r="D11" s="366" t="inlineStr">
        <is>
          <t>Verify that Exclusion screen show below mentioned columns :
Exclusion Category.
Language.
Exclusion Criteria.
Status.
Action.</t>
        </is>
      </c>
      <c r="E11" s="25" t="inlineStr">
        <is>
          <t>Mentioned columns should be present in the screen.</t>
        </is>
      </c>
      <c r="F11" s="54" t="inlineStr">
        <is>
          <t>Pending</t>
        </is>
      </c>
      <c r="G11" s="3" t="n"/>
      <c r="H11" s="366" t="inlineStr">
        <is>
          <t>Done</t>
        </is>
      </c>
      <c r="I11" s="149" t="n"/>
      <c r="J11" s="55" t="n"/>
    </row>
    <row r="12" ht="89.25" customHeight="1">
      <c r="B12" s="18" t="inlineStr">
        <is>
          <t>Exclsn_003</t>
        </is>
      </c>
      <c r="C12" s="366" t="inlineStr">
        <is>
          <t>Exclusion Management</t>
        </is>
      </c>
      <c r="D12" s="366" t="inlineStr">
        <is>
          <t>Admin &gt; Exclusion List Management.
Exclusion categories be like :
Date, Prefix, Suffix, Numbers.
Space.
Punctuations.
Dots.
Text Removal.</t>
        </is>
      </c>
      <c r="E12" s="25" t="inlineStr">
        <is>
          <t>Exclusion categories should be present in the screen.</t>
        </is>
      </c>
      <c r="F12" s="54" t="inlineStr">
        <is>
          <t>Pending</t>
        </is>
      </c>
      <c r="G12" s="3" t="n"/>
      <c r="H12" s="366" t="inlineStr">
        <is>
          <t>Pending</t>
        </is>
      </c>
      <c r="I12" s="149" t="n">
        <v>0.5</v>
      </c>
      <c r="J12" s="55" t="n"/>
    </row>
    <row r="13" ht="76.5" customHeight="1">
      <c r="B13" s="18" t="inlineStr">
        <is>
          <t>Exclsn_004</t>
        </is>
      </c>
      <c r="C13" s="366" t="inlineStr">
        <is>
          <t>Exclusion Management</t>
        </is>
      </c>
      <c r="D13" s="366" t="inlineStr">
        <is>
          <t>Go to Admin &gt; Exclusion List Management.
Dots : Actions &gt; Observe.
Space : Actions &gt; Observe.
CRLF : Actions &gt; Observe.
Bracket : Actions &gt; Observe.
Number : Actions &gt; Observe.</t>
        </is>
      </c>
      <c r="E13" s="25" t="inlineStr">
        <is>
          <t>Area should be greyed out to edit and criteria should be already mentioned.</t>
        </is>
      </c>
      <c r="F13" s="54" t="inlineStr">
        <is>
          <t>Pending</t>
        </is>
      </c>
      <c r="G13" s="3" t="n"/>
      <c r="H13" s="366" t="inlineStr">
        <is>
          <t>Pending</t>
        </is>
      </c>
      <c r="I13" s="149" t="n">
        <v>0.5</v>
      </c>
      <c r="J13" s="55" t="n"/>
    </row>
    <row r="14" ht="25.5" customHeight="1">
      <c r="B14" s="18" t="inlineStr">
        <is>
          <t>Exclsn_005</t>
        </is>
      </c>
      <c r="C14" s="366" t="inlineStr">
        <is>
          <t>Exclusion Management</t>
        </is>
      </c>
      <c r="D14" s="366" t="inlineStr">
        <is>
          <t>Verify Active and Deactivate options for all these exclusion categories.</t>
        </is>
      </c>
      <c r="E14" s="25" t="inlineStr">
        <is>
          <t>Activate and Deactivate option to be allowed.</t>
        </is>
      </c>
      <c r="F14" s="54" t="inlineStr">
        <is>
          <t>Pending</t>
        </is>
      </c>
      <c r="G14" s="3" t="n"/>
      <c r="H14" s="366" t="inlineStr">
        <is>
          <t>Done</t>
        </is>
      </c>
      <c r="I14" s="149" t="n"/>
      <c r="J14" s="55" t="n"/>
    </row>
    <row r="15" ht="25.5" customHeight="1">
      <c r="B15" s="18" t="inlineStr">
        <is>
          <t>Exclsn_006</t>
        </is>
      </c>
      <c r="C15" s="366" t="inlineStr">
        <is>
          <t>Exclusion Management - Add Criteria</t>
        </is>
      </c>
      <c r="D15" s="366" t="inlineStr">
        <is>
          <t>Verify that the user can add exclusion criteria under Suffix, prefix, text removal,punctuation category.</t>
        </is>
      </c>
      <c r="E15" s="25" t="inlineStr">
        <is>
          <t>Criteria should be added.</t>
        </is>
      </c>
      <c r="F15" s="54" t="inlineStr">
        <is>
          <t>Pending</t>
        </is>
      </c>
      <c r="G15" s="3" t="n"/>
      <c r="H15" s="366" t="inlineStr">
        <is>
          <t>Pending</t>
        </is>
      </c>
      <c r="I15" s="149" t="n">
        <v>1</v>
      </c>
      <c r="J15" s="55" t="n"/>
    </row>
    <row r="16" ht="25.5" customHeight="1">
      <c r="B16" s="18" t="inlineStr">
        <is>
          <t>Exclsn_007</t>
        </is>
      </c>
      <c r="C16" s="366" t="inlineStr">
        <is>
          <t>Exclusion - Modify</t>
        </is>
      </c>
      <c r="D16" s="366" t="inlineStr">
        <is>
          <t>Verify that the user can modify exclusion criteria using modify option under action button.</t>
        </is>
      </c>
      <c r="E16" s="25" t="inlineStr">
        <is>
          <t>Modification should be updated.</t>
        </is>
      </c>
      <c r="F16" s="54" t="inlineStr">
        <is>
          <t>Pending</t>
        </is>
      </c>
      <c r="G16" s="3" t="n"/>
      <c r="H16" s="366" t="inlineStr">
        <is>
          <t>Pending</t>
        </is>
      </c>
      <c r="I16" s="149" t="n">
        <v>1</v>
      </c>
      <c r="J16" s="55" t="n"/>
    </row>
    <row r="17" ht="63.75" customHeight="1">
      <c r="B17" s="18" t="inlineStr">
        <is>
          <t>Exclsn_008</t>
        </is>
      </c>
      <c r="C17" s="366" t="inlineStr">
        <is>
          <t>Exclusion - Audit Logs</t>
        </is>
      </c>
      <c r="D17" s="366" t="inlineStr">
        <is>
          <t>Verify that the user can check audit logs for exclusion using Audit logs option under action button.
Audit logs should show data like :
Category, criteria, status, Modified date, User, comments.</t>
        </is>
      </c>
      <c r="E17" s="25" t="inlineStr">
        <is>
          <t>The correct audit logs should be displayed.</t>
        </is>
      </c>
      <c r="F17" s="54" t="inlineStr">
        <is>
          <t>Pending</t>
        </is>
      </c>
      <c r="G17" s="3" t="n"/>
      <c r="H17" s="366" t="inlineStr">
        <is>
          <t>Pending</t>
        </is>
      </c>
      <c r="I17" s="149" t="n">
        <v>0.5</v>
      </c>
      <c r="J17" s="55" t="n"/>
    </row>
    <row r="18" ht="25.5" customHeight="1">
      <c r="B18" s="18" t="inlineStr">
        <is>
          <t>Exclsn_009</t>
        </is>
      </c>
      <c r="C18" s="366" t="inlineStr">
        <is>
          <t>Exclusion - Active</t>
        </is>
      </c>
      <c r="D18" s="366" t="inlineStr">
        <is>
          <t>Verify that the user can change the status from Active/inactive button.</t>
        </is>
      </c>
      <c r="E18" s="25" t="inlineStr">
        <is>
          <t>Correct status should be displayed under Status column.</t>
        </is>
      </c>
      <c r="F18" s="54" t="inlineStr">
        <is>
          <t>Pending</t>
        </is>
      </c>
      <c r="G18" s="3" t="n"/>
      <c r="H18" s="366" t="inlineStr">
        <is>
          <t>Done</t>
        </is>
      </c>
      <c r="I18" s="149" t="n"/>
      <c r="J18" s="55" t="n"/>
    </row>
    <row r="19" ht="25.5" customHeight="1">
      <c r="B19" s="18" t="inlineStr">
        <is>
          <t>Exclsn_010</t>
        </is>
      </c>
      <c r="C19" s="366" t="inlineStr">
        <is>
          <t>Exclusion - Filters</t>
        </is>
      </c>
      <c r="D19" s="366" t="inlineStr">
        <is>
          <t>Verify that the user can filter exclusion using Language filter.</t>
        </is>
      </c>
      <c r="E19" s="25" t="inlineStr">
        <is>
          <t>Filter should show exclusion as per the language selected.</t>
        </is>
      </c>
      <c r="F19" s="54" t="inlineStr">
        <is>
          <t>Pending</t>
        </is>
      </c>
      <c r="G19" s="3" t="n"/>
      <c r="H19" s="366" t="inlineStr">
        <is>
          <t>Done</t>
        </is>
      </c>
      <c r="I19" s="149" t="n"/>
      <c r="J19" s="55" t="n"/>
    </row>
    <row r="20">
      <c r="B20" s="18" t="inlineStr">
        <is>
          <t>Exclsn_011</t>
        </is>
      </c>
      <c r="C20" s="366" t="inlineStr">
        <is>
          <t>Exclusion - Search</t>
        </is>
      </c>
      <c r="D20" s="13" t="inlineStr">
        <is>
          <t>Verify that the user can Search exclusion.</t>
        </is>
      </c>
      <c r="E20" s="23" t="inlineStr">
        <is>
          <t>Verify that the user can search.</t>
        </is>
      </c>
      <c r="F20" s="54" t="inlineStr">
        <is>
          <t>Pending</t>
        </is>
      </c>
      <c r="G20" s="3" t="n"/>
      <c r="H20" s="366" t="inlineStr">
        <is>
          <t>Done</t>
        </is>
      </c>
      <c r="I20" s="149" t="n"/>
      <c r="J20" s="55" t="n"/>
    </row>
    <row r="21" ht="24" customHeight="1">
      <c r="B21" s="18" t="inlineStr">
        <is>
          <t>Exclsn_012</t>
        </is>
      </c>
      <c r="C21" s="366" t="inlineStr">
        <is>
          <t>Exclusion - Reset</t>
        </is>
      </c>
      <c r="D21" s="14" t="inlineStr">
        <is>
          <t>Verify that the user can reset the filters applied, by clicking on Reset button.</t>
        </is>
      </c>
      <c r="E21" s="14" t="inlineStr">
        <is>
          <t>Reset option should only clear search text. Language filter will not clear.</t>
        </is>
      </c>
      <c r="F21" s="54" t="inlineStr">
        <is>
          <t>Pending</t>
        </is>
      </c>
      <c r="G21" s="3" t="n"/>
      <c r="H21" s="366" t="inlineStr">
        <is>
          <t>Done</t>
        </is>
      </c>
      <c r="I21" s="3" t="n"/>
      <c r="J21" s="3" t="n"/>
    </row>
    <row r="22" ht="24" customHeight="1">
      <c r="B22" s="18" t="inlineStr">
        <is>
          <t>Exclsn_013</t>
        </is>
      </c>
      <c r="C22" s="366" t="inlineStr">
        <is>
          <t>Exclusion - Sort</t>
        </is>
      </c>
      <c r="D22" s="14" t="inlineStr">
        <is>
          <t>Verify that the user can sort by Exclusion category and status.</t>
        </is>
      </c>
      <c r="E22" s="14" t="inlineStr">
        <is>
          <t>Sorting should work after clicking on the heading text.</t>
        </is>
      </c>
      <c r="F22" s="54" t="inlineStr">
        <is>
          <t>Pending</t>
        </is>
      </c>
      <c r="G22" s="3" t="n"/>
      <c r="H22" s="366" t="inlineStr">
        <is>
          <t>Pending</t>
        </is>
      </c>
      <c r="I22" s="3" t="n">
        <v>0.5</v>
      </c>
      <c r="J22" s="3" t="n"/>
    </row>
  </sheetData>
  <mergeCells count="7">
    <mergeCell ref="B6:C6"/>
    <mergeCell ref="B7:C7"/>
    <mergeCell ref="B2:F2"/>
    <mergeCell ref="B3:C3"/>
    <mergeCell ref="B5:C5"/>
    <mergeCell ref="B8:C8"/>
    <mergeCell ref="B4:C4"/>
  </mergeCells>
  <conditionalFormatting sqref="D3">
    <cfRule type="expression" priority="73" dxfId="51" stopIfTrue="1">
      <formula>AND(COUNTIF($A$8:$A$8, D3)+COUNTIF(#REF!, D3)&gt;1,NOT(ISBLANK(D3)))</formula>
    </cfRule>
  </conditionalFormatting>
  <conditionalFormatting sqref="D4">
    <cfRule type="cellIs" priority="72" operator="lessThan" dxfId="10" stopIfTrue="1">
      <formula>1</formula>
    </cfRule>
  </conditionalFormatting>
  <conditionalFormatting sqref="D4:D8">
    <cfRule type="cellIs" priority="67" operator="greaterThan" dxfId="9" stopIfTrue="1">
      <formula>0</formula>
    </cfRule>
    <cfRule type="cellIs" priority="68" operator="greaterThan" dxfId="9" stopIfTrue="1">
      <formula>1</formula>
    </cfRule>
    <cfRule type="cellIs" priority="69" operator="greaterThan" dxfId="10" stopIfTrue="1">
      <formula>0</formula>
    </cfRule>
    <cfRule type="cellIs" priority="70" operator="greaterThan" dxfId="10" stopIfTrue="1">
      <formula>1</formula>
    </cfRule>
    <cfRule type="cellIs" priority="71" operator="equal" dxfId="9" stopIfTrue="1">
      <formula>$C$3</formula>
    </cfRule>
  </conditionalFormatting>
  <conditionalFormatting sqref="D5">
    <cfRule type="cellIs" priority="32" operator="lessThan" dxfId="10" stopIfTrue="1">
      <formula>1</formula>
    </cfRule>
  </conditionalFormatting>
  <conditionalFormatting sqref="D5:E8">
    <cfRule type="cellIs" priority="36" operator="lessThan" dxfId="10" stopIfTrue="1">
      <formula>1</formula>
    </cfRule>
  </conditionalFormatting>
  <conditionalFormatting sqref="E4">
    <cfRule type="cellIs" priority="62" operator="equal" dxfId="9" stopIfTrue="1">
      <formula>1</formula>
    </cfRule>
    <cfRule type="cellIs" priority="63" operator="lessThan" dxfId="10" stopIfTrue="1">
      <formula>1</formula>
    </cfRule>
  </conditionalFormatting>
  <conditionalFormatting sqref="E5:E8">
    <cfRule type="cellIs" priority="33" operator="equal" dxfId="9" stopIfTrue="1">
      <formula>1</formula>
    </cfRule>
    <cfRule type="cellIs" priority="34" operator="lessThan" dxfId="10" stopIfTrue="1">
      <formula>1</formula>
    </cfRule>
    <cfRule type="cellIs" priority="35" operator="equal" dxfId="9" stopIfTrue="1">
      <formula>1</formula>
    </cfRule>
  </conditionalFormatting>
  <conditionalFormatting sqref="E4:F4">
    <cfRule type="cellIs" priority="58" operator="equal" dxfId="9" stopIfTrue="1">
      <formula>1</formula>
    </cfRule>
    <cfRule type="cellIs" priority="59" operator="lessThan" dxfId="10" stopIfTrue="1">
      <formula>1</formula>
    </cfRule>
  </conditionalFormatting>
  <conditionalFormatting sqref="F4">
    <cfRule type="cellIs" priority="56" operator="equal" dxfId="9" stopIfTrue="1">
      <formula>1</formula>
    </cfRule>
    <cfRule type="cellIs" priority="57" operator="lessThan" dxfId="10" stopIfTrue="1">
      <formula>1</formula>
    </cfRule>
  </conditionalFormatting>
  <conditionalFormatting sqref="F5">
    <cfRule type="cellIs" priority="52" operator="greaterThan" dxfId="10" stopIfTrue="1">
      <formula>0</formula>
    </cfRule>
    <cfRule type="cellIs" priority="53" operator="equal" dxfId="9" stopIfTrue="1">
      <formula>0</formula>
    </cfRule>
    <cfRule type="cellIs" priority="54" operator="greaterThan" dxfId="10" stopIfTrue="1">
      <formula>0</formula>
    </cfRule>
    <cfRule type="cellIs" priority="55" operator="equal" dxfId="9" stopIfTrue="1">
      <formula>0</formula>
    </cfRule>
  </conditionalFormatting>
  <conditionalFormatting sqref="F6">
    <cfRule type="cellIs" priority="50" operator="equal" dxfId="9" stopIfTrue="1">
      <formula>0</formula>
    </cfRule>
    <cfRule type="cellIs" priority="51" operator="greaterThan" dxfId="22" stopIfTrue="1">
      <formula>0</formula>
    </cfRule>
  </conditionalFormatting>
  <conditionalFormatting sqref="F6:F7">
    <cfRule type="cellIs" priority="46" operator="equal" dxfId="9" stopIfTrue="1">
      <formula>0</formula>
    </cfRule>
    <cfRule type="cellIs" priority="47" operator="greaterThan" dxfId="22" stopIfTrue="1">
      <formula>0</formula>
    </cfRule>
  </conditionalFormatting>
  <conditionalFormatting sqref="F7:F8">
    <cfRule type="cellIs" priority="42" operator="equal" dxfId="9" stopIfTrue="1">
      <formula>0</formula>
    </cfRule>
    <cfRule type="cellIs" priority="43" operator="greaterThan" dxfId="22" stopIfTrue="1">
      <formula>0</formula>
    </cfRule>
  </conditionalFormatting>
  <conditionalFormatting sqref="F8">
    <cfRule type="cellIs" priority="40" operator="equal" dxfId="9" stopIfTrue="1">
      <formula>0</formula>
    </cfRule>
    <cfRule type="cellIs" priority="41" operator="greaterThan" dxfId="22" stopIfTrue="1">
      <formula>0</formula>
    </cfRule>
  </conditionalFormatting>
  <conditionalFormatting sqref="F10:F22">
    <cfRule type="cellIs" priority="74" operator="equal" dxfId="6" stopIfTrue="1">
      <formula>"NA"</formula>
    </cfRule>
    <cfRule type="cellIs" priority="75" operator="equal" dxfId="5" stopIfTrue="1">
      <formula>"Blocked"</formula>
    </cfRule>
    <cfRule type="cellIs" priority="76" operator="equal" dxfId="4" stopIfTrue="1">
      <formula>"Pending"</formula>
    </cfRule>
    <cfRule type="cellIs" priority="77" operator="equal" dxfId="0" stopIfTrue="1">
      <formula>"Passed"</formula>
    </cfRule>
    <cfRule type="cellIs" priority="78" operator="equal" dxfId="1" stopIfTrue="1">
      <formula>"Failed"</formula>
    </cfRule>
    <cfRule type="cellIs" priority="79" operator="equal" dxfId="1" stopIfTrue="1">
      <formula>"Fail"</formula>
    </cfRule>
    <cfRule type="cellIs" priority="80" operator="equal" dxfId="0" stopIfTrue="1">
      <formula>"Pass"</formula>
    </cfRule>
  </conditionalFormatting>
  <conditionalFormatting sqref="G5:G8">
    <cfRule type="cellIs" priority="19" operator="lessThan" dxfId="10" stopIfTrue="1">
      <formula>1</formula>
    </cfRule>
    <cfRule type="cellIs" priority="20" operator="greaterThan" dxfId="9" stopIfTrue="1">
      <formula>0</formula>
    </cfRule>
    <cfRule type="cellIs" priority="21" operator="greaterThan" dxfId="9" stopIfTrue="1">
      <formula>1</formula>
    </cfRule>
    <cfRule type="cellIs" priority="22" operator="greaterThan" dxfId="10" stopIfTrue="1">
      <formula>0</formula>
    </cfRule>
    <cfRule type="cellIs" priority="23" operator="greaterThan" dxfId="10" stopIfTrue="1">
      <formula>1</formula>
    </cfRule>
    <cfRule type="cellIs" priority="24" operator="equal" dxfId="9" stopIfTrue="1">
      <formula>$C$3</formula>
    </cfRule>
  </conditionalFormatting>
  <conditionalFormatting sqref="H10:H22">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22" showDropDown="0" showInputMessage="1" showErrorMessage="1" allowBlank="1" type="list">
      <formula1>"Passed,Failed,Blocked,Pending,NA"</formula1>
    </dataValidation>
    <dataValidation sqref="H10:H22"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26.xml><?xml version="1.0" encoding="utf-8"?>
<worksheet xmlns="http://schemas.openxmlformats.org/spreadsheetml/2006/main">
  <sheetPr>
    <outlinePr summaryBelow="1" summaryRight="1"/>
    <pageSetUpPr/>
  </sheetPr>
  <dimension ref="B2:J119"/>
  <sheetViews>
    <sheetView topLeftCell="A76" zoomScale="80" zoomScaleNormal="80" workbookViewId="0">
      <selection activeCell="B77" sqref="B77:B78"/>
    </sheetView>
  </sheetViews>
  <sheetFormatPr baseColWidth="8" defaultRowHeight="15"/>
  <cols>
    <col width="9.140625" customWidth="1" style="4" min="1" max="1"/>
    <col width="18.5703125" customWidth="1" style="4" min="2" max="2"/>
    <col width="31" customWidth="1" style="4" min="3" max="3"/>
    <col width="52" customWidth="1" style="4" min="4" max="4"/>
    <col width="41.42578125" customWidth="1" style="4" min="5" max="5"/>
    <col width="17.140625" customWidth="1" style="4" min="6" max="6"/>
    <col width="16" customWidth="1" style="4" min="7" max="7"/>
    <col width="19.28515625" customWidth="1" style="4" min="8" max="9"/>
    <col width="16.140625" customWidth="1" style="4" min="10" max="10"/>
    <col width="9.140625" customWidth="1" style="4" min="11" max="16384"/>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207">
        <f>COUNTIF(F9:F500,"Passed")</f>
        <v/>
      </c>
      <c r="E4" s="208">
        <f>IF(D4=0,,(D4/(D4+D5)))</f>
        <v/>
      </c>
      <c r="F4" s="51">
        <f>IF(D3=0,,(D4/D3))</f>
        <v/>
      </c>
      <c r="G4" s="209">
        <f>COUNTIF(H10:H500,"Done")</f>
        <v/>
      </c>
    </row>
    <row r="5" ht="15.75" customHeight="1" thickBot="1">
      <c r="B5" s="350" t="inlineStr">
        <is>
          <t>Failed</t>
        </is>
      </c>
      <c r="D5" s="207">
        <f>COUNTIF(F9:F500,"Failed")</f>
        <v/>
      </c>
      <c r="E5" s="208">
        <f>IF(D5=0,,(D5/(D5+D6)))</f>
        <v/>
      </c>
      <c r="F5" s="51">
        <f>IF(D3=0,,(D5/D3))</f>
        <v/>
      </c>
      <c r="G5" s="207">
        <f>COUNTIF(H10:H500,"Failed")</f>
        <v/>
      </c>
    </row>
    <row r="6" ht="15.75" customHeight="1" thickBot="1">
      <c r="B6" s="350" t="inlineStr">
        <is>
          <t>Blocked</t>
        </is>
      </c>
      <c r="D6" s="207">
        <f>COUNTIF(F9:F500,"Blocked")</f>
        <v/>
      </c>
      <c r="E6" s="208">
        <f>IF(D6=0,,(D6/(D6+D7)))</f>
        <v/>
      </c>
      <c r="F6" s="51">
        <f>IF(D3=0,,(D6/D3))</f>
        <v/>
      </c>
      <c r="G6" s="207">
        <f>COUNTIF(H10:H500,"Blocked")</f>
        <v/>
      </c>
    </row>
    <row r="7" ht="15.75" customHeight="1" thickBot="1">
      <c r="B7" s="350" t="inlineStr">
        <is>
          <t>Pending</t>
        </is>
      </c>
      <c r="D7" s="207">
        <f>COUNTIF(F9:F500,"Pending")</f>
        <v/>
      </c>
      <c r="E7" s="208">
        <f>IF(D7=0,,(D7/(D7+D8)))</f>
        <v/>
      </c>
      <c r="F7" s="51">
        <f>IF(D3=0,,(D7/D3))</f>
        <v/>
      </c>
      <c r="G7" s="207">
        <f>COUNTIF(H10:H500,"Pending")</f>
        <v/>
      </c>
    </row>
    <row r="8" ht="15.75" customHeight="1" thickBot="1">
      <c r="B8" s="350" t="inlineStr">
        <is>
          <t>Not Applicable</t>
        </is>
      </c>
      <c r="D8" s="207">
        <f>COUNTIF(F9:F500,"Not Applicable")</f>
        <v/>
      </c>
      <c r="E8" s="208">
        <f>IF(D8=0,,(D8/(D8+#REF!)))</f>
        <v/>
      </c>
      <c r="F8" s="51">
        <f>IF(D3=0,,(D8/D3))</f>
        <v/>
      </c>
      <c r="G8" s="207">
        <f>COUNTIF(H10:H500,"Out of Scope")</f>
        <v/>
      </c>
    </row>
    <row r="9" customFormat="1" s="95">
      <c r="B9" s="210" t="inlineStr">
        <is>
          <t>S.No.</t>
        </is>
      </c>
      <c r="C9" s="170" t="inlineStr">
        <is>
          <t>Module/Sub-Module</t>
        </is>
      </c>
      <c r="D9" s="211" t="inlineStr">
        <is>
          <t>Test Steps</t>
        </is>
      </c>
      <c r="E9" s="170" t="inlineStr">
        <is>
          <t>Expected Results</t>
        </is>
      </c>
      <c r="F9" s="170" t="inlineStr">
        <is>
          <t>Result</t>
        </is>
      </c>
      <c r="G9" s="170" t="inlineStr">
        <is>
          <t>Bug ID</t>
        </is>
      </c>
      <c r="H9" s="170" t="inlineStr">
        <is>
          <t>Automation Status</t>
        </is>
      </c>
      <c r="I9" s="170" t="inlineStr">
        <is>
          <t>Mapped Scripts</t>
        </is>
      </c>
      <c r="J9" s="170" t="inlineStr">
        <is>
          <t>Comments</t>
        </is>
      </c>
    </row>
    <row r="10" ht="45" customFormat="1" customHeight="1" s="95">
      <c r="B10" s="111" t="inlineStr">
        <is>
          <t>GC_001</t>
        </is>
      </c>
      <c r="C10" s="112" t="inlineStr">
        <is>
          <t>Global to Child / Module Creation</t>
        </is>
      </c>
      <c r="D10" s="112" t="inlineStr">
        <is>
          <t>1. Access the "Create Model" screen.
2. Enter valid model details.
3. Select "Yes" or "No" for "Global to Child Model Sync".
4. Click "Save".</t>
        </is>
      </c>
      <c r="E10" s="112" t="inlineStr">
        <is>
          <t>The model is created successfully with the chosen Global to Child Model Sync selection.</t>
        </is>
      </c>
      <c r="F10" s="93" t="inlineStr">
        <is>
          <t>Pending</t>
        </is>
      </c>
      <c r="G10" s="107" t="n"/>
      <c r="H10" s="93" t="inlineStr">
        <is>
          <t>Done</t>
        </is>
      </c>
      <c r="I10" s="107" t="n"/>
      <c r="J10" s="107" t="n"/>
    </row>
    <row r="11" ht="60" customFormat="1" customHeight="1" s="95">
      <c r="B11" s="111" t="inlineStr">
        <is>
          <t>GC_002</t>
        </is>
      </c>
      <c r="C11" s="112" t="inlineStr">
        <is>
          <t>Global to Child / Module Creation</t>
        </is>
      </c>
      <c r="D11" s="112" t="inlineStr">
        <is>
          <t>1. Access the "Create Model" screen.
2. Enter valid model details.
3. Leave the "Global to Child Model Sync" selection blank.
4. Click "Save".</t>
        </is>
      </c>
      <c r="E11" s="112" t="inlineStr">
        <is>
          <t>A validation error message appears: "Please select one option." The model is not saved.</t>
        </is>
      </c>
      <c r="F11" s="93" t="inlineStr">
        <is>
          <t>Pending</t>
        </is>
      </c>
      <c r="G11" s="107" t="n"/>
      <c r="H11" s="93" t="inlineStr">
        <is>
          <t>Done</t>
        </is>
      </c>
      <c r="I11" s="107" t="n"/>
      <c r="J11" s="107" t="n"/>
    </row>
    <row r="12" ht="90" customFormat="1" customHeight="1" s="95">
      <c r="B12" s="111" t="inlineStr">
        <is>
          <t>GC_003</t>
        </is>
      </c>
      <c r="C12" s="112" t="inlineStr">
        <is>
          <t>Global to Child / Module Creation</t>
        </is>
      </c>
      <c r="D12" s="112" t="inlineStr">
        <is>
          <t>1. Access the "Create Model" screen or open an existing model.
2. Enter valid model details or edit existing details.
3. Select "Yes" or "No" for "Global to Child Model Sync".
4. Click "Save".</t>
        </is>
      </c>
      <c r="E12" s="112" t="inlineStr">
        <is>
          <t>The model is saved successfully with the chosen Global to Child Model Sync selection, and the confirmation message appears. Clicking "OK" and then "Save" confirms the selection.</t>
        </is>
      </c>
      <c r="F12" s="93" t="inlineStr">
        <is>
          <t>Pending</t>
        </is>
      </c>
      <c r="G12" s="107" t="n"/>
      <c r="H12" s="93" t="inlineStr">
        <is>
          <t>Done</t>
        </is>
      </c>
      <c r="I12" s="107" t="n"/>
      <c r="J12" s="107" t="n"/>
    </row>
    <row r="13" ht="45" customFormat="1" customHeight="1" s="95">
      <c r="B13" s="111" t="inlineStr">
        <is>
          <t>GC_004</t>
        </is>
      </c>
      <c r="C13" s="112" t="inlineStr">
        <is>
          <t>Global to Child / Module Creation</t>
        </is>
      </c>
      <c r="D13" s="112" t="inlineStr">
        <is>
          <t>1. Access a model.
2. Click "Clone".
3. Select "Yes" or "No" for "Global to Child Model Sync".
4. Click "Save".</t>
        </is>
      </c>
      <c r="E13" s="112" t="inlineStr">
        <is>
          <t>The model is cloned successfully with the chosen Global to Child Model Sync selection.</t>
        </is>
      </c>
      <c r="F13" s="93" t="inlineStr">
        <is>
          <t>Pending</t>
        </is>
      </c>
      <c r="G13" s="107" t="n"/>
      <c r="H13" s="93" t="inlineStr">
        <is>
          <t>Done</t>
        </is>
      </c>
      <c r="I13" s="107" t="n"/>
      <c r="J13" s="107" t="n"/>
    </row>
    <row r="14" ht="90" customFormat="1" customHeight="1" s="95">
      <c r="B14" s="111" t="inlineStr">
        <is>
          <t>GC_005</t>
        </is>
      </c>
      <c r="C14" s="112" t="inlineStr">
        <is>
          <t>Global to Child / Module Creation</t>
        </is>
      </c>
      <c r="D14" s="112" t="inlineStr">
        <is>
          <t>Create child rows of type "Value" and "Empty."
Right-click a child row.
Verify that the Delete option is displayed only for child rows (both Value and Empty types).
Verify that the Delete option is not available for parent rows.</t>
        </is>
      </c>
      <c r="E14" s="112" t="inlineStr">
        <is>
          <t>"The context menu should display the Delete option."</t>
        </is>
      </c>
      <c r="F14" s="93" t="inlineStr">
        <is>
          <t>Pending</t>
        </is>
      </c>
      <c r="G14" s="107" t="n"/>
      <c r="H14" s="93" t="inlineStr">
        <is>
          <t>Done</t>
        </is>
      </c>
      <c r="I14" s="107" t="n"/>
      <c r="J14" s="107" t="n"/>
    </row>
    <row r="15" ht="30" customFormat="1" customHeight="1" s="95">
      <c r="B15" s="111" t="inlineStr">
        <is>
          <t>GC_006</t>
        </is>
      </c>
      <c r="C15" s="112" t="inlineStr">
        <is>
          <t>Global to Child / Module Creation</t>
        </is>
      </c>
      <c r="D15" s="112" t="inlineStr">
        <is>
          <t>Right-click rows other than child rows.</t>
        </is>
      </c>
      <c r="E15" s="112" t="inlineStr">
        <is>
          <t>Delete option should be disabled in context menu.</t>
        </is>
      </c>
      <c r="F15" s="93" t="inlineStr">
        <is>
          <t>Pending</t>
        </is>
      </c>
      <c r="G15" s="107" t="n"/>
      <c r="H15" s="93" t="inlineStr">
        <is>
          <t>Done</t>
        </is>
      </c>
      <c r="I15" s="107" t="n"/>
      <c r="J15" s="107" t="n"/>
    </row>
    <row r="16" ht="45" customFormat="1" customHeight="1" s="95">
      <c r="B16" s="111" t="inlineStr">
        <is>
          <t>GC_007</t>
        </is>
      </c>
      <c r="C16" s="112" t="inlineStr">
        <is>
          <t>Global to Child / Module Creation</t>
        </is>
      </c>
      <c r="D16" s="112" t="inlineStr">
        <is>
          <t>Follow the test case GC_001 Click the "Delete" option for a child row.</t>
        </is>
      </c>
      <c r="E16" s="112" t="inlineStr">
        <is>
          <t>A confirmation popup should appear, stating "Are you sure you want to delete this account?".</t>
        </is>
      </c>
      <c r="F16" s="93" t="inlineStr">
        <is>
          <t>Pending</t>
        </is>
      </c>
      <c r="G16" s="107" t="n"/>
      <c r="H16" s="93" t="inlineStr">
        <is>
          <t>Done</t>
        </is>
      </c>
      <c r="I16" s="107" t="n"/>
      <c r="J16" s="107" t="n"/>
    </row>
    <row r="17" ht="75" customFormat="1" customHeight="1" s="95">
      <c r="B17" s="111" t="inlineStr">
        <is>
          <t>GC_008</t>
        </is>
      </c>
      <c r="C17" s="112" t="inlineStr">
        <is>
          <t>Global to Child / Module Creation</t>
        </is>
      </c>
      <c r="D17" s="112" t="inlineStr">
        <is>
          <t>Navigate to the Customer Model screen.
Create a child account under an existing parent account.
Open the Spreading screen for the parent account.
Attempt to delete the customer line item from the Spreading screen.</t>
        </is>
      </c>
      <c r="E17" s="112" t="inlineStr">
        <is>
          <t>User is able to delete the child line item.</t>
        </is>
      </c>
      <c r="F17" s="93" t="inlineStr">
        <is>
          <t>Pending</t>
        </is>
      </c>
      <c r="G17" s="112" t="n"/>
      <c r="H17" s="93" t="inlineStr">
        <is>
          <t>Done</t>
        </is>
      </c>
      <c r="I17" s="112" t="n"/>
      <c r="J17" s="112" t="n"/>
    </row>
    <row r="18" ht="75" customFormat="1" customHeight="1" s="95">
      <c r="B18" s="111" t="inlineStr">
        <is>
          <t>GC_009</t>
        </is>
      </c>
      <c r="C18" s="112" t="inlineStr">
        <is>
          <t>Global to Child / Modify Module</t>
        </is>
      </c>
      <c r="D18" s="112" t="inlineStr">
        <is>
          <t>1. Access a model that hasn't been used for any customer.
2. Click "Modify Model".
3. Change the selection for "Global to Child Model Sync".
4. Click "Save".</t>
        </is>
      </c>
      <c r="E18" s="112" t="inlineStr">
        <is>
          <t>The model is modified successfully with the new Global to Child Model Sync selection.</t>
        </is>
      </c>
      <c r="F18" s="93" t="inlineStr">
        <is>
          <t>Pending</t>
        </is>
      </c>
      <c r="G18" s="107" t="n"/>
      <c r="H18" s="93" t="inlineStr">
        <is>
          <t>Done</t>
        </is>
      </c>
      <c r="I18" s="107" t="n"/>
      <c r="J18" s="107" t="n"/>
    </row>
    <row r="19" ht="60" customFormat="1" customHeight="1" s="95">
      <c r="B19" s="111" t="inlineStr">
        <is>
          <t>GC_010</t>
        </is>
      </c>
      <c r="C19" s="112" t="inlineStr">
        <is>
          <t>Global to Child / No Editable</t>
        </is>
      </c>
      <c r="D19" s="112" t="inlineStr">
        <is>
          <t>1. Create a model and select a Global to Child Model Sync option.
2. Create a customer item using the model.
3. Access the same model and click "Modify Model".</t>
        </is>
      </c>
      <c r="E19" s="112" t="inlineStr">
        <is>
          <t>The radio buttons for "Global to Child Model Sync" are disabled, and a message indicates that the selection cannot be changed.</t>
        </is>
      </c>
      <c r="F19" s="93" t="inlineStr">
        <is>
          <t>Pending</t>
        </is>
      </c>
      <c r="G19" s="107" t="n"/>
      <c r="H19" s="93" t="inlineStr">
        <is>
          <t>Done</t>
        </is>
      </c>
      <c r="I19" s="107" t="n"/>
      <c r="J19" s="107" t="n"/>
    </row>
    <row r="20" ht="75" customFormat="1" customHeight="1" s="95">
      <c r="B20" s="111" t="inlineStr">
        <is>
          <t>GC_011</t>
        </is>
      </c>
      <c r="C20" s="112" t="inlineStr">
        <is>
          <t>Global to Child / No Editable</t>
        </is>
      </c>
      <c r="D20" s="112" t="inlineStr">
        <is>
          <t>1. Create a model and select a Global to Child Model Sync option.
2. Create a customer item using the model.3. Delete the customer item from the listing page.
4. Access the same model and click "Modify Model".</t>
        </is>
      </c>
      <c r="E20" s="112" t="inlineStr">
        <is>
          <t>The radio buttons for "Global to Child Model Sync" are disabled, and a message indicates that the selection cannot be changed.</t>
        </is>
      </c>
      <c r="F20" s="93" t="inlineStr">
        <is>
          <t>Pending</t>
        </is>
      </c>
      <c r="G20" s="107" t="n"/>
      <c r="H20" s="93" t="inlineStr">
        <is>
          <t>Done</t>
        </is>
      </c>
      <c r="I20" s="107" t="n"/>
      <c r="J20" s="107" t="n"/>
    </row>
    <row r="21" ht="30" customFormat="1" customHeight="1" s="95">
      <c r="B21" s="111" t="inlineStr">
        <is>
          <t>GC_012</t>
        </is>
      </c>
      <c r="C21" s="112" t="inlineStr">
        <is>
          <t>Global to Child / No Editable</t>
        </is>
      </c>
      <c r="D21" s="112" t="inlineStr">
        <is>
          <t>Submit the spread and perform steps 1-4 on the submitted spread.</t>
        </is>
      </c>
      <c r="E21" s="112" t="inlineStr">
        <is>
          <t>The user should not be able to delete the line item.</t>
        </is>
      </c>
      <c r="F21" s="93" t="inlineStr">
        <is>
          <t>Pending</t>
        </is>
      </c>
      <c r="G21" s="107" t="n"/>
      <c r="H21" s="93" t="inlineStr">
        <is>
          <t>Done</t>
        </is>
      </c>
      <c r="I21" s="107" t="n"/>
      <c r="J21" s="107" t="n"/>
    </row>
    <row r="22" ht="60" customFormat="1" customHeight="1" s="95">
      <c r="B22" s="111" t="inlineStr">
        <is>
          <t>GC_013</t>
        </is>
      </c>
      <c r="C22" s="112" t="inlineStr">
        <is>
          <t>Global to Child / No Editable</t>
        </is>
      </c>
      <c r="D22" s="112" t="inlineStr">
        <is>
          <t>Follow steps from GC_001. Assign a value to the child row in at least one existing period.
Right-click the child row and select "Delete"</t>
        </is>
      </c>
      <c r="E22" s="112" t="inlineStr">
        <is>
          <t>The system should display a message indicating that the item cannot be deleted and should disable the line item with a greyed-out appearance.</t>
        </is>
      </c>
      <c r="F22" s="93" t="inlineStr">
        <is>
          <t>Pending</t>
        </is>
      </c>
      <c r="G22" s="107" t="n"/>
      <c r="H22" s="93" t="inlineStr">
        <is>
          <t>Done</t>
        </is>
      </c>
      <c r="I22" s="107" t="n"/>
      <c r="J22" s="107" t="n"/>
    </row>
    <row r="23" ht="60" customFormat="1" customHeight="1" s="95">
      <c r="B23" s="111" t="inlineStr">
        <is>
          <t>GC_014</t>
        </is>
      </c>
      <c r="C23" s="112" t="inlineStr">
        <is>
          <t>Global to Child / No Editable</t>
        </is>
      </c>
      <c r="D23" s="112" t="inlineStr">
        <is>
          <t>Follow the steps from TC-06.
Attempt to use Autofill on another period for the disabled row.</t>
        </is>
      </c>
      <c r="E23" s="112" t="inlineStr">
        <is>
          <t>The disabled line item should not be included in the Autofill process.</t>
        </is>
      </c>
      <c r="F23" s="93" t="inlineStr">
        <is>
          <t>Pending</t>
        </is>
      </c>
      <c r="G23" s="107" t="n"/>
      <c r="H23" s="93" t="inlineStr">
        <is>
          <t>Done</t>
        </is>
      </c>
      <c r="I23" s="107" t="n"/>
      <c r="J23" s="107" t="n"/>
    </row>
    <row r="24" ht="45" customFormat="1" customHeight="1" s="95">
      <c r="B24" s="111" t="inlineStr">
        <is>
          <t>GC_015</t>
        </is>
      </c>
      <c r="C24" s="112" t="inlineStr">
        <is>
          <t>Global to Child / Template Creation</t>
        </is>
      </c>
      <c r="D24" s="112" t="inlineStr">
        <is>
          <t>1. Modify element in Global model.
2. Navigate to Master template.</t>
        </is>
      </c>
      <c r="E24" s="112" t="inlineStr">
        <is>
          <t>1. Modification reflected in Master template.</t>
        </is>
      </c>
      <c r="F24" s="93" t="inlineStr">
        <is>
          <t>Pending</t>
        </is>
      </c>
      <c r="G24" s="107" t="n"/>
      <c r="H24" s="93" t="inlineStr">
        <is>
          <t>Done</t>
        </is>
      </c>
      <c r="I24" s="107" t="n"/>
      <c r="J24" s="107" t="n"/>
    </row>
    <row r="25" ht="45" customFormat="1" customHeight="1" s="95">
      <c r="B25" s="111" t="inlineStr">
        <is>
          <t>GC_016</t>
        </is>
      </c>
      <c r="C25" s="112" t="inlineStr">
        <is>
          <t>Global to Child / Template Creation</t>
        </is>
      </c>
      <c r="D25" s="112" t="inlineStr">
        <is>
          <t>1. Update Master template with new elements.
2. Create new customer.
3. Access customer model.</t>
        </is>
      </c>
      <c r="E25" s="112" t="inlineStr">
        <is>
          <t>1. Updated elements displayed in customer model.</t>
        </is>
      </c>
      <c r="F25" s="93" t="inlineStr">
        <is>
          <t>Pending</t>
        </is>
      </c>
      <c r="G25" s="107" t="n"/>
      <c r="H25" s="93" t="inlineStr">
        <is>
          <t>Done</t>
        </is>
      </c>
      <c r="I25" s="107" t="n"/>
      <c r="J25" s="107" t="n"/>
    </row>
    <row r="26" ht="60" customFormat="1" customHeight="1" s="95">
      <c r="B26" s="111" t="inlineStr">
        <is>
          <t>GC_017</t>
        </is>
      </c>
      <c r="C26" s="112" t="inlineStr">
        <is>
          <t>Global to Child / Template Creation</t>
        </is>
      </c>
      <c r="D26" s="112" t="inlineStr">
        <is>
          <t>1. Update Master template with new elements.
2. Access existing customer model.
3. Use updated Master template as base.</t>
        </is>
      </c>
      <c r="E26" s="112" t="inlineStr">
        <is>
          <t>1. Customer model updated with new elements (preserves existing configurations).</t>
        </is>
      </c>
      <c r="F26" s="93" t="inlineStr">
        <is>
          <t>Pending</t>
        </is>
      </c>
      <c r="G26" s="107" t="n"/>
      <c r="H26" s="93" t="inlineStr">
        <is>
          <t>Done</t>
        </is>
      </c>
      <c r="I26" s="107" t="n"/>
      <c r="J26" s="107" t="n"/>
    </row>
    <row r="27" ht="45" customFormat="1" customHeight="1" s="95">
      <c r="B27" s="111" t="inlineStr">
        <is>
          <t>GC_018</t>
        </is>
      </c>
      <c r="C27" s="112" t="inlineStr">
        <is>
          <t>Global to Child / Template Creation</t>
        </is>
      </c>
      <c r="D27" s="112" t="inlineStr">
        <is>
          <t>1. Access customer model based on Master template.
2. Add new line/account not in Master template.</t>
        </is>
      </c>
      <c r="E27" s="112" t="inlineStr">
        <is>
          <t>1. Mapping for new line/account is blank.</t>
        </is>
      </c>
      <c r="F27" s="93" t="inlineStr">
        <is>
          <t>Pending</t>
        </is>
      </c>
      <c r="G27" s="107" t="n"/>
      <c r="H27" s="93" t="inlineStr">
        <is>
          <t>Done</t>
        </is>
      </c>
      <c r="I27" s="107" t="n"/>
      <c r="J27" s="107" t="n"/>
    </row>
    <row r="28" ht="45" customFormat="1" customHeight="1" s="95">
      <c r="B28" s="111" t="inlineStr">
        <is>
          <t>GC_019</t>
        </is>
      </c>
      <c r="C28" s="112" t="inlineStr">
        <is>
          <t>Global to Child / Formula Set</t>
        </is>
      </c>
      <c r="D28" s="112" t="inlineStr">
        <is>
          <t>Navigate to the Global Model screen.
Locate a cell account with the type set to "Formula."
Click the "Delete" button associated with that account.</t>
        </is>
      </c>
      <c r="E28" s="112" t="inlineStr">
        <is>
          <t>The account should be removed from the model.</t>
        </is>
      </c>
      <c r="F28" s="93" t="inlineStr">
        <is>
          <t>Pending</t>
        </is>
      </c>
      <c r="G28" s="107" t="n"/>
      <c r="H28" s="93" t="inlineStr">
        <is>
          <t>Done</t>
        </is>
      </c>
      <c r="I28" s="107" t="n"/>
      <c r="J28" s="107" t="n"/>
    </row>
    <row r="29" ht="45" customFormat="1" customHeight="1" s="95">
      <c r="B29" s="111" t="inlineStr">
        <is>
          <t>GC_020</t>
        </is>
      </c>
      <c r="C29" s="112" t="inlineStr">
        <is>
          <t>Global to Child / Formula Set</t>
        </is>
      </c>
      <c r="D29" s="112" t="inlineStr">
        <is>
          <t>Follow the steps outlined in GC_020.
Apply them to a parent account that has the type set to "Value."</t>
        </is>
      </c>
      <c r="E29" s="112" t="inlineStr">
        <is>
          <t>The account should be removed from the model.</t>
        </is>
      </c>
      <c r="F29" s="93" t="inlineStr">
        <is>
          <t>Pending</t>
        </is>
      </c>
      <c r="G29" s="112" t="n"/>
      <c r="H29" s="93" t="inlineStr">
        <is>
          <t>Done</t>
        </is>
      </c>
      <c r="I29" s="112" t="n"/>
      <c r="J29" s="112" t="n"/>
    </row>
    <row r="30" ht="45" customFormat="1" customHeight="1" s="95">
      <c r="B30" s="111" t="inlineStr">
        <is>
          <t>GC_021</t>
        </is>
      </c>
      <c r="C30" s="112" t="inlineStr">
        <is>
          <t>Global to Child / Formula Set</t>
        </is>
      </c>
      <c r="D30" s="112" t="inlineStr">
        <is>
          <t>Follow steps from GC_020, but for a parent account with the "Validation" type.</t>
        </is>
      </c>
      <c r="E30" s="112" t="inlineStr">
        <is>
          <t>The account should be removed from the model.</t>
        </is>
      </c>
      <c r="F30" s="93" t="inlineStr">
        <is>
          <t>Pending</t>
        </is>
      </c>
      <c r="G30" s="107" t="n"/>
      <c r="H30" s="93" t="inlineStr">
        <is>
          <t>Done</t>
        </is>
      </c>
      <c r="I30" s="107" t="n"/>
      <c r="J30" s="107" t="n"/>
    </row>
    <row r="31" ht="45" customFormat="1" customHeight="1" s="95">
      <c r="B31" s="111" t="inlineStr">
        <is>
          <t>GC_022</t>
        </is>
      </c>
      <c r="C31" s="112" t="inlineStr">
        <is>
          <t>Global to Child / Formula Set</t>
        </is>
      </c>
      <c r="D31" s="112" t="inlineStr">
        <is>
          <t>Follow steps from GC_020, but for a parent account with the "Empty" type.</t>
        </is>
      </c>
      <c r="E31" s="112" t="inlineStr">
        <is>
          <t>The account should be removed from the model.</t>
        </is>
      </c>
      <c r="F31" s="93" t="inlineStr">
        <is>
          <t>Pending</t>
        </is>
      </c>
      <c r="G31" s="107" t="n"/>
      <c r="H31" s="93" t="inlineStr">
        <is>
          <t>Done</t>
        </is>
      </c>
      <c r="I31" s="107" t="n"/>
      <c r="J31" s="107" t="n"/>
    </row>
    <row r="32" ht="60" customFormat="1" customHeight="1" s="95">
      <c r="B32" s="111" t="inlineStr">
        <is>
          <t>GC_023</t>
        </is>
      </c>
      <c r="C32" s="112" t="inlineStr">
        <is>
          <t>Global to Child / Formula Set</t>
        </is>
      </c>
      <c r="D32" s="112" t="inlineStr">
        <is>
          <t>Follow steps from GC_020.
User click save changes.
User click modify model/and visit same model for different customer.</t>
        </is>
      </c>
      <c r="E32" s="112" t="inlineStr">
        <is>
          <t>The deleted account should not be visible after saving changes.</t>
        </is>
      </c>
      <c r="F32" s="93" t="inlineStr">
        <is>
          <t>Pending</t>
        </is>
      </c>
      <c r="G32" s="112" t="n"/>
      <c r="H32" s="93" t="inlineStr">
        <is>
          <t>Done</t>
        </is>
      </c>
      <c r="I32" s="112" t="n"/>
      <c r="J32" s="112" t="n"/>
    </row>
    <row r="33" ht="90" customFormat="1" customHeight="1" s="95">
      <c r="B33" s="111" t="inlineStr">
        <is>
          <t>GC_024</t>
        </is>
      </c>
      <c r="C33" s="112" t="inlineStr">
        <is>
          <t>Global to Child / Formula Dependency</t>
        </is>
      </c>
      <c r="D33" s="112" t="inlineStr">
        <is>
          <t>Create a formula in the model that references a parent account.
Delete the referenced account.
Save changes.</t>
        </is>
      </c>
      <c r="E33" s="112" t="inlineStr">
        <is>
          <t>The system should handle the deleted account reference according to the existing process (e.g., displaying an error message, setting the formula to #ref and not allow user to save).</t>
        </is>
      </c>
      <c r="F33" s="93" t="inlineStr">
        <is>
          <t>Pending</t>
        </is>
      </c>
      <c r="G33" s="112" t="n"/>
      <c r="H33" s="93" t="inlineStr">
        <is>
          <t>Done</t>
        </is>
      </c>
      <c r="I33" s="112" t="n"/>
      <c r="J33" s="112" t="n"/>
    </row>
    <row r="34" ht="90" customFormat="1" customHeight="1" s="95">
      <c r="B34" s="111" t="inlineStr">
        <is>
          <t>GC_025</t>
        </is>
      </c>
      <c r="C34" s="112" t="inlineStr">
        <is>
          <t>Global to Child / Formula Dependency</t>
        </is>
      </c>
      <c r="D34" s="112" t="inlineStr">
        <is>
          <t>1. Delete an account that is referenced by a formula in the global model.
2. Save changes.
3. Open an existing item/Spreading screen.
4. Observe how the formula reference to the deleted account is handled.</t>
        </is>
      </c>
      <c r="E34" s="112" t="inlineStr">
        <is>
          <t>Deleted account reference in formulas is handled as per existing process (no unexpected errors/regressions).</t>
        </is>
      </c>
      <c r="F34" s="93" t="inlineStr">
        <is>
          <t>Pending</t>
        </is>
      </c>
      <c r="G34" s="112" t="n"/>
      <c r="H34" s="93" t="inlineStr">
        <is>
          <t>Done</t>
        </is>
      </c>
      <c r="I34" s="112" t="n"/>
      <c r="J34" s="112" t="n"/>
    </row>
    <row r="35" ht="60" customFormat="1" customHeight="1" s="95">
      <c r="B35" s="111" t="inlineStr">
        <is>
          <t>GC_026</t>
        </is>
      </c>
      <c r="C35" s="112" t="inlineStr">
        <is>
          <t>Global to Child / Data Type Restriction</t>
        </is>
      </c>
      <c r="D35" s="112" t="inlineStr">
        <is>
          <t>Create a model with a parent account of type "Formula/Value/empty/validation"
Use the model in customer and create a item.
User try to change the data type of the parent account.</t>
        </is>
      </c>
      <c r="E35" s="112" t="inlineStr">
        <is>
          <t>The system should prevent modification of the account type.</t>
        </is>
      </c>
      <c r="F35" s="93" t="inlineStr">
        <is>
          <t>Pending</t>
        </is>
      </c>
      <c r="G35" s="112" t="n"/>
      <c r="H35" s="93" t="inlineStr">
        <is>
          <t>Done</t>
        </is>
      </c>
      <c r="I35" s="112" t="n"/>
      <c r="J35" s="112" t="n"/>
    </row>
    <row r="36" ht="45" customFormat="1" customHeight="1" s="95">
      <c r="B36" s="111" t="inlineStr">
        <is>
          <t>GC_027</t>
        </is>
      </c>
      <c r="C36" s="112" t="inlineStr">
        <is>
          <t>Global to Child / Data Type Restriction</t>
        </is>
      </c>
      <c r="D36" s="112" t="inlineStr">
        <is>
          <t>Follow steps from GC_026, but without using the model for any customer.</t>
        </is>
      </c>
      <c r="E36" s="112" t="inlineStr">
        <is>
          <t>The system should allow modification of the account data type.</t>
        </is>
      </c>
      <c r="F36" s="93" t="inlineStr">
        <is>
          <t>Pending</t>
        </is>
      </c>
      <c r="G36" s="107" t="n"/>
      <c r="H36" s="93" t="inlineStr">
        <is>
          <t>Done</t>
        </is>
      </c>
      <c r="I36" s="107" t="n"/>
      <c r="J36" s="107" t="n"/>
    </row>
    <row r="37" ht="60" customFormat="1" customHeight="1" s="95">
      <c r="B37" s="111" t="inlineStr">
        <is>
          <t>GC_028</t>
        </is>
      </c>
      <c r="C37" s="112" t="inlineStr">
        <is>
          <t>Global to Child / Add New Row</t>
        </is>
      </c>
      <c r="D37" s="112" t="inlineStr">
        <is>
          <t>A global model exists (any linked state).
1. Open Modify Model screen for the global model.
2. Add a new row/account.
3. Save changes.</t>
        </is>
      </c>
      <c r="E37" s="112" t="inlineStr">
        <is>
          <t>New row is added and saved successfully in the global model.</t>
        </is>
      </c>
      <c r="F37" s="93" t="inlineStr">
        <is>
          <t>Pending</t>
        </is>
      </c>
      <c r="G37" s="107" t="n"/>
      <c r="H37" s="93" t="inlineStr">
        <is>
          <t>Done</t>
        </is>
      </c>
      <c r="I37" s="107" t="n"/>
      <c r="J37" s="107" t="n"/>
    </row>
    <row r="38" ht="60" customFormat="1" customHeight="1" s="95">
      <c r="B38" s="111" t="inlineStr">
        <is>
          <t>GC_029</t>
        </is>
      </c>
      <c r="C38" s="107" t="inlineStr">
        <is>
          <t>Global to Child / Relabel</t>
        </is>
      </c>
      <c r="D38" s="107" t="inlineStr">
        <is>
          <t>A global model exists (any linked state).
1. Open Modify Model screen for the global model.
2. Relabel an existing row/account.
3. Save changes.</t>
        </is>
      </c>
      <c r="E38" s="107" t="inlineStr">
        <is>
          <t>Row label is updated and saved successfully in the global model.</t>
        </is>
      </c>
      <c r="F38" s="93" t="inlineStr">
        <is>
          <t>Pending</t>
        </is>
      </c>
      <c r="G38" s="107" t="n"/>
      <c r="H38" s="93" t="inlineStr">
        <is>
          <t>Done</t>
        </is>
      </c>
      <c r="I38" s="107" t="n"/>
      <c r="J38" s="107" t="n"/>
    </row>
    <row r="39" ht="90" customFormat="1" customHeight="1" s="95">
      <c r="B39" s="111" t="inlineStr">
        <is>
          <t>GC_030</t>
        </is>
      </c>
      <c r="C39" s="107" t="inlineStr">
        <is>
          <t>Global to Child / Ungroup Single Row</t>
        </is>
      </c>
      <c r="D39" s="107" t="inlineStr">
        <is>
          <t>A global model exists with at least one row that can be grouped.
1. Open Modify Model screen for the global model.
2. Select a single row.
3. Perform Group action.
4. Perform Ungroup action.</t>
        </is>
      </c>
      <c r="E39" s="107" t="inlineStr">
        <is>
          <t>System allows not allow grouping and ungrouping of the selected single row. And an error toast message should be displayed.</t>
        </is>
      </c>
      <c r="F39" s="93" t="inlineStr">
        <is>
          <t>Pending</t>
        </is>
      </c>
      <c r="G39" s="107" t="n"/>
      <c r="H39" s="93" t="inlineStr">
        <is>
          <t>Done</t>
        </is>
      </c>
      <c r="I39" s="107" t="n"/>
      <c r="J39" s="107" t="n"/>
    </row>
    <row r="40" ht="90" customFormat="1" customHeight="1" s="95">
      <c r="B40" s="111" t="inlineStr">
        <is>
          <t>GC_031</t>
        </is>
      </c>
      <c r="C40" s="107" t="inlineStr">
        <is>
          <t>Global to Child / Ungroup Multple Row</t>
        </is>
      </c>
      <c r="D40" s="107" t="inlineStr">
        <is>
          <t>A global model exists with multiple rows that can be grouped.
1. Open Modify Model screen for the global model.
2. Select multiple rows.
3. Perform Group action.
4. Perform Ungroup action.</t>
        </is>
      </c>
      <c r="E40" s="107" t="inlineStr">
        <is>
          <t>System allows grouping and ungrouping of multiple selected rows.</t>
        </is>
      </c>
      <c r="F40" s="93" t="inlineStr">
        <is>
          <t>Pending</t>
        </is>
      </c>
      <c r="G40" s="107" t="n"/>
      <c r="H40" s="93" t="inlineStr">
        <is>
          <t>Done</t>
        </is>
      </c>
      <c r="I40" s="107" t="n"/>
      <c r="J40" s="107" t="n"/>
    </row>
    <row r="41" ht="75" customFormat="1" customHeight="1" s="95">
      <c r="B41" s="111" t="inlineStr">
        <is>
          <t>GC_032</t>
        </is>
      </c>
      <c r="C41" s="107" t="inlineStr">
        <is>
          <t>Global to Child / Unhide Single Row</t>
        </is>
      </c>
      <c r="D41" s="107" t="inlineStr">
        <is>
          <t>A global model exists with at least one row.
1. Open Modify Model screen for the global model.
2. Select a single row.
3. Perform Hide action.
4. Perform Unhide action.</t>
        </is>
      </c>
      <c r="E41" s="107" t="inlineStr">
        <is>
          <t>System allows hiding and unhiding of the selected single row.</t>
        </is>
      </c>
      <c r="F41" s="93" t="inlineStr">
        <is>
          <t>Pending</t>
        </is>
      </c>
      <c r="G41" s="107" t="n"/>
      <c r="H41" s="93" t="inlineStr">
        <is>
          <t>Done</t>
        </is>
      </c>
      <c r="I41" s="107" t="n"/>
      <c r="J41" s="107" t="n"/>
    </row>
    <row r="42" ht="75" customFormat="1" customHeight="1" s="95">
      <c r="B42" s="111" t="inlineStr">
        <is>
          <t>GC_033</t>
        </is>
      </c>
      <c r="C42" s="107" t="inlineStr">
        <is>
          <t>Global to Child / Unhide Multiple Row</t>
        </is>
      </c>
      <c r="D42" s="107" t="inlineStr">
        <is>
          <t>A global model exists with multiple rows.
1. Open Modify Model screen for the global model.
2. Select multiple rows.
3. Perform Hide action.
4. Perform Unhide action.</t>
        </is>
      </c>
      <c r="E42" s="107" t="inlineStr">
        <is>
          <t>System allows hiding and unhiding of multiple selected rows.</t>
        </is>
      </c>
      <c r="F42" s="93" t="inlineStr">
        <is>
          <t>Pending</t>
        </is>
      </c>
      <c r="G42" s="107" t="n"/>
      <c r="H42" s="93" t="inlineStr">
        <is>
          <t>Done</t>
        </is>
      </c>
      <c r="I42" s="107" t="n"/>
      <c r="J42" s="107" t="n"/>
    </row>
    <row r="43" ht="60" customFormat="1" customHeight="1" s="95">
      <c r="B43" s="111" t="inlineStr">
        <is>
          <t>GC_034</t>
        </is>
      </c>
      <c r="C43" s="107" t="inlineStr">
        <is>
          <t>Global to Child / Spreading Screen</t>
        </is>
      </c>
      <c r="D43" s="107" t="inlineStr">
        <is>
          <t>Ensure Delete option is available only for child rows of type Value or Empty.
Create child rows with Value and Empty types.
Right-click a child row to view the Delete option.</t>
        </is>
      </c>
      <c r="E43" s="107" t="inlineStr">
        <is>
          <t>The context menu should show the "Delete" option.</t>
        </is>
      </c>
      <c r="F43" s="93" t="inlineStr">
        <is>
          <t>Pending</t>
        </is>
      </c>
      <c r="G43" s="107" t="n"/>
      <c r="H43" s="93" t="inlineStr">
        <is>
          <t>Done</t>
        </is>
      </c>
      <c r="I43" s="107" t="n"/>
      <c r="J43" s="107" t="n"/>
    </row>
    <row r="44" ht="75" customFormat="1" customHeight="1" s="95">
      <c r="B44" s="111" t="inlineStr">
        <is>
          <t>GC_035</t>
        </is>
      </c>
      <c r="C44" s="107" t="inlineStr">
        <is>
          <t>Global To Child / Customer Model Delete</t>
        </is>
      </c>
      <c r="D44" s="107" t="inlineStr">
        <is>
          <t>Navigate to the Customer Model screen.
Create a child account under an existing parent account.
Open the Spreading screen for the parent account.
Attempt to delete the customer line item from the Spreading screen.</t>
        </is>
      </c>
      <c r="E44" s="107" t="inlineStr">
        <is>
          <t>User is able to delete the child line item.</t>
        </is>
      </c>
      <c r="F44" s="93" t="inlineStr">
        <is>
          <t>Pending</t>
        </is>
      </c>
      <c r="G44" s="107" t="n"/>
      <c r="H44" s="93" t="inlineStr">
        <is>
          <t>Done</t>
        </is>
      </c>
      <c r="I44" s="107" t="n"/>
      <c r="J44" s="107" t="n"/>
    </row>
    <row r="45" ht="60" customFormat="1" customHeight="1" s="95">
      <c r="B45" s="111" t="inlineStr">
        <is>
          <t>GC_036</t>
        </is>
      </c>
      <c r="C45" s="107" t="inlineStr">
        <is>
          <t>Global To Child / Customer Model Delete</t>
        </is>
      </c>
      <c r="D45" s="107" t="inlineStr">
        <is>
          <t>Navigate to the Customer Model screen.
Create a child account under the parent account.
Go to the Spreading screen and attempt to delete the customer line item.</t>
        </is>
      </c>
      <c r="E45" s="107" t="inlineStr">
        <is>
          <t>User is able to delete the child line item.</t>
        </is>
      </c>
      <c r="F45" s="93" t="inlineStr">
        <is>
          <t>Pending</t>
        </is>
      </c>
      <c r="G45" s="107" t="n"/>
      <c r="H45" s="93" t="inlineStr">
        <is>
          <t>Done</t>
        </is>
      </c>
      <c r="I45" s="107" t="n"/>
      <c r="J45" s="107" t="n"/>
    </row>
    <row r="46" ht="30" customFormat="1" customHeight="1" s="95">
      <c r="B46" s="111" t="inlineStr">
        <is>
          <t>GC_037</t>
        </is>
      </c>
      <c r="C46" s="107" t="inlineStr">
        <is>
          <t>Global to Child / Customer Model Delete</t>
        </is>
      </c>
      <c r="D46" s="107" t="inlineStr">
        <is>
          <t>Submit the spread and perform TC 05-08 on the submitted spread.</t>
        </is>
      </c>
      <c r="E46" s="107" t="inlineStr">
        <is>
          <t>The user should not be able to delete the line item.</t>
        </is>
      </c>
      <c r="F46" s="93" t="inlineStr">
        <is>
          <t>Pending</t>
        </is>
      </c>
      <c r="G46" s="107" t="n"/>
      <c r="H46" s="93" t="inlineStr">
        <is>
          <t>Done</t>
        </is>
      </c>
      <c r="I46" s="107" t="n"/>
      <c r="J46" s="107" t="n"/>
    </row>
    <row r="47" ht="30" customFormat="1" customHeight="1" s="95">
      <c r="B47" s="111" t="inlineStr">
        <is>
          <t>GC_038</t>
        </is>
      </c>
      <c r="C47" s="107" t="inlineStr">
        <is>
          <t>Global to Child / Customer Model Delete</t>
        </is>
      </c>
      <c r="D47" s="107" t="inlineStr">
        <is>
          <t>Submit the spread and perform GC_040 on the submitted spread.</t>
        </is>
      </c>
      <c r="E47" s="107" t="inlineStr">
        <is>
          <t>The user should not be able to delete the line item.</t>
        </is>
      </c>
      <c r="F47" s="93" t="inlineStr">
        <is>
          <t>Pending</t>
        </is>
      </c>
      <c r="G47" s="107" t="n"/>
      <c r="H47" s="93" t="inlineStr">
        <is>
          <t>Done</t>
        </is>
      </c>
      <c r="I47" s="107" t="n"/>
      <c r="J47" s="107" t="n"/>
    </row>
    <row r="48" ht="60" customFormat="1" customHeight="1" s="95">
      <c r="B48" s="111" t="inlineStr">
        <is>
          <t>GC_039</t>
        </is>
      </c>
      <c r="C48" s="107" t="inlineStr">
        <is>
          <t>Global to Child / Value Exist</t>
        </is>
      </c>
      <c r="D48" s="107" t="inlineStr">
        <is>
          <t>Follow steps from GC_005. Assign a value to the child row in at least one existing period.
Right-click the child row and select "Delete"</t>
        </is>
      </c>
      <c r="E48" s="107" t="inlineStr">
        <is>
          <t>The system should display a message indicating that the item cannot be deleted and should disable the line item with a greyed-out appearance.</t>
        </is>
      </c>
      <c r="F48" s="93" t="inlineStr">
        <is>
          <t>Pending</t>
        </is>
      </c>
      <c r="G48" s="107" t="n"/>
      <c r="H48" s="93" t="inlineStr">
        <is>
          <t>Done</t>
        </is>
      </c>
      <c r="I48" s="107" t="n"/>
      <c r="J48" s="107" t="n"/>
    </row>
    <row r="49" ht="75" customFormat="1" customHeight="1" s="95">
      <c r="B49" s="111" t="inlineStr">
        <is>
          <t>GC_040</t>
        </is>
      </c>
      <c r="C49" s="107" t="inlineStr">
        <is>
          <t>Global to Child / Value Exist</t>
        </is>
      </c>
      <c r="D49" s="107" t="inlineStr">
        <is>
          <t>Follow steps from TGC-036.
Assign a value to the child row in at least one existing period.
Right-click the child row and select Delete.</t>
        </is>
      </c>
      <c r="E49" s="107" t="inlineStr">
        <is>
          <t>The system should display a message indicating that the item cannot be deleted and should disable the line item with a greyed-out appearance.</t>
        </is>
      </c>
      <c r="F49" s="93" t="inlineStr">
        <is>
          <t>Pending</t>
        </is>
      </c>
      <c r="G49" s="107" t="n"/>
      <c r="H49" s="93" t="inlineStr">
        <is>
          <t>Done</t>
        </is>
      </c>
      <c r="I49" s="107" t="n"/>
      <c r="J49" s="107" t="n"/>
    </row>
    <row r="50" ht="45" customFormat="1" customHeight="1" s="95">
      <c r="B50" s="111" t="inlineStr">
        <is>
          <t>GC_041</t>
        </is>
      </c>
      <c r="C50" s="107" t="inlineStr">
        <is>
          <t>Global to Child / Disable Row</t>
        </is>
      </c>
      <c r="D50" s="107" t="inlineStr">
        <is>
          <t>Follow the steps from TC-44.
Attempt to use Autofill on another period for the disabled row.</t>
        </is>
      </c>
      <c r="E50" s="107" t="inlineStr">
        <is>
          <t>The disabled line item should not be included in the Autofill process.</t>
        </is>
      </c>
      <c r="F50" s="93" t="inlineStr">
        <is>
          <t>Pending</t>
        </is>
      </c>
      <c r="G50" s="107" t="n"/>
      <c r="H50" s="93" t="inlineStr">
        <is>
          <t>Done</t>
        </is>
      </c>
      <c r="I50" s="107" t="n"/>
      <c r="J50" s="107" t="n"/>
    </row>
    <row r="51" ht="45" customFormat="1" customHeight="1" s="95">
      <c r="B51" s="111" t="inlineStr">
        <is>
          <t>GC_042</t>
        </is>
      </c>
      <c r="C51" s="107" t="inlineStr">
        <is>
          <t>Global to Child / Disable Row</t>
        </is>
      </c>
      <c r="D51" s="107" t="inlineStr">
        <is>
          <t>Ensure that the formula row references the disabled line item.Verify the calculated formula value.</t>
        </is>
      </c>
      <c r="E51" s="107" t="inlineStr">
        <is>
          <t>The formula should not include the value of the disabled line item in the calculation.</t>
        </is>
      </c>
      <c r="F51" s="93" t="inlineStr">
        <is>
          <t>Pending</t>
        </is>
      </c>
      <c r="G51" s="107" t="n"/>
      <c r="H51" s="93" t="inlineStr">
        <is>
          <t>Done</t>
        </is>
      </c>
      <c r="I51" s="107" t="n"/>
      <c r="J51" s="107" t="n"/>
    </row>
    <row r="52" ht="60" customFormat="1" customHeight="1" s="95">
      <c r="B52" s="111" t="inlineStr">
        <is>
          <t>GC_043</t>
        </is>
      </c>
      <c r="C52" s="107" t="inlineStr">
        <is>
          <t>Global to Child / Disable Row</t>
        </is>
      </c>
      <c r="D52" s="107" t="inlineStr">
        <is>
          <t>Follow steps from GC_042.
Click a cell in any period with a mapped value from the disabled line item.
Click the "Mapped values" /Mapped cell option.</t>
        </is>
      </c>
      <c r="E52" s="107" t="inlineStr">
        <is>
          <t>The "Delete" action should be disabled in both the Pop-up.</t>
        </is>
      </c>
      <c r="F52" s="93" t="inlineStr">
        <is>
          <t>Pending</t>
        </is>
      </c>
      <c r="G52" s="107" t="n"/>
      <c r="H52" s="93" t="inlineStr">
        <is>
          <t>Done</t>
        </is>
      </c>
      <c r="I52" s="107" t="n"/>
      <c r="J52" s="107" t="n"/>
    </row>
    <row r="53" ht="30" customFormat="1" customHeight="1" s="95">
      <c r="B53" s="111" t="inlineStr">
        <is>
          <t>GC_044</t>
        </is>
      </c>
      <c r="C53" s="107" t="inlineStr">
        <is>
          <t>Global to Child / Disable Row</t>
        </is>
      </c>
      <c r="D53" s="107" t="inlineStr">
        <is>
          <t>Follow steps from TC-42.
Right-click the disabled line item.</t>
        </is>
      </c>
      <c r="E53" s="107" t="inlineStr">
        <is>
          <t>No context menu should appear.</t>
        </is>
      </c>
      <c r="F53" s="93" t="inlineStr">
        <is>
          <t>Pending</t>
        </is>
      </c>
      <c r="G53" s="107" t="n"/>
      <c r="H53" s="93" t="inlineStr">
        <is>
          <t>Done</t>
        </is>
      </c>
      <c r="I53" s="107" t="n"/>
      <c r="J53" s="107" t="n"/>
    </row>
    <row r="54" ht="75" customFormat="1" customHeight="1" s="95">
      <c r="B54" s="111" t="inlineStr">
        <is>
          <t>GC_045</t>
        </is>
      </c>
      <c r="C54" s="107" t="inlineStr">
        <is>
          <t>Global to Child / Disable Row</t>
        </is>
      </c>
      <c r="D54" s="107" t="inlineStr">
        <is>
          <t>Follow steps from TC-05.
Right-click the child row and select "Delete"
Right-click the child row and select "Delete" for the line item which does not have mapping in other period and current period also.</t>
        </is>
      </c>
      <c r="E54" s="107" t="inlineStr">
        <is>
          <t>The child row should be deleted and not appear on the Spreading screen for any period.</t>
        </is>
      </c>
      <c r="F54" s="93" t="inlineStr">
        <is>
          <t>Pending</t>
        </is>
      </c>
      <c r="G54" s="107" t="n"/>
      <c r="H54" s="93" t="inlineStr">
        <is>
          <t>Done</t>
        </is>
      </c>
      <c r="I54" s="107" t="n"/>
      <c r="J54" s="107" t="n"/>
    </row>
    <row r="55" ht="60" customFormat="1" customHeight="1" s="95">
      <c r="B55" s="111" t="inlineStr">
        <is>
          <t>GC_046</t>
        </is>
      </c>
      <c r="C55" s="107" t="inlineStr">
        <is>
          <t>Global to Child / Disable Row</t>
        </is>
      </c>
      <c r="D55" s="107" t="inlineStr">
        <is>
          <t>Click the child row and select the Delete button from the Spreading screen.
Click the parent row and attempt to select the Delete button.</t>
        </is>
      </c>
      <c r="E55" s="107" t="inlineStr">
        <is>
          <t>Delete Button Should not work from keyboard.</t>
        </is>
      </c>
      <c r="F55" s="93" t="inlineStr">
        <is>
          <t>Pending</t>
        </is>
      </c>
      <c r="G55" s="107" t="n"/>
      <c r="H55" s="93" t="inlineStr">
        <is>
          <t>Done</t>
        </is>
      </c>
      <c r="I55" s="107" t="n"/>
      <c r="J55" s="107" t="n"/>
    </row>
    <row r="56" ht="45" customFormat="1" customHeight="1" s="95">
      <c r="B56" s="111" t="inlineStr">
        <is>
          <t>GC_047</t>
        </is>
      </c>
      <c r="C56" s="107" t="inlineStr">
        <is>
          <t>Global to Child / Spreading Operation</t>
        </is>
      </c>
      <c r="D56" s="107" t="inlineStr">
        <is>
          <t>Go to the Spreading screen Freeze/Unfreeze, Hide/Unhide and Group/Ungroup should work at customer level as in existing product.</t>
        </is>
      </c>
      <c r="E56" s="107" t="inlineStr">
        <is>
          <t>Assigned steps should work.</t>
        </is>
      </c>
      <c r="F56" s="93" t="inlineStr">
        <is>
          <t>Pending</t>
        </is>
      </c>
      <c r="G56" s="107" t="n"/>
      <c r="H56" s="93" t="inlineStr">
        <is>
          <t>Done</t>
        </is>
      </c>
      <c r="I56" s="107" t="n"/>
      <c r="J56" s="107" t="n"/>
    </row>
    <row r="57" ht="30" customFormat="1" customHeight="1" s="95">
      <c r="B57" s="111" t="inlineStr">
        <is>
          <t>GC_048</t>
        </is>
      </c>
      <c r="C57" s="107" t="inlineStr">
        <is>
          <t>Global to Child / Spreading Operation</t>
        </is>
      </c>
      <c r="D57" s="107" t="inlineStr">
        <is>
          <t>Go to the Spreading screen Verify Group/Ungroup functionality on Customer model.</t>
        </is>
      </c>
      <c r="E57" s="107" t="inlineStr">
        <is>
          <t>Assigned steps should work.</t>
        </is>
      </c>
      <c r="F57" s="93" t="inlineStr">
        <is>
          <t>Pending</t>
        </is>
      </c>
      <c r="G57" s="107" t="n"/>
      <c r="H57" s="93" t="inlineStr">
        <is>
          <t>Done</t>
        </is>
      </c>
      <c r="I57" s="107" t="n"/>
      <c r="J57" s="107" t="n"/>
    </row>
    <row r="58" ht="30" customFormat="1" customHeight="1" s="95">
      <c r="B58" s="111" t="inlineStr">
        <is>
          <t>GC_049</t>
        </is>
      </c>
      <c r="C58" s="107" t="inlineStr">
        <is>
          <t>Global to Child / Spreading Operation</t>
        </is>
      </c>
      <c r="D58" s="107" t="inlineStr">
        <is>
          <t>Navigate to the Spreading screen Verify Freeze/Unfreeze functionality on Customer model.</t>
        </is>
      </c>
      <c r="E58" s="107" t="inlineStr">
        <is>
          <t>Assigned steps should work.</t>
        </is>
      </c>
      <c r="F58" s="93" t="inlineStr">
        <is>
          <t>Pending</t>
        </is>
      </c>
      <c r="G58" s="107" t="n"/>
      <c r="H58" s="93" t="inlineStr">
        <is>
          <t>Done</t>
        </is>
      </c>
      <c r="I58" s="107" t="n"/>
      <c r="J58" s="107" t="n"/>
    </row>
    <row r="59" ht="60" customFormat="1" customHeight="1" s="95">
      <c r="B59" s="111" t="inlineStr">
        <is>
          <t>GC_050</t>
        </is>
      </c>
      <c r="C59" s="107" t="inlineStr">
        <is>
          <t>Global to Child / Spreading Operation</t>
        </is>
      </c>
      <c r="D59" s="107" t="inlineStr">
        <is>
          <t>1. Navigate to the model creation scren.
2. Formula adjustment on the model creation screen.
3. Navigate to the Spreading screen.
4. Verify Formula adjustments after addition of new account in Global Model.</t>
        </is>
      </c>
      <c r="E59" s="107" t="inlineStr">
        <is>
          <t>Assigned steps should work.</t>
        </is>
      </c>
      <c r="F59" s="93" t="inlineStr">
        <is>
          <t>Pending</t>
        </is>
      </c>
      <c r="G59" s="107" t="n"/>
      <c r="H59" s="93" t="inlineStr">
        <is>
          <t>Done</t>
        </is>
      </c>
      <c r="I59" s="107" t="n"/>
      <c r="J59" s="107" t="n"/>
    </row>
    <row r="60" ht="30" customFormat="1" customHeight="1" s="95">
      <c r="B60" s="111" t="inlineStr">
        <is>
          <t>GC_051</t>
        </is>
      </c>
      <c r="C60" s="107" t="inlineStr">
        <is>
          <t>Global to Child / Spreading Operation</t>
        </is>
      </c>
      <c r="D60" s="107" t="inlineStr">
        <is>
          <t>Verify Formula adjustments after deletion of any account in Global Model.</t>
        </is>
      </c>
      <c r="E60" s="107" t="inlineStr">
        <is>
          <t>Assigned steps should work.</t>
        </is>
      </c>
      <c r="F60" s="93" t="inlineStr">
        <is>
          <t>Pending</t>
        </is>
      </c>
      <c r="G60" s="107" t="n"/>
      <c r="H60" s="93" t="inlineStr">
        <is>
          <t>Done</t>
        </is>
      </c>
      <c r="I60" s="107" t="n"/>
      <c r="J60" s="107" t="n"/>
    </row>
    <row r="61" ht="60" customFormat="1" customHeight="1" s="95">
      <c r="B61" s="111" t="inlineStr">
        <is>
          <t>GC_052</t>
        </is>
      </c>
      <c r="C61" s="107" t="inlineStr">
        <is>
          <t>Global to Child / Insert Row On Spreading Screen</t>
        </is>
      </c>
      <c r="D61" s="107" t="inlineStr">
        <is>
          <t>Navigate to the Spreading screen.
Select a row with Value or Empty type.
Right-click the cell → Insert Above and Insert Below options appear in the popup.</t>
        </is>
      </c>
      <c r="E61" s="107" t="inlineStr">
        <is>
          <t>Both Options should be shown to user.</t>
        </is>
      </c>
      <c r="F61" s="93" t="inlineStr">
        <is>
          <t>Pending</t>
        </is>
      </c>
      <c r="G61" s="107" t="n"/>
      <c r="H61" s="93" t="inlineStr">
        <is>
          <t>Done</t>
        </is>
      </c>
      <c r="I61" s="107" t="n"/>
      <c r="J61" s="107" t="n"/>
    </row>
    <row r="62" ht="60" customFormat="1" customHeight="1" s="95">
      <c r="B62" s="111" t="inlineStr">
        <is>
          <t>GC_053</t>
        </is>
      </c>
      <c r="C62" s="107" t="inlineStr">
        <is>
          <t>Global to Child / Insert Row On Spreading Screen</t>
        </is>
      </c>
      <c r="D62" s="107" t="inlineStr">
        <is>
          <t>Navigate to the Spreading screen.
Select a row of Value type.
Click Insert Row Above/Below.
From the Type dropdown, select Value and click Create.</t>
        </is>
      </c>
      <c r="E62" s="107" t="inlineStr">
        <is>
          <t>The system should allow creating a new row of type "Value".</t>
        </is>
      </c>
      <c r="F62" s="93" t="inlineStr">
        <is>
          <t>Pending</t>
        </is>
      </c>
      <c r="G62" s="107" t="n"/>
      <c r="H62" s="93" t="inlineStr">
        <is>
          <t>Done</t>
        </is>
      </c>
      <c r="I62" s="107" t="n"/>
      <c r="J62" s="107" t="n"/>
    </row>
    <row r="63" ht="60" customFormat="1" customHeight="1" s="95">
      <c r="B63" s="111" t="inlineStr">
        <is>
          <t>GC_054</t>
        </is>
      </c>
      <c r="C63" s="107" t="inlineStr">
        <is>
          <t>Global to Child / Insert Row On Spreading Screen</t>
        </is>
      </c>
      <c r="D63" s="107" t="inlineStr">
        <is>
          <t>Repeat the process, selecting Empty from the Type dropdown and click Create.</t>
        </is>
      </c>
      <c r="E63" s="107" t="inlineStr">
        <is>
          <t>The system should allow creating a new row of type "Empty". Both Value and Empty types can be created.</t>
        </is>
      </c>
      <c r="F63" s="93" t="inlineStr">
        <is>
          <t>Pending</t>
        </is>
      </c>
      <c r="G63" s="107" t="n"/>
      <c r="H63" s="93" t="inlineStr">
        <is>
          <t>Done</t>
        </is>
      </c>
      <c r="I63" s="107" t="n"/>
      <c r="J63" s="107" t="n"/>
    </row>
    <row r="64" ht="45" customFormat="1" customHeight="1" s="95">
      <c r="B64" s="111" t="inlineStr">
        <is>
          <t>GC_055</t>
        </is>
      </c>
      <c r="C64" s="107" t="inlineStr">
        <is>
          <t>Global to Child / Insert Row On Spreading Screen</t>
        </is>
      </c>
      <c r="D64" s="107" t="inlineStr">
        <is>
          <t>Navigate to the Spreading screen.
Select a row of Empty type.
Click Insert Row Above/Below.</t>
        </is>
      </c>
      <c r="E64" s="107" t="inlineStr">
        <is>
          <t>Insert popup should show Empty as auto-populated and Read Only in TYPE column.</t>
        </is>
      </c>
      <c r="F64" s="93" t="inlineStr">
        <is>
          <t>Pending</t>
        </is>
      </c>
      <c r="G64" s="107" t="n"/>
      <c r="H64" s="93" t="inlineStr">
        <is>
          <t>Done</t>
        </is>
      </c>
      <c r="I64" s="107" t="n"/>
      <c r="J64" s="107" t="n"/>
    </row>
    <row r="65" ht="45" customFormat="1" customHeight="1" s="95">
      <c r="B65" s="111" t="inlineStr">
        <is>
          <t>GC_056</t>
        </is>
      </c>
      <c r="C65" s="107" t="inlineStr">
        <is>
          <t>Global to Child / Insert Row On Spreading Screen</t>
        </is>
      </c>
      <c r="D65" s="107" t="inlineStr">
        <is>
          <t>Navigate to the Spreading screen.
Select a row of Formula or Validation type.
Click Insert Row Above/Below.</t>
        </is>
      </c>
      <c r="E65" s="107" t="inlineStr">
        <is>
          <t>The option should be disabled and cannot be selected.</t>
        </is>
      </c>
      <c r="F65" s="93" t="inlineStr">
        <is>
          <t>Pending</t>
        </is>
      </c>
      <c r="G65" s="107" t="n"/>
      <c r="H65" s="93" t="inlineStr">
        <is>
          <t>Done</t>
        </is>
      </c>
      <c r="I65" s="107" t="n"/>
      <c r="J65" s="107" t="n"/>
    </row>
    <row r="66" ht="60" customFormat="1" customHeight="1" s="95">
      <c r="B66" s="111" t="inlineStr">
        <is>
          <t>GC_057</t>
        </is>
      </c>
      <c r="C66" s="107" t="inlineStr">
        <is>
          <t>Global to Child / Insert Row On Spreading Screen</t>
        </is>
      </c>
      <c r="D66" s="107" t="inlineStr">
        <is>
          <t>Follow steps from above.
Hover over the disabled Empty option in the Type dropdown.</t>
        </is>
      </c>
      <c r="E66" s="107" t="inlineStr">
        <is>
          <t>A tooltip message should appear, stating "Empty row cannot be added between parent and child row."</t>
        </is>
      </c>
      <c r="F66" s="93" t="inlineStr">
        <is>
          <t>Pending</t>
        </is>
      </c>
      <c r="G66" s="107" t="n"/>
      <c r="H66" s="93" t="inlineStr">
        <is>
          <t>Done</t>
        </is>
      </c>
      <c r="I66" s="107" t="n"/>
      <c r="J66" s="107" t="n"/>
    </row>
    <row r="67" ht="60" customFormat="1" customHeight="1" s="95">
      <c r="B67" s="111" t="inlineStr">
        <is>
          <t>GC_058</t>
        </is>
      </c>
      <c r="C67" s="107" t="inlineStr">
        <is>
          <t>Global to Child / Insert Row On Spreading Screen</t>
        </is>
      </c>
      <c r="D67" s="107" t="inlineStr">
        <is>
          <t>Create a parent row with a data type (e.g., Numeric).
Select the child row under the parent.
Click Insert Row Above/Below.
Observe the Data Type field in the popup.</t>
        </is>
      </c>
      <c r="E67" s="107" t="inlineStr">
        <is>
          <t>The "Data Type" field should be pre-populated with the parent's data type (e.g., "Numeric") and be disabled (read-only).</t>
        </is>
      </c>
      <c r="F67" s="93" t="inlineStr">
        <is>
          <t>Pending</t>
        </is>
      </c>
      <c r="G67" s="107" t="n"/>
      <c r="H67" s="93" t="inlineStr">
        <is>
          <t>Done</t>
        </is>
      </c>
      <c r="I67" s="107" t="n"/>
      <c r="J67" s="107" t="n"/>
    </row>
    <row r="68" ht="45" customFormat="1" customHeight="1" s="95">
      <c r="B68" s="111" t="inlineStr">
        <is>
          <t>GC_059</t>
        </is>
      </c>
      <c r="C68" s="107" t="inlineStr">
        <is>
          <t>Global to Child / Insert Row On Spreading Screen</t>
        </is>
      </c>
      <c r="D68" s="107" t="inlineStr">
        <is>
          <t>Follow steps from above.
User try to modify data shown in Popup.</t>
        </is>
      </c>
      <c r="E68" s="107" t="inlineStr">
        <is>
          <t>The "Data Type" field should be disabled (read-only) and cannot be modified.</t>
        </is>
      </c>
      <c r="F68" s="93" t="inlineStr">
        <is>
          <t>Pending</t>
        </is>
      </c>
      <c r="G68" s="107" t="n"/>
      <c r="H68" s="93" t="inlineStr">
        <is>
          <t>Done</t>
        </is>
      </c>
      <c r="I68" s="107" t="n"/>
      <c r="J68" s="107" t="n"/>
    </row>
    <row r="69" ht="75" customFormat="1" customHeight="1" s="95">
      <c r="B69" s="111" t="inlineStr">
        <is>
          <t>GC_060</t>
        </is>
      </c>
      <c r="C69" s="107" t="inlineStr">
        <is>
          <t>Global to Child / Insert Row On Spreading Screen</t>
        </is>
      </c>
      <c r="D69" s="107" t="inlineStr">
        <is>
          <t>Navigate to the Spreading screen.
Right-click and select Insert → choose Insert Above or Insert Below.
Enter the required metadata and click Create.
Verify the entry in the Global Model.</t>
        </is>
      </c>
      <c r="E69" s="107" t="inlineStr">
        <is>
          <t>Created line item should not show in global model or any other customer using that global model.</t>
        </is>
      </c>
      <c r="F69" s="93" t="inlineStr">
        <is>
          <t>Pending</t>
        </is>
      </c>
      <c r="G69" s="107" t="n"/>
      <c r="H69" s="93" t="inlineStr">
        <is>
          <t>Done</t>
        </is>
      </c>
      <c r="I69" s="107" t="n"/>
      <c r="J69" s="107" t="n"/>
    </row>
    <row r="70" ht="60" customFormat="1" customHeight="1" s="95">
      <c r="B70" s="111" t="inlineStr">
        <is>
          <t>GC_061</t>
        </is>
      </c>
      <c r="C70" s="107" t="inlineStr">
        <is>
          <t>Global to Child / Relabel</t>
        </is>
      </c>
      <c r="D70" s="107" t="inlineStr">
        <is>
          <t>1. Open the customer item on Spreading screen.
2. Perform Relabel on an account.
3. Save/apply changes.
4. Reopen the item to verify the relabel persists.</t>
        </is>
      </c>
      <c r="E70" s="107" t="inlineStr">
        <is>
          <t>Relabel works at customer level as per existing product behavior.</t>
        </is>
      </c>
      <c r="F70" s="93" t="inlineStr">
        <is>
          <t>Pending</t>
        </is>
      </c>
      <c r="G70" s="107" t="n"/>
      <c r="H70" s="93" t="inlineStr">
        <is>
          <t>Done</t>
        </is>
      </c>
      <c r="I70" s="107" t="n"/>
      <c r="J70" s="107" t="n"/>
    </row>
    <row r="71" ht="60" customFormat="1" customHeight="1" s="95">
      <c r="B71" s="111" t="inlineStr">
        <is>
          <t>GC_062</t>
        </is>
      </c>
      <c r="C71" s="107" t="inlineStr">
        <is>
          <t>Global to Child / Relabel</t>
        </is>
      </c>
      <c r="D71" s="107" t="inlineStr">
        <is>
          <t>1. Relabel the parent account in global model.
2. Save global model changes.
3. Open an existing item using the model.
4. Verify the parent account shows the updated label.</t>
        </is>
      </c>
      <c r="E71" s="107" t="inlineStr">
        <is>
          <t>Parent account relabel in global model is reflected in existing items.</t>
        </is>
      </c>
      <c r="F71" s="93" t="inlineStr">
        <is>
          <t>Pending</t>
        </is>
      </c>
      <c r="G71" s="107" t="n"/>
      <c r="H71" s="93" t="inlineStr">
        <is>
          <t>Done</t>
        </is>
      </c>
      <c r="I71" s="107" t="n"/>
      <c r="J71" s="107" t="n"/>
    </row>
    <row r="72" ht="105" customFormat="1" customHeight="1" s="95">
      <c r="B72" s="111" t="inlineStr">
        <is>
          <t>GC_063</t>
        </is>
      </c>
      <c r="C72" s="107" t="inlineStr">
        <is>
          <t>Global to Child / Relabel</t>
        </is>
      </c>
      <c r="D72" s="107" t="inlineStr">
        <is>
          <t>1. Confirm the account is relabeled at customer level in the item.
2. Relabel the same parent account in global model.
3. Save global model changes.
4. Reopen the customer item.
5. Verify displayed name is the customer-level relabel, not the global label.</t>
        </is>
      </c>
      <c r="E72" s="107" t="inlineStr">
        <is>
          <t>Customer item level name is prioritized; the account displays the customer-level relabel in the item even after global relabel.</t>
        </is>
      </c>
      <c r="F72" s="93" t="inlineStr">
        <is>
          <t>Pending</t>
        </is>
      </c>
      <c r="G72" s="107" t="n"/>
      <c r="H72" s="93" t="inlineStr">
        <is>
          <t>Done</t>
        </is>
      </c>
      <c r="I72" s="107" t="n"/>
      <c r="J72" s="107" t="n"/>
    </row>
    <row r="73" ht="30" customFormat="1" customHeight="1" s="95">
      <c r="B73" s="111" t="inlineStr">
        <is>
          <t>GC_064</t>
        </is>
      </c>
      <c r="C73" s="107" t="inlineStr">
        <is>
          <t>Global to Child / Relabel</t>
        </is>
      </c>
      <c r="D73" s="107" t="inlineStr">
        <is>
          <t>1. Right-click the Empty row to open context menu.
2. Locate 'Relabel Row' option.</t>
        </is>
      </c>
      <c r="E73" s="107" t="inlineStr">
        <is>
          <t>Relabel Row' option is disabled for Empty row in context menu.</t>
        </is>
      </c>
      <c r="F73" s="93" t="inlineStr">
        <is>
          <t>Pending</t>
        </is>
      </c>
      <c r="G73" s="107" t="n"/>
      <c r="H73" s="93" t="inlineStr">
        <is>
          <t>Done</t>
        </is>
      </c>
      <c r="I73" s="107" t="n"/>
      <c r="J73" s="107" t="n"/>
    </row>
    <row r="74" ht="135" customFormat="1" customHeight="1" s="95">
      <c r="B74" s="111" t="inlineStr">
        <is>
          <t>GC_065</t>
        </is>
      </c>
      <c r="C74" s="107" t="inlineStr">
        <is>
          <t>Global to Child / Customer Dele Account</t>
        </is>
      </c>
      <c r="D74" s="107" t="inlineStr">
        <is>
          <t>1. Delete the account on Modify Model screen and save changes.
2. Open the existing customer item on Spreading screen.
3. Locate the deleted account.
4. Verify the account is disabled and greyed out (read-only) and not removed.
5. Attempt document navigation for the mapped value in the deleted account.</t>
        </is>
      </c>
      <c r="E74" s="107" t="inlineStr">
        <is>
          <t>Deleted account should appear on Spreading screen for the existing item when there is value mapped and should be greyed out.</t>
        </is>
      </c>
      <c r="F74" s="93" t="inlineStr">
        <is>
          <t>Pending</t>
        </is>
      </c>
      <c r="G74" s="107" t="n"/>
      <c r="H74" s="93" t="inlineStr">
        <is>
          <t>Done</t>
        </is>
      </c>
      <c r="I74" s="107" t="n"/>
      <c r="J74" s="107" t="n"/>
    </row>
    <row r="75" ht="75" customFormat="1" customHeight="1" s="95">
      <c r="B75" s="111" t="inlineStr">
        <is>
          <t>GC_066</t>
        </is>
      </c>
      <c r="C75" s="107" t="inlineStr">
        <is>
          <t>Global to Child / Customer Dele Account</t>
        </is>
      </c>
      <c r="D75" s="107" t="inlineStr">
        <is>
          <t>1. Delete the account on Modify Model screen and save changes.
2. Open the existing customer item on Spreading screen.
3. Search for the deleted account.</t>
        </is>
      </c>
      <c r="E75" s="107" t="inlineStr">
        <is>
          <t>Deleted account does not appear on Spreading screen for the existing item when there is no value mapped.</t>
        </is>
      </c>
      <c r="F75" s="93" t="inlineStr">
        <is>
          <t>Pending</t>
        </is>
      </c>
      <c r="G75" s="107" t="n"/>
      <c r="H75" s="93" t="inlineStr">
        <is>
          <t>Done</t>
        </is>
      </c>
      <c r="I75" s="107" t="n"/>
      <c r="J75" s="107" t="n"/>
    </row>
    <row r="76" ht="90" customFormat="1" customHeight="1" s="95">
      <c r="B76" s="111" t="inlineStr">
        <is>
          <t>GC_067</t>
        </is>
      </c>
      <c r="C76" s="107" t="inlineStr">
        <is>
          <t>Global to Child / Customer Dele Account</t>
        </is>
      </c>
      <c r="D76" s="107" t="inlineStr">
        <is>
          <t>1. Delete the parent account on Modify Model screen and save changes.
2. Open the customer item on Spreading screen.
3. Locate the parent and child accounts.
4. Verify both parent and child are disabled and greyed out and not deleted.</t>
        </is>
      </c>
      <c r="E76" s="107" t="inlineStr">
        <is>
          <t>Parent and child accounts are disabled and greyed out but not deleted when child accounts have mapped value.</t>
        </is>
      </c>
      <c r="F76" s="93" t="inlineStr">
        <is>
          <t>Pending</t>
        </is>
      </c>
      <c r="G76" s="107" t="n"/>
      <c r="H76" s="93" t="inlineStr">
        <is>
          <t>Done</t>
        </is>
      </c>
      <c r="I76" s="107" t="n"/>
      <c r="J76" s="107" t="n"/>
    </row>
    <row r="77" ht="60" customFormat="1" customHeight="1" s="95">
      <c r="B77" s="111" t="inlineStr">
        <is>
          <t>GC_068</t>
        </is>
      </c>
      <c r="C77" s="107" t="inlineStr">
        <is>
          <t>Global to Child / Customer Dele Account</t>
        </is>
      </c>
      <c r="D77" s="107" t="inlineStr">
        <is>
          <t>1. Delete the parent account on Modify Model screen and save changes.
2. Open the customer item on Spreading screen.
3. Search for the deleted parent and its child accounts.</t>
        </is>
      </c>
      <c r="E77" s="107" t="inlineStr">
        <is>
          <t>Parent and child accounts are deleted (not shown) from Spreading screen when child accounts have no mapped value.</t>
        </is>
      </c>
      <c r="F77" s="93" t="inlineStr">
        <is>
          <t>Pending</t>
        </is>
      </c>
      <c r="G77" s="107" t="n"/>
      <c r="H77" s="93" t="inlineStr">
        <is>
          <t>Done</t>
        </is>
      </c>
      <c r="I77" s="107" t="n"/>
      <c r="J77" s="107" t="n"/>
    </row>
    <row r="78" ht="120" customFormat="1" customHeight="1" s="95">
      <c r="B78" s="111" t="inlineStr">
        <is>
          <t>GC_069</t>
        </is>
      </c>
      <c r="C78" s="107" t="inlineStr">
        <is>
          <t>Global to Child / Load / Base / Spread</t>
        </is>
      </c>
      <c r="D78" s="107" t="inlineStr">
        <is>
          <t>Precondition : A parent or child account is deleted.
The deleted account has a mapped value for at least one existing period.
Load spread action is available.1. Click Load spread action.
2. Select a period to load (as per existing flow).
3. Locate the deleted account in the loaded period.
4. Observe how the value is displayed.</t>
        </is>
      </c>
      <c r="E78" s="107" t="inlineStr">
        <is>
          <t>Loaded period shows the deleted account's value as greyed out (read-only).</t>
        </is>
      </c>
      <c r="F78" s="93" t="inlineStr">
        <is>
          <t>Pending</t>
        </is>
      </c>
      <c r="G78" s="107" t="n"/>
      <c r="H78" s="93" t="inlineStr">
        <is>
          <t>Done</t>
        </is>
      </c>
      <c r="I78" s="107" t="n"/>
      <c r="J78" s="107" t="n"/>
    </row>
    <row r="79" ht="120" customFormat="1" customHeight="1" s="95">
      <c r="B79" s="111" t="inlineStr">
        <is>
          <t>GC_070</t>
        </is>
      </c>
      <c r="C79" s="107" t="inlineStr">
        <is>
          <t>Global to Child / Load / Base / Spread</t>
        </is>
      </c>
      <c r="D79" s="107" t="inlineStr">
        <is>
          <t>Preconditions : A parent or child account is deleted.
The deleted account has a mapped value for at least one existing period.
Base spread action is available.1. Click Base spread action.
2. Select a base period to load (as per existing flow).
3. Locate the deleted account in the loaded base period.
4. Observe how the value is displayed.</t>
        </is>
      </c>
      <c r="E79" s="107" t="inlineStr">
        <is>
          <t>Loaded base period shows the deleted account's value as greyed out (read-only).</t>
        </is>
      </c>
      <c r="F79" s="93" t="inlineStr">
        <is>
          <t>Pending</t>
        </is>
      </c>
      <c r="G79" s="107" t="n"/>
      <c r="H79" s="93" t="inlineStr">
        <is>
          <t>Done</t>
        </is>
      </c>
      <c r="I79" s="107" t="n"/>
      <c r="J79" s="107" t="n"/>
    </row>
    <row r="80" ht="105" customFormat="1" customHeight="1" s="95">
      <c r="B80" s="111" t="inlineStr">
        <is>
          <t>GC_071</t>
        </is>
      </c>
      <c r="C80" s="107" t="inlineStr">
        <is>
          <t>Global to Child / Load / Base / Spread</t>
        </is>
      </c>
      <c r="D80" s="107" t="inlineStr">
        <is>
          <t>Precondition :A parent or child account is deleted.
The deleted account has no mapped value for any existing period.
Load spread action is available.1. Click Load spread action.
2. Select a period to load (as per existing flow).
3. Search for the deleted account in the loaded period.</t>
        </is>
      </c>
      <c r="E80" s="107" t="inlineStr">
        <is>
          <t>Loaded period does not show the deleted account.</t>
        </is>
      </c>
      <c r="F80" s="93" t="inlineStr">
        <is>
          <t>Pending</t>
        </is>
      </c>
      <c r="G80" s="107" t="n"/>
      <c r="H80" s="93" t="inlineStr">
        <is>
          <t>Done</t>
        </is>
      </c>
      <c r="I80" s="107" t="n"/>
      <c r="J80" s="107" t="n"/>
    </row>
    <row r="81" ht="90" customFormat="1" customHeight="1" s="95">
      <c r="B81" s="111" t="inlineStr">
        <is>
          <t>GC_072</t>
        </is>
      </c>
      <c r="C81" s="107" t="inlineStr">
        <is>
          <t>Global to Child / Load / Base / Spread</t>
        </is>
      </c>
      <c r="D81" s="107" t="inlineStr">
        <is>
          <t>Precondition : Verify that when a line is deleted from the global model and mapping exists for that account, it is shown as disabled.1. Click Base spread action.
2. Select a base period to load (as per existing flow).
3. Search for the deleted account in the loaded base period.</t>
        </is>
      </c>
      <c r="E81" s="107" t="inlineStr">
        <is>
          <t>Loaded base period does not show the deleted account.</t>
        </is>
      </c>
      <c r="F81" s="93" t="inlineStr">
        <is>
          <t>Pending</t>
        </is>
      </c>
      <c r="G81" s="107" t="n"/>
      <c r="H81" s="93" t="inlineStr">
        <is>
          <t>Done</t>
        </is>
      </c>
      <c r="I81" s="107" t="n"/>
      <c r="J81" s="107" t="n"/>
    </row>
    <row r="82" ht="105" customFormat="1" customHeight="1" s="95">
      <c r="B82" s="111" t="inlineStr">
        <is>
          <t>GC_073</t>
        </is>
      </c>
      <c r="C82" s="107" t="inlineStr">
        <is>
          <t>Global to Child / Load / Base / Spread</t>
        </is>
      </c>
      <c r="D82" s="107" t="inlineStr">
        <is>
          <t>Precondition : Verify that when a line is deleted from the global model and no mapping exists for that account, it disappears.1. Delete the mapped line/account from the global model.
2. Navigate to the screen where mapping/configuration is displayed for the model.
3. Locate the deleted line/account.</t>
        </is>
      </c>
      <c r="E82" s="107" t="inlineStr">
        <is>
          <t>Deleted line/account is still shown if no mapping else Deleted line/account is still shown but displayed as disabled (because mapping exists for the account).</t>
        </is>
      </c>
      <c r="F82" s="93" t="inlineStr">
        <is>
          <t>Pending</t>
        </is>
      </c>
      <c r="G82" s="107" t="n"/>
      <c r="H82" s="93" t="inlineStr">
        <is>
          <t>Done</t>
        </is>
      </c>
      <c r="I82" s="107" t="n"/>
      <c r="J82" s="107" t="n"/>
    </row>
    <row r="83" ht="120" customFormat="1" customHeight="1" s="95">
      <c r="B83" s="111" t="inlineStr">
        <is>
          <t>GC_074</t>
        </is>
      </c>
      <c r="C83" s="107" t="inlineStr">
        <is>
          <t>Global to Child / Autofill / Mapping</t>
        </is>
      </c>
      <c r="D83" s="107" t="inlineStr">
        <is>
          <t>Preconditions: Verify that deleted accounts are excluded from Autofill and do not impact mapping or cause errors.1. Run Autofill on the relevant screen/process.
2. Observe whether deleted accounts are autofilled.
3. Verify no mapping is changed/impacted due to deleted accounts.
4. Verify no error is triggered due to deleted accounts.</t>
        </is>
      </c>
      <c r="E83" s="107" t="inlineStr">
        <is>
          <t>Deleted accounts are not autofilled.Deleted accounts do not impact any mapping.</t>
        </is>
      </c>
      <c r="F83" s="93" t="inlineStr">
        <is>
          <t>Pending</t>
        </is>
      </c>
      <c r="G83" s="107" t="n"/>
      <c r="H83" s="93" t="inlineStr">
        <is>
          <t>Done</t>
        </is>
      </c>
      <c r="I83" s="107" t="n"/>
      <c r="J83" s="107" t="n"/>
    </row>
    <row r="84" ht="120" customFormat="1" customHeight="1" s="95">
      <c r="B84" s="111" t="inlineStr">
        <is>
          <t>GC_075</t>
        </is>
      </c>
      <c r="C84" s="107" t="inlineStr">
        <is>
          <t>Global to Child / Autofill / Mapping</t>
        </is>
      </c>
      <c r="D84" s="107" t="inlineStr">
        <is>
          <t>Precondition : Verify that modification of template mapping works as existing functionality even after a global model line is deleted1. Navigate to template mapping modification feature.
2. Modify mapping for an account.
3. Save changes.
4. Reopen mapping screen to validate changes are retained.</t>
        </is>
      </c>
      <c r="E84" s="107" t="inlineStr">
        <is>
          <t>Template mapping modification works as existing functionality (no regression) after global model line deletion.</t>
        </is>
      </c>
      <c r="F84" s="93" t="inlineStr">
        <is>
          <t>Pending</t>
        </is>
      </c>
      <c r="G84" s="107" t="n"/>
      <c r="H84" s="93" t="inlineStr">
        <is>
          <t>Done</t>
        </is>
      </c>
      <c r="I84" s="107" t="n"/>
      <c r="J84" s="107" t="n"/>
    </row>
    <row r="85" ht="60" customFormat="1" customHeight="1" s="95">
      <c r="B85" s="111" t="inlineStr">
        <is>
          <t>GC_076</t>
        </is>
      </c>
      <c r="C85" s="107" t="inlineStr">
        <is>
          <t>Global to Child / Autofill / Mapping</t>
        </is>
      </c>
      <c r="D85" s="107" t="inlineStr">
        <is>
          <t>Preconditon : Verify that Autofill for remaining (non-deleted) accounts continues to work as existing.1. Run Autofill.
2. Verify Autofill results for non-deleted accounts.</t>
        </is>
      </c>
      <c r="E85" s="107" t="inlineStr">
        <is>
          <t>Autofill behaves as existing for non-deleted accounts.</t>
        </is>
      </c>
      <c r="F85" s="93" t="inlineStr">
        <is>
          <t>Pending</t>
        </is>
      </c>
      <c r="G85" s="107" t="n"/>
      <c r="H85" s="93" t="inlineStr">
        <is>
          <t>Done</t>
        </is>
      </c>
      <c r="I85" s="107" t="n"/>
      <c r="J85" s="107" t="n"/>
    </row>
    <row r="86" ht="135" customFormat="1" customHeight="1" s="95">
      <c r="B86" s="111" t="inlineStr">
        <is>
          <t>GC_077</t>
        </is>
      </c>
      <c r="C86" s="107" t="inlineStr">
        <is>
          <t>Global to Child / Autofill / Mapping</t>
        </is>
      </c>
      <c r="D86" s="107" t="inlineStr">
        <is>
          <t>Precondition : Verify master template export output matches configuration screen: deleted lines with mapping appear; deleted lines without mapping disappear.1. Navigate to the configuration/mapping screen and confirm current display state for the deleted lines (disabled vs disappeared).
2. Export the master template.
3. Open the exported file and locate the deleted lines/accounts.</t>
        </is>
      </c>
      <c r="E86" s="107" t="inlineStr">
        <is>
          <t>Master template export reflects as per configuration screen.Deleted line with mapping is present in export file.Deleted line without mapping is not present in export file.</t>
        </is>
      </c>
      <c r="F86" s="93" t="inlineStr">
        <is>
          <t>Pending</t>
        </is>
      </c>
      <c r="G86" s="107" t="n"/>
      <c r="H86" s="93" t="inlineStr">
        <is>
          <t>Done</t>
        </is>
      </c>
      <c r="I86" s="107" t="n"/>
      <c r="J86" s="107" t="n"/>
    </row>
    <row r="87" ht="120" customFormat="1" customHeight="1" s="95">
      <c r="B87" s="111" t="inlineStr">
        <is>
          <t>GC_078</t>
        </is>
      </c>
      <c r="C87" s="107" t="inlineStr">
        <is>
          <t>Global to Child / Export File</t>
        </is>
      </c>
      <c r="D87" s="107" t="inlineStr">
        <is>
          <t>Global model has an account "A" with value 100.
Modify the value of account "A" to 200 in the global model.
Export the statement.</t>
        </is>
      </c>
      <c r="E87" s="107" t="inlineStr">
        <is>
          <t>The exported statement should show account "A" with value.
200.</t>
        </is>
      </c>
      <c r="F87" s="93" t="inlineStr">
        <is>
          <t>Pending</t>
        </is>
      </c>
      <c r="G87" s="107" t="n"/>
      <c r="H87" s="93" t="inlineStr">
        <is>
          <t>Done</t>
        </is>
      </c>
      <c r="I87" s="107" t="n"/>
      <c r="J87" s="107" t="n"/>
    </row>
    <row r="88" ht="75" customFormat="1" customHeight="1" s="95">
      <c r="B88" s="111" t="inlineStr">
        <is>
          <t>GC_079</t>
        </is>
      </c>
      <c r="C88" s="107" t="inlineStr">
        <is>
          <t>Global to Child / Export File</t>
        </is>
      </c>
      <c r="D88" s="107" t="inlineStr">
        <is>
          <t>Preconditions: Global model does not have account "B".
Steps:
+D731. Add account "B" with value 50 to the global model.
2. Export the statement.</t>
        </is>
      </c>
      <c r="E88" s="107" t="inlineStr">
        <is>
          <t>The exported statement should include account "B" with value.
50.</t>
        </is>
      </c>
      <c r="F88" s="93" t="inlineStr">
        <is>
          <t>Pending</t>
        </is>
      </c>
      <c r="G88" s="107" t="n"/>
      <c r="H88" s="93" t="inlineStr">
        <is>
          <t>Done</t>
        </is>
      </c>
      <c r="I88" s="107" t="n"/>
      <c r="J88" s="107" t="n"/>
    </row>
    <row r="89" ht="120" customFormat="1" customHeight="1" s="95">
      <c r="B89" s="111" t="inlineStr">
        <is>
          <t>GC_080</t>
        </is>
      </c>
      <c r="C89" s="107" t="inlineStr">
        <is>
          <t>Global to Child / Export File</t>
        </is>
      </c>
      <c r="D89" s="107" t="inlineStr">
        <is>
          <t>O Preconditions: Statement has child account "C1" with value.
150.
O Steps:
1. Delete child account "C1" on the Spreading screen.
2. Export the statement.</t>
        </is>
      </c>
      <c r="E89" s="107" t="inlineStr">
        <is>
          <t>O Expected Result: The exported statement should show account "C1" with value 150 highlighted in red font color.</t>
        </is>
      </c>
      <c r="F89" s="93" t="inlineStr">
        <is>
          <t>Pending</t>
        </is>
      </c>
      <c r="G89" s="107" t="n"/>
      <c r="H89" s="93" t="inlineStr">
        <is>
          <t>Done</t>
        </is>
      </c>
      <c r="I89" s="107" t="n"/>
      <c r="J89" s="295" t="inlineStr">
        <is>
          <t>Automation Testing cannot detect the font colour due to access issue need to check the font colour manually</t>
        </is>
      </c>
    </row>
    <row r="90" ht="75" customFormat="1" customHeight="1" s="95">
      <c r="B90" s="111" t="inlineStr">
        <is>
          <t>GC_081</t>
        </is>
      </c>
      <c r="C90" s="107" t="inlineStr">
        <is>
          <t>Global to Child / Export File</t>
        </is>
      </c>
      <c r="D90" s="107" t="inlineStr">
        <is>
          <t>O Preconditions: Statement has child account "C1" without value.
O Steps:
1. Delete child account "C1" on the Spreading screen.
2. Export the statement.</t>
        </is>
      </c>
      <c r="E90" s="107" t="inlineStr">
        <is>
          <t>O Expected Result: The exported statement should not show account "C1" with any value or in red font color.</t>
        </is>
      </c>
      <c r="F90" s="93" t="inlineStr">
        <is>
          <t>Pending</t>
        </is>
      </c>
      <c r="G90" s="107" t="n"/>
      <c r="H90" s="93" t="inlineStr">
        <is>
          <t>Done</t>
        </is>
      </c>
      <c r="I90" s="107" t="n"/>
      <c r="J90" s="107" t="n"/>
    </row>
    <row r="91" ht="90" customFormat="1" customHeight="1" s="95">
      <c r="B91" s="111" t="inlineStr">
        <is>
          <t>GC_082</t>
        </is>
      </c>
      <c r="C91" s="107" t="inlineStr">
        <is>
          <t>Global to Child / Export File</t>
        </is>
      </c>
      <c r="D91" s="107" t="inlineStr">
        <is>
          <t>Child.
Account "C1" has value 100 USD and is deleted.
1. Delete.
Child account "C1" on the Spreading screen. &lt;br &gt; 2. Export.
The statement.</t>
        </is>
      </c>
      <c r="E91" s="107" t="inlineStr">
        <is>
          <t>The.
Exported Target Currency sheet should show account "C1" with value.
100 USD converted to Target Currency (e.g., 85 EUR).</t>
        </is>
      </c>
      <c r="F91" s="93" t="inlineStr">
        <is>
          <t>Pending</t>
        </is>
      </c>
      <c r="G91" s="107" t="n"/>
      <c r="H91" s="93" t="inlineStr">
        <is>
          <t>Done</t>
        </is>
      </c>
      <c r="I91" s="107" t="n"/>
      <c r="J91" s="107" t="n"/>
    </row>
    <row r="92" ht="45" customFormat="1" customHeight="1" s="95">
      <c r="B92" s="111" t="inlineStr">
        <is>
          <t>GC_083</t>
        </is>
      </c>
      <c r="C92" s="107" t="inlineStr">
        <is>
          <t>Global to Child / Export File</t>
        </is>
      </c>
      <c r="D92" s="107" t="inlineStr">
        <is>
          <t>Child account "C1" has no value and is deleted.
1. Delete child account "C1" on the Spreading screen. &lt;br &gt; 2. Export the statement.</t>
        </is>
      </c>
      <c r="E92" s="107" t="inlineStr">
        <is>
          <t>The exported Target Currency sheet should not show account "C1".</t>
        </is>
      </c>
      <c r="F92" s="93" t="inlineStr">
        <is>
          <t>Pending</t>
        </is>
      </c>
      <c r="G92" s="107" t="n"/>
      <c r="H92" s="93" t="inlineStr">
        <is>
          <t>Done</t>
        </is>
      </c>
      <c r="I92" s="107" t="n"/>
      <c r="J92" s="107" t="n"/>
    </row>
    <row r="93" ht="60" customFormat="1" customHeight="1" s="95">
      <c r="B93" s="111" t="inlineStr">
        <is>
          <t>GC_084</t>
        </is>
      </c>
      <c r="C93" s="107" t="inlineStr">
        <is>
          <t>Global to Child / Export File</t>
        </is>
      </c>
      <c r="D93" s="107" t="inlineStr">
        <is>
          <t>Statement has parent account "P1" with value 200.
1. Delete parent account "P1" in the global model.
2. Export the statement.</t>
        </is>
      </c>
      <c r="E93" s="107" t="inlineStr">
        <is>
          <t>The exported statement should show account "P1" with value 200 highlighted in red font color.</t>
        </is>
      </c>
      <c r="F93" s="93" t="inlineStr">
        <is>
          <t>Pending</t>
        </is>
      </c>
      <c r="G93" s="107" t="n"/>
      <c r="H93" s="93" t="inlineStr">
        <is>
          <t>Done</t>
        </is>
      </c>
      <c r="I93" s="107" t="n"/>
      <c r="J93" s="107" t="n"/>
    </row>
    <row r="94" ht="45" customFormat="1" customHeight="1" s="95">
      <c r="B94" s="111" t="inlineStr">
        <is>
          <t>GC_085</t>
        </is>
      </c>
      <c r="C94" s="107" t="inlineStr">
        <is>
          <t>Global to Child / Spreading / Export / Report</t>
        </is>
      </c>
      <c r="D94" s="107" t="inlineStr">
        <is>
          <t>1. Access.
Spreading screen.
2. Expand parent account.</t>
        </is>
      </c>
      <c r="E94" s="107" t="inlineStr">
        <is>
          <t>1. Child.
Accounts indented with two spaces prefix.</t>
        </is>
      </c>
      <c r="F94" s="93" t="inlineStr">
        <is>
          <t>Pending</t>
        </is>
      </c>
      <c r="G94" s="107" t="n"/>
      <c r="H94" s="93" t="inlineStr">
        <is>
          <t>Done</t>
        </is>
      </c>
      <c r="I94" s="107" t="n"/>
      <c r="J94" s="107" t="n"/>
    </row>
    <row r="95" ht="60" customFormat="1" customHeight="1" s="95">
      <c r="B95" s="111" t="inlineStr">
        <is>
          <t>GC_086</t>
        </is>
      </c>
      <c r="C95" s="107" t="inlineStr">
        <is>
          <t>Global to Child / Spreading / Export / Report</t>
        </is>
      </c>
      <c r="D95" s="107" t="inlineStr">
        <is>
          <t>1. Expand.
Parent account on Spreading screen.
2. Export statement.</t>
        </is>
      </c>
      <c r="E95" s="107" t="inlineStr">
        <is>
          <t>1. Child.
Accounts indented with two spaces in exported file.</t>
        </is>
      </c>
      <c r="F95" s="93" t="inlineStr">
        <is>
          <t>Pending</t>
        </is>
      </c>
      <c r="G95" s="107" t="n"/>
      <c r="H95" s="93" t="inlineStr">
        <is>
          <t>Done</t>
        </is>
      </c>
      <c r="I95" s="107" t="n"/>
      <c r="J95" s="107" t="n"/>
    </row>
    <row r="96" ht="60" customFormat="1" customHeight="1" s="95">
      <c r="B96" s="111" t="inlineStr">
        <is>
          <t>GC_087</t>
        </is>
      </c>
      <c r="C96" s="107" t="inlineStr">
        <is>
          <t>Global to Child / Spreading / Export / Report</t>
        </is>
      </c>
      <c r="D96" s="107" t="inlineStr">
        <is>
          <t>1. Expand.
Parent account on Spreading screen.
2. Generate Maker/Checker report.</t>
        </is>
      </c>
      <c r="E96" s="107" t="inlineStr">
        <is>
          <t>1. Child.
Accounts indented with two spaces in report.</t>
        </is>
      </c>
      <c r="F96" s="93" t="inlineStr">
        <is>
          <t>Pending</t>
        </is>
      </c>
      <c r="G96" s="107" t="n"/>
      <c r="H96" s="93" t="inlineStr">
        <is>
          <t>Done</t>
        </is>
      </c>
      <c r="I96" s="107" t="n"/>
      <c r="J96" s="107" t="n"/>
    </row>
    <row r="97" ht="75" customFormat="1" customHeight="1" s="95">
      <c r="B97" s="111" t="inlineStr">
        <is>
          <t>GC_088</t>
        </is>
      </c>
      <c r="C97" s="107" t="inlineStr">
        <is>
          <t>Global to Child / Spreading / Export / Report</t>
        </is>
      </c>
      <c r="D97" s="107" t="inlineStr">
        <is>
          <t>1. Expand.
Parent account.
2. Attempt to remove indentation spaces before child account.
Name.</t>
        </is>
      </c>
      <c r="E97" s="107" t="inlineStr">
        <is>
          <t>1. System.
Prevents removing indentation spaces.
2. Indentation remains fixed at two.
Spaces.</t>
        </is>
      </c>
      <c r="F97" s="93" t="inlineStr">
        <is>
          <t>Pending</t>
        </is>
      </c>
      <c r="G97" s="107" t="n"/>
      <c r="H97" s="93" t="inlineStr">
        <is>
          <t>Done</t>
        </is>
      </c>
      <c r="I97" s="107" t="n"/>
      <c r="J97" s="107" t="n"/>
    </row>
    <row r="98" ht="135" customFormat="1" customHeight="1" s="95">
      <c r="B98" s="111" t="inlineStr">
        <is>
          <t>GC_089</t>
        </is>
      </c>
      <c r="C98" s="107" t="inlineStr">
        <is>
          <t>Global to Child / Spreading / Export / Report</t>
        </is>
      </c>
      <c r="D98" s="107" t="inlineStr">
        <is>
          <t>1. Expand.
Parent account on Spreading screen.
2. Generate non-standard report.</t>
        </is>
      </c>
      <c r="E98" s="107" t="inlineStr">
        <is>
          <t>1. Child.
Accounts still indented with two spaces (Desired behavior).</t>
        </is>
      </c>
      <c r="F98" s="93" t="inlineStr">
        <is>
          <t>Pending</t>
        </is>
      </c>
      <c r="G98" s="107" t="n"/>
      <c r="H98" s="93" t="inlineStr">
        <is>
          <t>Blocked</t>
        </is>
      </c>
      <c r="I98" s="107" t="n"/>
      <c r="J98" s="107" t="inlineStr">
        <is>
          <t>Automation -Unable to find any case to test this scenario. Will implement this once we come across with this scenario</t>
        </is>
      </c>
    </row>
    <row r="99" ht="60" customFormat="1" customHeight="1" s="95">
      <c r="B99" s="111" t="inlineStr">
        <is>
          <t>GC_090</t>
        </is>
      </c>
      <c r="C99" s="107" t="inlineStr">
        <is>
          <t>Global to Child / Changes To Real Time To Non Real Time Changes</t>
        </is>
      </c>
      <c r="D99" s="107" t="inlineStr">
        <is>
          <t>Validate the change of model from real time to non-real time without creating the item.</t>
        </is>
      </c>
      <c r="E99" s="107" t="inlineStr">
        <is>
          <t>Verify that the user can change the model type.</t>
        </is>
      </c>
      <c r="F99" s="93" t="inlineStr">
        <is>
          <t>Pending</t>
        </is>
      </c>
      <c r="G99" s="107" t="n"/>
      <c r="H99" s="93" t="inlineStr">
        <is>
          <t>Done</t>
        </is>
      </c>
      <c r="I99" s="107" t="n"/>
      <c r="J99" s="107" t="n"/>
    </row>
    <row r="100" ht="66.75" customFormat="1" customHeight="1" s="95">
      <c r="B100" s="111" t="inlineStr">
        <is>
          <t>GC_091</t>
        </is>
      </c>
      <c r="C100" s="107" t="inlineStr">
        <is>
          <t>Global to Child / Changes To Real Time To Non Real Time Changes</t>
        </is>
      </c>
      <c r="D100" s="107" t="inlineStr">
        <is>
          <t>Create item with real time model.
When item is in received state - modify item.
Select non-real time model from dropdown and validate.</t>
        </is>
      </c>
      <c r="E100" s="107" t="inlineStr">
        <is>
          <t>Verify that the user can change the model type in tem when in received state.</t>
        </is>
      </c>
      <c r="F100" s="93" t="inlineStr">
        <is>
          <t>Pending</t>
        </is>
      </c>
      <c r="G100" s="107" t="n"/>
      <c r="H100" s="93" t="inlineStr">
        <is>
          <t>Done</t>
        </is>
      </c>
      <c r="I100" s="107" t="n"/>
      <c r="J100" s="107" t="n"/>
    </row>
    <row r="101" ht="58.5" customFormat="1" customHeight="1" s="95">
      <c r="B101" s="111" t="inlineStr">
        <is>
          <t>GC_092</t>
        </is>
      </c>
      <c r="C101" s="107" t="inlineStr">
        <is>
          <t>Global to Child / Changes To Real Time To Non Real Time Changes</t>
        </is>
      </c>
      <c r="D101" s="107" t="inlineStr">
        <is>
          <t>Again modify the item and change the model selection from non-real time to real time model from dropdown when item is in received state and validate.</t>
        </is>
      </c>
      <c r="E101" s="107" t="inlineStr">
        <is>
          <t>Verify that the user can change the model type in tem when in received state.</t>
        </is>
      </c>
      <c r="F101" s="93" t="inlineStr">
        <is>
          <t>Pending</t>
        </is>
      </c>
      <c r="G101" s="107" t="n"/>
      <c r="H101" s="93" t="inlineStr">
        <is>
          <t>Done</t>
        </is>
      </c>
      <c r="I101" s="107" t="n"/>
      <c r="J101" s="107" t="n"/>
    </row>
    <row r="102" ht="97.5" customFormat="1" customHeight="1" s="95">
      <c r="B102" s="111" t="inlineStr">
        <is>
          <t>GC_093</t>
        </is>
      </c>
      <c r="C102" s="107" t="inlineStr">
        <is>
          <t>Global to Child / Changes To Real Time To Non Real Time Changes</t>
        </is>
      </c>
      <c r="D102" s="107" t="inlineStr">
        <is>
          <t>Create multiple received state item for same customer i.e.1 item with non-real time model and other with real time model.
Modify the first/previously created item and change the model from dropdown from real time to non-real time when item is in received state.</t>
        </is>
      </c>
      <c r="E102" s="107" t="inlineStr">
        <is>
          <t>Verify that the user can change the model type in tem when in received state.</t>
        </is>
      </c>
      <c r="F102" s="93" t="inlineStr">
        <is>
          <t>Pending</t>
        </is>
      </c>
      <c r="G102" s="107" t="n"/>
      <c r="H102" s="93" t="inlineStr">
        <is>
          <t>Done</t>
        </is>
      </c>
      <c r="I102" s="107" t="n"/>
      <c r="J102" s="107" t="n"/>
    </row>
    <row r="103" ht="66.75" customFormat="1" customHeight="1" s="95">
      <c r="B103" s="111" t="inlineStr">
        <is>
          <t>GC_094</t>
        </is>
      </c>
      <c r="C103" s="107" t="inlineStr">
        <is>
          <t>Global to Child / Changes To Real Time To Non Real Time Changes</t>
        </is>
      </c>
      <c r="D103" s="107" t="inlineStr">
        <is>
          <t>Again modify the same item and change the model selection from non-real time to real time from the dropdown when item is in received state.</t>
        </is>
      </c>
      <c r="E103" s="107" t="inlineStr">
        <is>
          <t>Verify that the user can change the model type in tem when in received state.</t>
        </is>
      </c>
      <c r="F103" s="93" t="inlineStr">
        <is>
          <t>Pending</t>
        </is>
      </c>
      <c r="G103" s="107" t="n"/>
      <c r="H103" s="93" t="inlineStr">
        <is>
          <t>Done</t>
        </is>
      </c>
      <c r="I103" s="107" t="n"/>
      <c r="J103" s="107" t="n"/>
    </row>
    <row r="104" ht="105" customFormat="1" customHeight="1" s="95">
      <c r="B104" s="111" t="inlineStr">
        <is>
          <t>GC_095</t>
        </is>
      </c>
      <c r="C104" s="107" t="inlineStr">
        <is>
          <t>Load Spread Shows Only Items With The Same Model As Current Model</t>
        </is>
      </c>
      <c r="D104" s="107" t="inlineStr">
        <is>
          <t>Verify Load spread displays items that have the same model as the current model.
1. Open the item and navigate to Spreading screen.
2. Open Load spread action.
3. Review the list of items available for loading.</t>
        </is>
      </c>
      <c r="E104" s="107" t="inlineStr">
        <is>
          <t>Load spread list shows only items with the same model as the current model.
Items with different models are not shown.</t>
        </is>
      </c>
      <c r="F104" s="93" t="inlineStr">
        <is>
          <t>Pending</t>
        </is>
      </c>
      <c r="G104" s="107" t="n"/>
      <c r="H104" s="93" t="inlineStr">
        <is>
          <t>Done</t>
        </is>
      </c>
      <c r="I104" s="107" t="n"/>
      <c r="J104" s="107" t="n"/>
    </row>
    <row r="105" ht="117" customFormat="1" customHeight="1" s="95">
      <c r="B105" s="111" t="inlineStr">
        <is>
          <t>GC_096</t>
        </is>
      </c>
      <c r="C105" s="107" t="inlineStr">
        <is>
          <t>Base Spread Shows Only Items With The Same Model As Current Model</t>
        </is>
      </c>
      <c r="D105" s="107" t="inlineStr">
        <is>
          <t>There are multiple items available for base spread, including:
- At least one item with the same model as the current item.
- At least one item with a different model.
1. Open the item and navigate to Spreading screen.
2. Open Base spread action.
3. Review the list of items available for base spreading.</t>
        </is>
      </c>
      <c r="E105" s="107" t="inlineStr">
        <is>
          <t>Base spread list shows only items with the same model as the current model.
Items with different models are not shown.</t>
        </is>
      </c>
      <c r="F105" s="93" t="inlineStr">
        <is>
          <t>Pending</t>
        </is>
      </c>
      <c r="G105" s="107" t="n"/>
      <c r="H105" s="93" t="inlineStr">
        <is>
          <t>Done</t>
        </is>
      </c>
      <c r="I105" s="107" t="n"/>
      <c r="J105" s="107" t="n"/>
    </row>
    <row r="106" ht="60" customFormat="1" customHeight="1" s="95">
      <c r="B106" s="111" t="inlineStr">
        <is>
          <t>GC_097</t>
        </is>
      </c>
      <c r="C106" s="107" t="inlineStr">
        <is>
          <t>Global to Child / Changes To Real Time To Non Real Time Changes</t>
        </is>
      </c>
      <c r="D106" s="107" t="inlineStr">
        <is>
          <t>Change the status on one item from received to draft status.
Validate the model cannot be changed in draft status item.</t>
        </is>
      </c>
      <c r="E106" s="107" t="inlineStr">
        <is>
          <t>The user should not be able to change the model type.</t>
        </is>
      </c>
      <c r="F106" s="93" t="inlineStr">
        <is>
          <t>Pending</t>
        </is>
      </c>
      <c r="G106" s="107" t="n"/>
      <c r="H106" s="93" t="inlineStr">
        <is>
          <t>Done</t>
        </is>
      </c>
      <c r="I106" s="107" t="n"/>
      <c r="J106" s="107" t="n"/>
    </row>
    <row r="107" ht="195" customFormat="1" customHeight="1" s="95">
      <c r="B107" s="111" t="inlineStr">
        <is>
          <t>GC_098</t>
        </is>
      </c>
      <c r="C107" s="107" t="inlineStr">
        <is>
          <t>Global to Child / Changes To Real Time To Non Real Time Changes</t>
        </is>
      </c>
      <c r="D107" s="107" t="inlineStr">
        <is>
          <t>A non real time global model exists and is used by at least one existing customer.
At least one new customer can be created (new customer has no prior items for this model).
1. Make a change in the global model.
2. Open an existing item (or create a new item) for an existing customer that uses the model.
3. Verify the Spreading screen does not show the global model change.
4. Create a new item for a new customer using the same model.
5. Verify the Spreading screen shows the global model change.</t>
        </is>
      </c>
      <c r="E107" s="107" t="inlineStr">
        <is>
          <t>Existing customer items do not show the change.New customer items show the change made in the global model.</t>
        </is>
      </c>
      <c r="F107" s="93" t="inlineStr">
        <is>
          <t>Pending</t>
        </is>
      </c>
      <c r="G107" s="107" t="n"/>
      <c r="H107" s="93" t="inlineStr">
        <is>
          <t>Done</t>
        </is>
      </c>
      <c r="I107" s="107" t="n"/>
      <c r="J107" s="107" t="n"/>
    </row>
    <row r="108" ht="255" customFormat="1" customHeight="1" s="95">
      <c r="B108" s="111" t="inlineStr">
        <is>
          <t>GC_099</t>
        </is>
      </c>
      <c r="C108" s="107" t="inlineStr">
        <is>
          <t>Global to Child / Changes To Real Time To Non Real Time Changes</t>
        </is>
      </c>
      <c r="D108" s="107" t="inlineStr">
        <is>
          <t>A non real time global model exists and is already used in at least one customer item.
No linked item is currently in Spread state (or linked items are in Draft state) so editing is permitted per this story.
At least one Formula-type account exists in the model.
1. Open Modify Model screen for the global model.
2. Edit a Formula for a Formula-type account.
3. Save changes.
4. Open an existing item for an existing customer that already uses this model.
5. Verify the formula change is not reflected for the existing customer item.
6. Create a new item for a new customer using this model.
7. Verify the formula change is reflected for the new customer item.</t>
        </is>
      </c>
      <c r="E108" s="107" t="inlineStr">
        <is>
          <t>Formula edit is allowed and saved successfully.Existing customer items do not reflect the formula change.New customer items reflect the updated formula.</t>
        </is>
      </c>
      <c r="F108" s="93" t="inlineStr">
        <is>
          <t>Pending</t>
        </is>
      </c>
      <c r="G108" s="107" t="n"/>
      <c r="H108" s="93" t="inlineStr">
        <is>
          <t>Done</t>
        </is>
      </c>
      <c r="I108" s="107" t="n"/>
      <c r="J108" s="107" t="n"/>
    </row>
    <row r="109" ht="75" customFormat="1" customHeight="1" s="95">
      <c r="B109" s="111" t="inlineStr">
        <is>
          <t>GC_100</t>
        </is>
      </c>
      <c r="C109" s="107" t="inlineStr">
        <is>
          <t>Non - Real Time Model -Global to Child Modify Model Restrictions</t>
        </is>
      </c>
      <c r="D109" s="107" t="inlineStr">
        <is>
          <t>A global model exists and is linked to at least one customer item that is currently in Spread state.
1. Open Modify Model screen for the global model.
2. Attempt to delete an account/row from the model.
3. Attempt to save changes.</t>
        </is>
      </c>
      <c r="E109" s="107" t="inlineStr">
        <is>
          <t>System does not allow deleting accounts on Modify Model screen while any linked item is in Spread state.</t>
        </is>
      </c>
      <c r="F109" s="93" t="inlineStr">
        <is>
          <t>Pending</t>
        </is>
      </c>
      <c r="G109" s="107" t="n"/>
      <c r="H109" s="93" t="inlineStr">
        <is>
          <t>Done</t>
        </is>
      </c>
      <c r="I109" s="107" t="n"/>
      <c r="J109" s="107" t="n"/>
    </row>
    <row r="110" ht="90" customFormat="1" customHeight="1" s="95">
      <c r="B110" s="111" t="inlineStr">
        <is>
          <t>GC_101</t>
        </is>
      </c>
      <c r="C110" s="107" t="inlineStr">
        <is>
          <t>Non - Real Time Model -Global to Child Modify Model Restrictions</t>
        </is>
      </c>
      <c r="D110" s="107" t="inlineStr">
        <is>
          <t>A global model exists and at least one customer has an item in Spread state using this model.
1. Open Modify Model screen for the global model.
2. Attempt to change Account Type for an existing account.
3. Attempt to save changes.</t>
        </is>
      </c>
      <c r="E110" s="107" t="inlineStr">
        <is>
          <t>System does not allow changing Account Type while any linked item is in Spread state.</t>
        </is>
      </c>
      <c r="F110" s="93" t="inlineStr">
        <is>
          <t>Pending</t>
        </is>
      </c>
      <c r="G110" s="107" t="n"/>
      <c r="H110" s="93" t="inlineStr">
        <is>
          <t>Done</t>
        </is>
      </c>
      <c r="I110" s="107" t="n"/>
      <c r="J110" s="107" t="n"/>
    </row>
    <row r="111" ht="75" customFormat="1" customHeight="1" s="95">
      <c r="B111" s="111" t="inlineStr">
        <is>
          <t>GC_102</t>
        </is>
      </c>
      <c r="C111" s="107" t="inlineStr">
        <is>
          <t>Non - Real Time Model -Global to Child Modify Model Restrictions</t>
        </is>
      </c>
      <c r="D111" s="107" t="inlineStr">
        <is>
          <t>A global model exists and at least one customer has an item in Spread state using this model.
1. Open Modify Model screen for the global model.
2. Attempt to change Data Type for an existing account.
3. Attempt to save changes.</t>
        </is>
      </c>
      <c r="E111" s="107" t="inlineStr">
        <is>
          <t>System does not allow changing Data Type while any linked item is in Spread state.</t>
        </is>
      </c>
      <c r="F111" s="93" t="inlineStr">
        <is>
          <t>Pending</t>
        </is>
      </c>
      <c r="G111" s="107" t="n"/>
      <c r="H111" s="93" t="inlineStr">
        <is>
          <t>Done</t>
        </is>
      </c>
      <c r="I111" s="107" t="n"/>
      <c r="J111" s="107" t="n"/>
    </row>
    <row r="112" ht="90" customFormat="1" customHeight="1" s="95">
      <c r="B112" s="111" t="inlineStr">
        <is>
          <t>GC_103</t>
        </is>
      </c>
      <c r="C112" s="314" t="inlineStr">
        <is>
          <t>Non - Real Time Model -Global to Child Modify Model Restrictions</t>
        </is>
      </c>
      <c r="D112" s="107" t="inlineStr">
        <is>
          <t>A global model exists and at least one customer has an item in Spread state using this model.
At least one account with Formula exists in the model.
1. Open Modify Model screen for the global model.
2. Attempt to edit a formula for a Formula-type account.
3. Attempt to save changes.</t>
        </is>
      </c>
      <c r="E112" s="107" t="inlineStr">
        <is>
          <t>System does not allow changing Formula while any linked item is in Spread state.</t>
        </is>
      </c>
      <c r="F112" s="93" t="inlineStr">
        <is>
          <t>Pending</t>
        </is>
      </c>
      <c r="G112" s="107" t="n"/>
      <c r="H112" s="93" t="inlineStr">
        <is>
          <t>Done</t>
        </is>
      </c>
      <c r="I112" s="107" t="n"/>
      <c r="J112" s="107" t="n"/>
    </row>
    <row r="113" ht="60" customFormat="1" customHeight="1" s="95">
      <c r="B113" s="111" t="inlineStr">
        <is>
          <t>GC_104</t>
        </is>
      </c>
      <c r="C113" s="315" t="inlineStr">
        <is>
          <t>Non - Real Time Model -Global to Child Modify Model Restrictions</t>
        </is>
      </c>
      <c r="D113" s="107" t="inlineStr">
        <is>
          <t>A global model exists and is linked to at least one customer item.
The linked item was previously in Spread state but is now changed to Draft state.</t>
        </is>
      </c>
      <c r="E113" s="107" t="inlineStr">
        <is>
          <t>Account deletion is allowed again in the global model when linked item spread state is Draft.</t>
        </is>
      </c>
      <c r="F113" s="93" t="inlineStr">
        <is>
          <t>Pending</t>
        </is>
      </c>
      <c r="G113" s="107" t="n"/>
      <c r="H113" s="93" t="inlineStr">
        <is>
          <t>Done</t>
        </is>
      </c>
      <c r="I113" s="107" t="n"/>
      <c r="J113" s="107" t="n"/>
    </row>
    <row r="114" ht="60" customFormat="1" customHeight="1" s="95">
      <c r="B114" s="111" t="inlineStr">
        <is>
          <t>GC_105</t>
        </is>
      </c>
      <c r="C114" s="107" t="inlineStr">
        <is>
          <t>Global to Child / Disable Model Through Admin</t>
        </is>
      </c>
      <c r="D114" s="107" t="inlineStr">
        <is>
          <t>A global model exists and at least one spread using this model is in Draft stage.
1. As Admin, attempt to disable the global model.
2. Observe system behavior/result.</t>
        </is>
      </c>
      <c r="E114" s="107" t="inlineStr">
        <is>
          <t>System does not allow disabling the global model while any spread is in Draft stage.</t>
        </is>
      </c>
      <c r="F114" s="93" t="inlineStr">
        <is>
          <t>Pending</t>
        </is>
      </c>
      <c r="G114" s="107" t="n"/>
      <c r="H114" s="93" t="inlineStr">
        <is>
          <t>Done</t>
        </is>
      </c>
      <c r="I114" s="107" t="n"/>
      <c r="J114" s="107" t="n"/>
    </row>
    <row r="115" ht="120" customFormat="1" customHeight="1" s="95">
      <c r="B115" s="111" t="inlineStr">
        <is>
          <t>GC_106</t>
        </is>
      </c>
      <c r="C115" s="107" t="inlineStr">
        <is>
          <t>Global to Child / Disable Model Through Admin</t>
        </is>
      </c>
      <c r="D115" s="107" t="inlineStr">
        <is>
          <t>1. A global model exists and has been disabled by Admin.
2. Modify customer item flow and open the Model field.
3. Verify the disabled model is not available for selection.
4. Attempt to perform spreading using the disabled model (any flow that normally allows spreading with that model).</t>
        </is>
      </c>
      <c r="E115" s="107" t="inlineStr">
        <is>
          <t>Disabled model does not appear in the Model field for Add/Modify customer item.Spreading with the disabled model is not possible.</t>
        </is>
      </c>
      <c r="F115" s="93" t="inlineStr">
        <is>
          <t>Pending</t>
        </is>
      </c>
      <c r="G115" s="107" t="n"/>
      <c r="H115" s="93" t="inlineStr">
        <is>
          <t>Done</t>
        </is>
      </c>
      <c r="I115" s="107" t="n"/>
      <c r="J115" s="107" t="n"/>
    </row>
    <row r="116" ht="75" customFormat="1" customHeight="1" s="95">
      <c r="B116" s="111" t="inlineStr">
        <is>
          <t>GC_107</t>
        </is>
      </c>
      <c r="C116" s="107" t="inlineStr">
        <is>
          <t>Global to Child / Disable Model Through Admin</t>
        </is>
      </c>
      <c r="D116" s="107" t="inlineStr">
        <is>
          <t>1. A global model exists and has been disabled by Admin.
2. Navigate to Statement export functionality.
3. Select the disabled model for export.
4. Execute export.</t>
        </is>
      </c>
      <c r="E116" s="107" t="inlineStr">
        <is>
          <t>Export completes successfully for the disabled model.</t>
        </is>
      </c>
      <c r="F116" s="93" t="inlineStr">
        <is>
          <t>Pending</t>
        </is>
      </c>
      <c r="G116" s="107" t="n"/>
      <c r="H116" s="93" t="inlineStr">
        <is>
          <t>Done</t>
        </is>
      </c>
      <c r="I116" s="107" t="n"/>
      <c r="J116" s="107" t="n"/>
    </row>
    <row r="117" ht="120" customFormat="1" customHeight="1" s="95">
      <c r="B117" s="111" t="inlineStr">
        <is>
          <t>GC_108</t>
        </is>
      </c>
      <c r="C117" s="107" t="inlineStr">
        <is>
          <t>Global to Child</t>
        </is>
      </c>
      <c r="D117" s="107" t="inlineStr">
        <is>
          <t>Logged into the URL.
Https://ssdevwebapps.evalueserve.com/qaq323/model/modelView.
Go to the spreading tab.
Go to the creating model.
Select yes as global to child syn popup.
Go to existing model.
Observed real time sync icon is missing.</t>
        </is>
      </c>
      <c r="E117" s="107" t="inlineStr">
        <is>
          <t>Icon sould be visible.</t>
        </is>
      </c>
      <c r="F117" s="93" t="inlineStr">
        <is>
          <t>Pending</t>
        </is>
      </c>
      <c r="G117" s="107" t="inlineStr">
        <is>
          <t>bug id -137829</t>
        </is>
      </c>
      <c r="H117" s="93" t="inlineStr">
        <is>
          <t>Done</t>
        </is>
      </c>
      <c r="I117" s="107" t="n"/>
      <c r="J117" s="107" t="n"/>
    </row>
    <row r="118" ht="105" customFormat="1" customHeight="1" s="95">
      <c r="B118" s="111" t="inlineStr">
        <is>
          <t>GC_109</t>
        </is>
      </c>
      <c r="C118" s="107" t="inlineStr">
        <is>
          <t>Global to Child</t>
        </is>
      </c>
      <c r="D118" s="107" t="inlineStr">
        <is>
          <t>Open the URL:
https://ssdevwebapps.evalueserve.com/qaq323/item
Go to Existing Customer.
Add a new item.
Go to the Model dropdown.
Review whether the created Global to Child model is visible.</t>
        </is>
      </c>
      <c r="E118" s="107" t="inlineStr">
        <is>
          <t>The created Global to Child model should be visible.</t>
        </is>
      </c>
      <c r="F118" s="93" t="inlineStr">
        <is>
          <t>Pending</t>
        </is>
      </c>
      <c r="G118" s="107" t="inlineStr">
        <is>
          <t>Bug id - 137837</t>
        </is>
      </c>
      <c r="H118" s="93" t="inlineStr">
        <is>
          <t>Done</t>
        </is>
      </c>
      <c r="I118" s="107" t="n"/>
      <c r="J118" s="107" t="n"/>
    </row>
    <row r="119" ht="120" customFormat="1" customHeight="1" s="95">
      <c r="B119" s="111" t="inlineStr">
        <is>
          <t>GC_110</t>
        </is>
      </c>
      <c r="C119" s="107" t="inlineStr">
        <is>
          <t>Global to Child</t>
        </is>
      </c>
      <c r="D119" s="107" t="inlineStr">
        <is>
          <t>Open the URL:
https://ssdevwebapps.evalueserve.com/qaq323/spread
Go to the Spreading tab.
Open the Spread screen.
Add a Relabel line item.
Review whether Type, Data Type, Data Length, and Conversion values are displayed but disabled.</t>
        </is>
      </c>
      <c r="E119" s="107" t="inlineStr">
        <is>
          <t>Type, Data Type, Data Length, and Conversion values should be displayed but disabled.</t>
        </is>
      </c>
      <c r="F119" s="93" t="inlineStr">
        <is>
          <t>Pending</t>
        </is>
      </c>
      <c r="G119" s="107" t="inlineStr">
        <is>
          <t>Bug id- 139052</t>
        </is>
      </c>
      <c r="H119" s="93" t="inlineStr">
        <is>
          <t>Done</t>
        </is>
      </c>
      <c r="I119" s="107" t="n"/>
      <c r="J119" s="107" t="n"/>
    </row>
  </sheetData>
  <mergeCells count="7">
    <mergeCell ref="B6:C6"/>
    <mergeCell ref="B7:C7"/>
    <mergeCell ref="B2:F2"/>
    <mergeCell ref="B3:C3"/>
    <mergeCell ref="B5:C5"/>
    <mergeCell ref="B8:C8"/>
    <mergeCell ref="B4:C4"/>
  </mergeCells>
  <conditionalFormatting sqref="D4">
    <cfRule type="cellIs" priority="55" operator="lessThan" dxfId="10" stopIfTrue="1">
      <formula>1</formula>
    </cfRule>
  </conditionalFormatting>
  <conditionalFormatting sqref="D4:D8">
    <cfRule type="cellIs" priority="50" operator="greaterThan" dxfId="9" stopIfTrue="1">
      <formula>0</formula>
    </cfRule>
    <cfRule type="cellIs" priority="51" operator="greaterThan" dxfId="9" stopIfTrue="1">
      <formula>1</formula>
    </cfRule>
    <cfRule type="cellIs" priority="52" operator="greaterThan" dxfId="10" stopIfTrue="1">
      <formula>0</formula>
    </cfRule>
    <cfRule type="cellIs" priority="53" operator="greaterThan" dxfId="10" stopIfTrue="1">
      <formula>1</formula>
    </cfRule>
    <cfRule type="cellIs" priority="54" operator="equal" dxfId="9" stopIfTrue="1">
      <formula>$C$3</formula>
    </cfRule>
  </conditionalFormatting>
  <conditionalFormatting sqref="D5">
    <cfRule type="cellIs" priority="27" operator="lessThan" dxfId="10" stopIfTrue="1">
      <formula>1</formula>
    </cfRule>
  </conditionalFormatting>
  <conditionalFormatting sqref="D5:E8">
    <cfRule type="cellIs" priority="31" operator="lessThan" dxfId="10" stopIfTrue="1">
      <formula>1</formula>
    </cfRule>
  </conditionalFormatting>
  <conditionalFormatting sqref="E4">
    <cfRule type="cellIs" priority="48" operator="equal" dxfId="9" stopIfTrue="1">
      <formula>1</formula>
    </cfRule>
    <cfRule type="cellIs" priority="49" operator="lessThan" dxfId="10" stopIfTrue="1">
      <formula>1</formula>
    </cfRule>
  </conditionalFormatting>
  <conditionalFormatting sqref="E5:E8">
    <cfRule type="cellIs" priority="28" operator="equal" dxfId="9" stopIfTrue="1">
      <formula>1</formula>
    </cfRule>
    <cfRule type="cellIs" priority="29" operator="lessThan" dxfId="10" stopIfTrue="1">
      <formula>1</formula>
    </cfRule>
    <cfRule type="cellIs" priority="30" operator="equal" dxfId="9" stopIfTrue="1">
      <formula>1</formula>
    </cfRule>
  </conditionalFormatting>
  <conditionalFormatting sqref="E4:F4">
    <cfRule type="cellIs" priority="46" operator="equal" dxfId="9" stopIfTrue="1">
      <formula>1</formula>
    </cfRule>
    <cfRule type="cellIs" priority="47" operator="lessThan" dxfId="10" stopIfTrue="1">
      <formula>1</formula>
    </cfRule>
  </conditionalFormatting>
  <conditionalFormatting sqref="F4">
    <cfRule type="cellIs" priority="44" operator="equal" dxfId="9" stopIfTrue="1">
      <formula>1</formula>
    </cfRule>
    <cfRule type="cellIs" priority="45" operator="lessThan" dxfId="10" stopIfTrue="1">
      <formula>1</formula>
    </cfRule>
  </conditionalFormatting>
  <conditionalFormatting sqref="F5">
    <cfRule type="cellIs" priority="40" operator="greaterThan" dxfId="10" stopIfTrue="1">
      <formula>0</formula>
    </cfRule>
    <cfRule type="cellIs" priority="41" operator="equal" dxfId="9" stopIfTrue="1">
      <formula>0</formula>
    </cfRule>
    <cfRule type="cellIs" priority="42" operator="greaterThan" dxfId="10" stopIfTrue="1">
      <formula>0</formula>
    </cfRule>
    <cfRule type="cellIs" priority="43" operator="equal" dxfId="9" stopIfTrue="1">
      <formula>0</formula>
    </cfRule>
  </conditionalFormatting>
  <conditionalFormatting sqref="F6">
    <cfRule type="cellIs" priority="38" operator="equal" dxfId="9" stopIfTrue="1">
      <formula>0</formula>
    </cfRule>
    <cfRule type="cellIs" priority="39" operator="greaterThan" dxfId="22" stopIfTrue="1">
      <formula>0</formula>
    </cfRule>
  </conditionalFormatting>
  <conditionalFormatting sqref="F6:F7">
    <cfRule type="cellIs" priority="36" operator="equal" dxfId="9" stopIfTrue="1">
      <formula>0</formula>
    </cfRule>
    <cfRule type="cellIs" priority="37" operator="greaterThan" dxfId="22" stopIfTrue="1">
      <formula>0</formula>
    </cfRule>
  </conditionalFormatting>
  <conditionalFormatting sqref="F7:F8">
    <cfRule type="cellIs" priority="34" operator="equal" dxfId="9" stopIfTrue="1">
      <formula>0</formula>
    </cfRule>
    <cfRule type="cellIs" priority="35" operator="greaterThan" dxfId="22" stopIfTrue="1">
      <formula>0</formula>
    </cfRule>
  </conditionalFormatting>
  <conditionalFormatting sqref="F8">
    <cfRule type="cellIs" priority="32" operator="equal" dxfId="9" stopIfTrue="1">
      <formula>0</formula>
    </cfRule>
    <cfRule type="cellIs" priority="33" operator="greaterThan" dxfId="22" stopIfTrue="1">
      <formula>0</formula>
    </cfRule>
  </conditionalFormatting>
  <conditionalFormatting sqref="F10:F119">
    <cfRule type="cellIs" priority="1" operator="equal" dxfId="6" stopIfTrue="1">
      <formula>"NA"</formula>
    </cfRule>
    <cfRule type="cellIs" priority="2" operator="equal" dxfId="5" stopIfTrue="1">
      <formula>"Blocked"</formula>
    </cfRule>
    <cfRule type="cellIs" priority="3" operator="equal" dxfId="4" stopIfTrue="1">
      <formula>"Pending"</formula>
    </cfRule>
    <cfRule type="cellIs" priority="4" operator="equal" dxfId="0" stopIfTrue="1">
      <formula>"Passed"</formula>
    </cfRule>
    <cfRule type="cellIs" priority="5" operator="equal" dxfId="1" stopIfTrue="1">
      <formula>"Failed"</formula>
    </cfRule>
    <cfRule type="cellIs" priority="6" operator="equal" dxfId="1" stopIfTrue="1">
      <formula>"Fail"</formula>
    </cfRule>
    <cfRule type="cellIs" priority="7" operator="equal" dxfId="0" stopIfTrue="1">
      <formula>"Pass"</formula>
    </cfRule>
  </conditionalFormatting>
  <conditionalFormatting sqref="G5:G8">
    <cfRule type="cellIs" priority="21" operator="lessThan" dxfId="10" stopIfTrue="1">
      <formula>1</formula>
    </cfRule>
    <cfRule type="cellIs" priority="22" operator="greaterThan" dxfId="9" stopIfTrue="1">
      <formula>0</formula>
    </cfRule>
    <cfRule type="cellIs" priority="23" operator="greaterThan" dxfId="9" stopIfTrue="1">
      <formula>1</formula>
    </cfRule>
    <cfRule type="cellIs" priority="24" operator="greaterThan" dxfId="10" stopIfTrue="1">
      <formula>0</formula>
    </cfRule>
    <cfRule type="cellIs" priority="25" operator="greaterThan" dxfId="10" stopIfTrue="1">
      <formula>1</formula>
    </cfRule>
    <cfRule type="cellIs" priority="26" operator="equal" dxfId="9" stopIfTrue="1">
      <formula>$C$3</formula>
    </cfRule>
  </conditionalFormatting>
  <conditionalFormatting sqref="H10:H119">
    <cfRule type="cellIs" priority="12" operator="equal" dxfId="0">
      <formula>"Done"</formula>
    </cfRule>
    <cfRule type="cellIs" priority="13" operator="equal" dxfId="7">
      <formula>"Pending"</formula>
    </cfRule>
    <cfRule type="cellIs" priority="14" operator="equal" dxfId="6" stopIfTrue="1">
      <formula>"NA"</formula>
    </cfRule>
    <cfRule type="cellIs" priority="15" operator="equal" dxfId="5" stopIfTrue="1">
      <formula>"Blocked"</formula>
    </cfRule>
    <cfRule type="cellIs" priority="16" operator="equal" dxfId="4" stopIfTrue="1">
      <formula>"Pending"</formula>
    </cfRule>
    <cfRule type="cellIs" priority="17" operator="equal" dxfId="0" stopIfTrue="1">
      <formula>"Passed"</formula>
    </cfRule>
    <cfRule type="cellIs" priority="18" operator="equal" dxfId="1" stopIfTrue="1">
      <formula>"Failed"</formula>
    </cfRule>
    <cfRule type="cellIs" priority="19" operator="equal" dxfId="1" stopIfTrue="1">
      <formula>"Fail"</formula>
    </cfRule>
    <cfRule type="cellIs" priority="20" operator="equal" dxfId="0" stopIfTrue="1">
      <formula>"Pass"</formula>
    </cfRule>
  </conditionalFormatting>
  <dataValidations count="2">
    <dataValidation sqref="H10:H119" showDropDown="0" showInputMessage="1" showErrorMessage="1" allowBlank="1" type="list">
      <formula1>"Done,Blocked,Pending,Out of Scope"</formula1>
    </dataValidation>
    <dataValidation sqref="F10:F119" showDropDown="0" showInputMessage="1" showErrorMessage="1" allowBlank="1" type="list">
      <formula1>"Passed,Failed,Blocked,Pending,NA"</formula1>
    </dataValidation>
  </dataValidation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B2:N442"/>
  <sheetViews>
    <sheetView showGridLines="0" zoomScale="90" zoomScaleNormal="90" workbookViewId="0">
      <pane ySplit="9" topLeftCell="A12" activePane="bottomLeft" state="frozen"/>
      <selection pane="bottomLeft" activeCell="H14" sqref="H14"/>
    </sheetView>
  </sheetViews>
  <sheetFormatPr baseColWidth="8" defaultRowHeight="15"/>
  <cols>
    <col width="4" customWidth="1" min="1" max="1"/>
    <col width="4.28515625" customWidth="1" style="38" min="2" max="2"/>
    <col width="40.28515625" customWidth="1" min="3" max="3"/>
    <col width="24.7109375" customWidth="1" min="4" max="4"/>
    <col width="17.5703125" customWidth="1" min="5" max="5"/>
    <col width="14.140625" customWidth="1" min="6" max="6"/>
    <col width="16.42578125" customWidth="1" min="7" max="7"/>
    <col width="12.5703125" customWidth="1" min="8" max="8"/>
    <col width="12.140625" customWidth="1" min="9" max="9"/>
    <col width="19.85546875" customWidth="1" min="10" max="10"/>
    <col width="9.5703125" customWidth="1" min="11" max="11"/>
    <col width="20.85546875" customWidth="1" min="12" max="12"/>
    <col width="20.42578125" customWidth="1" min="13" max="13"/>
    <col width="9" customWidth="1" min="14" max="14"/>
    <col width="14.42578125" customWidth="1" min="15" max="15"/>
    <col width="2.85546875" customWidth="1" min="260" max="260"/>
    <col width="42.5703125" customWidth="1" min="261" max="261"/>
    <col width="23.85546875" customWidth="1" min="262" max="262"/>
    <col width="25" customWidth="1" min="263" max="263"/>
    <col width="24.42578125" customWidth="1" min="264" max="264"/>
    <col width="20.28515625" customWidth="1" min="265" max="265"/>
    <col width="18.140625" bestFit="1" customWidth="1" min="266" max="266"/>
    <col width="17.5703125" customWidth="1" min="267" max="267"/>
    <col width="19.85546875" customWidth="1" min="268" max="268"/>
    <col width="16.140625" customWidth="1" min="269" max="269"/>
    <col width="16.140625" bestFit="1" customWidth="1" min="270" max="270"/>
    <col width="14.42578125" customWidth="1" min="271" max="271"/>
    <col width="2.85546875" customWidth="1" min="516" max="516"/>
    <col width="42.5703125" customWidth="1" min="517" max="517"/>
    <col width="23.85546875" customWidth="1" min="518" max="518"/>
    <col width="25" customWidth="1" min="519" max="519"/>
    <col width="24.42578125" customWidth="1" min="520" max="520"/>
    <col width="20.28515625" customWidth="1" min="521" max="521"/>
    <col width="18.140625" bestFit="1" customWidth="1" min="522" max="522"/>
    <col width="17.5703125" customWidth="1" min="523" max="523"/>
    <col width="19.85546875" customWidth="1" min="524" max="524"/>
    <col width="16.140625" customWidth="1" min="525" max="525"/>
    <col width="16.140625" bestFit="1" customWidth="1" min="526" max="526"/>
    <col width="14.42578125" customWidth="1" min="527" max="527"/>
    <col width="2.85546875" customWidth="1" min="772" max="772"/>
    <col width="42.5703125" customWidth="1" min="773" max="773"/>
    <col width="23.85546875" customWidth="1" min="774" max="774"/>
    <col width="25" customWidth="1" min="775" max="775"/>
    <col width="24.42578125" customWidth="1" min="776" max="776"/>
    <col width="20.28515625" customWidth="1" min="777" max="777"/>
    <col width="18.140625" bestFit="1" customWidth="1" min="778" max="778"/>
    <col width="17.5703125" customWidth="1" min="779" max="779"/>
    <col width="19.85546875" customWidth="1" min="780" max="780"/>
    <col width="16.140625" customWidth="1" min="781" max="781"/>
    <col width="16.140625" bestFit="1" customWidth="1" min="782" max="782"/>
    <col width="14.42578125" customWidth="1" min="783" max="783"/>
    <col width="2.85546875" customWidth="1" min="1028" max="1028"/>
    <col width="42.5703125" customWidth="1" min="1029" max="1029"/>
    <col width="23.85546875" customWidth="1" min="1030" max="1030"/>
    <col width="25" customWidth="1" min="1031" max="1031"/>
    <col width="24.42578125" customWidth="1" min="1032" max="1032"/>
    <col width="20.28515625" customWidth="1" min="1033" max="1033"/>
    <col width="18.140625" bestFit="1" customWidth="1" min="1034" max="1034"/>
    <col width="17.5703125" customWidth="1" min="1035" max="1035"/>
    <col width="19.85546875" customWidth="1" min="1036" max="1036"/>
    <col width="16.140625" customWidth="1" min="1037" max="1037"/>
    <col width="16.140625" bestFit="1" customWidth="1" min="1038" max="1038"/>
    <col width="14.42578125" customWidth="1" min="1039" max="1039"/>
    <col width="2.85546875" customWidth="1" min="1284" max="1284"/>
    <col width="42.5703125" customWidth="1" min="1285" max="1285"/>
    <col width="23.85546875" customWidth="1" min="1286" max="1286"/>
    <col width="25" customWidth="1" min="1287" max="1287"/>
    <col width="24.42578125" customWidth="1" min="1288" max="1288"/>
    <col width="20.28515625" customWidth="1" min="1289" max="1289"/>
    <col width="18.140625" bestFit="1" customWidth="1" min="1290" max="1290"/>
    <col width="17.5703125" customWidth="1" min="1291" max="1291"/>
    <col width="19.85546875" customWidth="1" min="1292" max="1292"/>
    <col width="16.140625" customWidth="1" min="1293" max="1293"/>
    <col width="16.140625" bestFit="1" customWidth="1" min="1294" max="1294"/>
    <col width="14.42578125" customWidth="1" min="1295" max="1295"/>
    <col width="2.85546875" customWidth="1" min="1540" max="1540"/>
    <col width="42.5703125" customWidth="1" min="1541" max="1541"/>
    <col width="23.85546875" customWidth="1" min="1542" max="1542"/>
    <col width="25" customWidth="1" min="1543" max="1543"/>
    <col width="24.42578125" customWidth="1" min="1544" max="1544"/>
    <col width="20.28515625" customWidth="1" min="1545" max="1545"/>
    <col width="18.140625" bestFit="1" customWidth="1" min="1546" max="1546"/>
    <col width="17.5703125" customWidth="1" min="1547" max="1547"/>
    <col width="19.85546875" customWidth="1" min="1548" max="1548"/>
    <col width="16.140625" customWidth="1" min="1549" max="1549"/>
    <col width="16.140625" bestFit="1" customWidth="1" min="1550" max="1550"/>
    <col width="14.42578125" customWidth="1" min="1551" max="1551"/>
    <col width="2.85546875" customWidth="1" min="1796" max="1796"/>
    <col width="42.5703125" customWidth="1" min="1797" max="1797"/>
    <col width="23.85546875" customWidth="1" min="1798" max="1798"/>
    <col width="25" customWidth="1" min="1799" max="1799"/>
    <col width="24.42578125" customWidth="1" min="1800" max="1800"/>
    <col width="20.28515625" customWidth="1" min="1801" max="1801"/>
    <col width="18.140625" bestFit="1" customWidth="1" min="1802" max="1802"/>
    <col width="17.5703125" customWidth="1" min="1803" max="1803"/>
    <col width="19.85546875" customWidth="1" min="1804" max="1804"/>
    <col width="16.140625" customWidth="1" min="1805" max="1805"/>
    <col width="16.140625" bestFit="1" customWidth="1" min="1806" max="1806"/>
    <col width="14.42578125" customWidth="1" min="1807" max="1807"/>
    <col width="2.85546875" customWidth="1" min="2052" max="2052"/>
    <col width="42.5703125" customWidth="1" min="2053" max="2053"/>
    <col width="23.85546875" customWidth="1" min="2054" max="2054"/>
    <col width="25" customWidth="1" min="2055" max="2055"/>
    <col width="24.42578125" customWidth="1" min="2056" max="2056"/>
    <col width="20.28515625" customWidth="1" min="2057" max="2057"/>
    <col width="18.140625" bestFit="1" customWidth="1" min="2058" max="2058"/>
    <col width="17.5703125" customWidth="1" min="2059" max="2059"/>
    <col width="19.85546875" customWidth="1" min="2060" max="2060"/>
    <col width="16.140625" customWidth="1" min="2061" max="2061"/>
    <col width="16.140625" bestFit="1" customWidth="1" min="2062" max="2062"/>
    <col width="14.42578125" customWidth="1" min="2063" max="2063"/>
    <col width="2.85546875" customWidth="1" min="2308" max="2308"/>
    <col width="42.5703125" customWidth="1" min="2309" max="2309"/>
    <col width="23.85546875" customWidth="1" min="2310" max="2310"/>
    <col width="25" customWidth="1" min="2311" max="2311"/>
    <col width="24.42578125" customWidth="1" min="2312" max="2312"/>
    <col width="20.28515625" customWidth="1" min="2313" max="2313"/>
    <col width="18.140625" bestFit="1" customWidth="1" min="2314" max="2314"/>
    <col width="17.5703125" customWidth="1" min="2315" max="2315"/>
    <col width="19.85546875" customWidth="1" min="2316" max="2316"/>
    <col width="16.140625" customWidth="1" min="2317" max="2317"/>
    <col width="16.140625" bestFit="1" customWidth="1" min="2318" max="2318"/>
    <col width="14.42578125" customWidth="1" min="2319" max="2319"/>
    <col width="2.85546875" customWidth="1" min="2564" max="2564"/>
    <col width="42.5703125" customWidth="1" min="2565" max="2565"/>
    <col width="23.85546875" customWidth="1" min="2566" max="2566"/>
    <col width="25" customWidth="1" min="2567" max="2567"/>
    <col width="24.42578125" customWidth="1" min="2568" max="2568"/>
    <col width="20.28515625" customWidth="1" min="2569" max="2569"/>
    <col width="18.140625" bestFit="1" customWidth="1" min="2570" max="2570"/>
    <col width="17.5703125" customWidth="1" min="2571" max="2571"/>
    <col width="19.85546875" customWidth="1" min="2572" max="2572"/>
    <col width="16.140625" customWidth="1" min="2573" max="2573"/>
    <col width="16.140625" bestFit="1" customWidth="1" min="2574" max="2574"/>
    <col width="14.42578125" customWidth="1" min="2575" max="2575"/>
    <col width="2.85546875" customWidth="1" min="2820" max="2820"/>
    <col width="42.5703125" customWidth="1" min="2821" max="2821"/>
    <col width="23.85546875" customWidth="1" min="2822" max="2822"/>
    <col width="25" customWidth="1" min="2823" max="2823"/>
    <col width="24.42578125" customWidth="1" min="2824" max="2824"/>
    <col width="20.28515625" customWidth="1" min="2825" max="2825"/>
    <col width="18.140625" bestFit="1" customWidth="1" min="2826" max="2826"/>
    <col width="17.5703125" customWidth="1" min="2827" max="2827"/>
    <col width="19.85546875" customWidth="1" min="2828" max="2828"/>
    <col width="16.140625" customWidth="1" min="2829" max="2829"/>
    <col width="16.140625" bestFit="1" customWidth="1" min="2830" max="2830"/>
    <col width="14.42578125" customWidth="1" min="2831" max="2831"/>
    <col width="2.85546875" customWidth="1" min="3076" max="3076"/>
    <col width="42.5703125" customWidth="1" min="3077" max="3077"/>
    <col width="23.85546875" customWidth="1" min="3078" max="3078"/>
    <col width="25" customWidth="1" min="3079" max="3079"/>
    <col width="24.42578125" customWidth="1" min="3080" max="3080"/>
    <col width="20.28515625" customWidth="1" min="3081" max="3081"/>
    <col width="18.140625" bestFit="1" customWidth="1" min="3082" max="3082"/>
    <col width="17.5703125" customWidth="1" min="3083" max="3083"/>
    <col width="19.85546875" customWidth="1" min="3084" max="3084"/>
    <col width="16.140625" customWidth="1" min="3085" max="3085"/>
    <col width="16.140625" bestFit="1" customWidth="1" min="3086" max="3086"/>
    <col width="14.42578125" customWidth="1" min="3087" max="3087"/>
    <col width="2.85546875" customWidth="1" min="3332" max="3332"/>
    <col width="42.5703125" customWidth="1" min="3333" max="3333"/>
    <col width="23.85546875" customWidth="1" min="3334" max="3334"/>
    <col width="25" customWidth="1" min="3335" max="3335"/>
    <col width="24.42578125" customWidth="1" min="3336" max="3336"/>
    <col width="20.28515625" customWidth="1" min="3337" max="3337"/>
    <col width="18.140625" bestFit="1" customWidth="1" min="3338" max="3338"/>
    <col width="17.5703125" customWidth="1" min="3339" max="3339"/>
    <col width="19.85546875" customWidth="1" min="3340" max="3340"/>
    <col width="16.140625" customWidth="1" min="3341" max="3341"/>
    <col width="16.140625" bestFit="1" customWidth="1" min="3342" max="3342"/>
    <col width="14.42578125" customWidth="1" min="3343" max="3343"/>
    <col width="2.85546875" customWidth="1" min="3588" max="3588"/>
    <col width="42.5703125" customWidth="1" min="3589" max="3589"/>
    <col width="23.85546875" customWidth="1" min="3590" max="3590"/>
    <col width="25" customWidth="1" min="3591" max="3591"/>
    <col width="24.42578125" customWidth="1" min="3592" max="3592"/>
    <col width="20.28515625" customWidth="1" min="3593" max="3593"/>
    <col width="18.140625" bestFit="1" customWidth="1" min="3594" max="3594"/>
    <col width="17.5703125" customWidth="1" min="3595" max="3595"/>
    <col width="19.85546875" customWidth="1" min="3596" max="3596"/>
    <col width="16.140625" customWidth="1" min="3597" max="3597"/>
    <col width="16.140625" bestFit="1" customWidth="1" min="3598" max="3598"/>
    <col width="14.42578125" customWidth="1" min="3599" max="3599"/>
    <col width="2.85546875" customWidth="1" min="3844" max="3844"/>
    <col width="42.5703125" customWidth="1" min="3845" max="3845"/>
    <col width="23.85546875" customWidth="1" min="3846" max="3846"/>
    <col width="25" customWidth="1" min="3847" max="3847"/>
    <col width="24.42578125" customWidth="1" min="3848" max="3848"/>
    <col width="20.28515625" customWidth="1" min="3849" max="3849"/>
    <col width="18.140625" bestFit="1" customWidth="1" min="3850" max="3850"/>
    <col width="17.5703125" customWidth="1" min="3851" max="3851"/>
    <col width="19.85546875" customWidth="1" min="3852" max="3852"/>
    <col width="16.140625" customWidth="1" min="3853" max="3853"/>
    <col width="16.140625" bestFit="1" customWidth="1" min="3854" max="3854"/>
    <col width="14.42578125" customWidth="1" min="3855" max="3855"/>
    <col width="2.85546875" customWidth="1" min="4100" max="4100"/>
    <col width="42.5703125" customWidth="1" min="4101" max="4101"/>
    <col width="23.85546875" customWidth="1" min="4102" max="4102"/>
    <col width="25" customWidth="1" min="4103" max="4103"/>
    <col width="24.42578125" customWidth="1" min="4104" max="4104"/>
    <col width="20.28515625" customWidth="1" min="4105" max="4105"/>
    <col width="18.140625" bestFit="1" customWidth="1" min="4106" max="4106"/>
    <col width="17.5703125" customWidth="1" min="4107" max="4107"/>
    <col width="19.85546875" customWidth="1" min="4108" max="4108"/>
    <col width="16.140625" customWidth="1" min="4109" max="4109"/>
    <col width="16.140625" bestFit="1" customWidth="1" min="4110" max="4110"/>
    <col width="14.42578125" customWidth="1" min="4111" max="4111"/>
    <col width="2.85546875" customWidth="1" min="4356" max="4356"/>
    <col width="42.5703125" customWidth="1" min="4357" max="4357"/>
    <col width="23.85546875" customWidth="1" min="4358" max="4358"/>
    <col width="25" customWidth="1" min="4359" max="4359"/>
    <col width="24.42578125" customWidth="1" min="4360" max="4360"/>
    <col width="20.28515625" customWidth="1" min="4361" max="4361"/>
    <col width="18.140625" bestFit="1" customWidth="1" min="4362" max="4362"/>
    <col width="17.5703125" customWidth="1" min="4363" max="4363"/>
    <col width="19.85546875" customWidth="1" min="4364" max="4364"/>
    <col width="16.140625" customWidth="1" min="4365" max="4365"/>
    <col width="16.140625" bestFit="1" customWidth="1" min="4366" max="4366"/>
    <col width="14.42578125" customWidth="1" min="4367" max="4367"/>
    <col width="2.85546875" customWidth="1" min="4612" max="4612"/>
    <col width="42.5703125" customWidth="1" min="4613" max="4613"/>
    <col width="23.85546875" customWidth="1" min="4614" max="4614"/>
    <col width="25" customWidth="1" min="4615" max="4615"/>
    <col width="24.42578125" customWidth="1" min="4616" max="4616"/>
    <col width="20.28515625" customWidth="1" min="4617" max="4617"/>
    <col width="18.140625" bestFit="1" customWidth="1" min="4618" max="4618"/>
    <col width="17.5703125" customWidth="1" min="4619" max="4619"/>
    <col width="19.85546875" customWidth="1" min="4620" max="4620"/>
    <col width="16.140625" customWidth="1" min="4621" max="4621"/>
    <col width="16.140625" bestFit="1" customWidth="1" min="4622" max="4622"/>
    <col width="14.42578125" customWidth="1" min="4623" max="4623"/>
    <col width="2.85546875" customWidth="1" min="4868" max="4868"/>
    <col width="42.5703125" customWidth="1" min="4869" max="4869"/>
    <col width="23.85546875" customWidth="1" min="4870" max="4870"/>
    <col width="25" customWidth="1" min="4871" max="4871"/>
    <col width="24.42578125" customWidth="1" min="4872" max="4872"/>
    <col width="20.28515625" customWidth="1" min="4873" max="4873"/>
    <col width="18.140625" bestFit="1" customWidth="1" min="4874" max="4874"/>
    <col width="17.5703125" customWidth="1" min="4875" max="4875"/>
    <col width="19.85546875" customWidth="1" min="4876" max="4876"/>
    <col width="16.140625" customWidth="1" min="4877" max="4877"/>
    <col width="16.140625" bestFit="1" customWidth="1" min="4878" max="4878"/>
    <col width="14.42578125" customWidth="1" min="4879" max="4879"/>
    <col width="2.85546875" customWidth="1" min="5124" max="5124"/>
    <col width="42.5703125" customWidth="1" min="5125" max="5125"/>
    <col width="23.85546875" customWidth="1" min="5126" max="5126"/>
    <col width="25" customWidth="1" min="5127" max="5127"/>
    <col width="24.42578125" customWidth="1" min="5128" max="5128"/>
    <col width="20.28515625" customWidth="1" min="5129" max="5129"/>
    <col width="18.140625" bestFit="1" customWidth="1" min="5130" max="5130"/>
    <col width="17.5703125" customWidth="1" min="5131" max="5131"/>
    <col width="19.85546875" customWidth="1" min="5132" max="5132"/>
    <col width="16.140625" customWidth="1" min="5133" max="5133"/>
    <col width="16.140625" bestFit="1" customWidth="1" min="5134" max="5134"/>
    <col width="14.42578125" customWidth="1" min="5135" max="5135"/>
    <col width="2.85546875" customWidth="1" min="5380" max="5380"/>
    <col width="42.5703125" customWidth="1" min="5381" max="5381"/>
    <col width="23.85546875" customWidth="1" min="5382" max="5382"/>
    <col width="25" customWidth="1" min="5383" max="5383"/>
    <col width="24.42578125" customWidth="1" min="5384" max="5384"/>
    <col width="20.28515625" customWidth="1" min="5385" max="5385"/>
    <col width="18.140625" bestFit="1" customWidth="1" min="5386" max="5386"/>
    <col width="17.5703125" customWidth="1" min="5387" max="5387"/>
    <col width="19.85546875" customWidth="1" min="5388" max="5388"/>
    <col width="16.140625" customWidth="1" min="5389" max="5389"/>
    <col width="16.140625" bestFit="1" customWidth="1" min="5390" max="5390"/>
    <col width="14.42578125" customWidth="1" min="5391" max="5391"/>
    <col width="2.85546875" customWidth="1" min="5636" max="5636"/>
    <col width="42.5703125" customWidth="1" min="5637" max="5637"/>
    <col width="23.85546875" customWidth="1" min="5638" max="5638"/>
    <col width="25" customWidth="1" min="5639" max="5639"/>
    <col width="24.42578125" customWidth="1" min="5640" max="5640"/>
    <col width="20.28515625" customWidth="1" min="5641" max="5641"/>
    <col width="18.140625" bestFit="1" customWidth="1" min="5642" max="5642"/>
    <col width="17.5703125" customWidth="1" min="5643" max="5643"/>
    <col width="19.85546875" customWidth="1" min="5644" max="5644"/>
    <col width="16.140625" customWidth="1" min="5645" max="5645"/>
    <col width="16.140625" bestFit="1" customWidth="1" min="5646" max="5646"/>
    <col width="14.42578125" customWidth="1" min="5647" max="5647"/>
    <col width="2.85546875" customWidth="1" min="5892" max="5892"/>
    <col width="42.5703125" customWidth="1" min="5893" max="5893"/>
    <col width="23.85546875" customWidth="1" min="5894" max="5894"/>
    <col width="25" customWidth="1" min="5895" max="5895"/>
    <col width="24.42578125" customWidth="1" min="5896" max="5896"/>
    <col width="20.28515625" customWidth="1" min="5897" max="5897"/>
    <col width="18.140625" bestFit="1" customWidth="1" min="5898" max="5898"/>
    <col width="17.5703125" customWidth="1" min="5899" max="5899"/>
    <col width="19.85546875" customWidth="1" min="5900" max="5900"/>
    <col width="16.140625" customWidth="1" min="5901" max="5901"/>
    <col width="16.140625" bestFit="1" customWidth="1" min="5902" max="5902"/>
    <col width="14.42578125" customWidth="1" min="5903" max="5903"/>
    <col width="2.85546875" customWidth="1" min="6148" max="6148"/>
    <col width="42.5703125" customWidth="1" min="6149" max="6149"/>
    <col width="23.85546875" customWidth="1" min="6150" max="6150"/>
    <col width="25" customWidth="1" min="6151" max="6151"/>
    <col width="24.42578125" customWidth="1" min="6152" max="6152"/>
    <col width="20.28515625" customWidth="1" min="6153" max="6153"/>
    <col width="18.140625" bestFit="1" customWidth="1" min="6154" max="6154"/>
    <col width="17.5703125" customWidth="1" min="6155" max="6155"/>
    <col width="19.85546875" customWidth="1" min="6156" max="6156"/>
    <col width="16.140625" customWidth="1" min="6157" max="6157"/>
    <col width="16.140625" bestFit="1" customWidth="1" min="6158" max="6158"/>
    <col width="14.42578125" customWidth="1" min="6159" max="6159"/>
    <col width="2.85546875" customWidth="1" min="6404" max="6404"/>
    <col width="42.5703125" customWidth="1" min="6405" max="6405"/>
    <col width="23.85546875" customWidth="1" min="6406" max="6406"/>
    <col width="25" customWidth="1" min="6407" max="6407"/>
    <col width="24.42578125" customWidth="1" min="6408" max="6408"/>
    <col width="20.28515625" customWidth="1" min="6409" max="6409"/>
    <col width="18.140625" bestFit="1" customWidth="1" min="6410" max="6410"/>
    <col width="17.5703125" customWidth="1" min="6411" max="6411"/>
    <col width="19.85546875" customWidth="1" min="6412" max="6412"/>
    <col width="16.140625" customWidth="1" min="6413" max="6413"/>
    <col width="16.140625" bestFit="1" customWidth="1" min="6414" max="6414"/>
    <col width="14.42578125" customWidth="1" min="6415" max="6415"/>
    <col width="2.85546875" customWidth="1" min="6660" max="6660"/>
    <col width="42.5703125" customWidth="1" min="6661" max="6661"/>
    <col width="23.85546875" customWidth="1" min="6662" max="6662"/>
    <col width="25" customWidth="1" min="6663" max="6663"/>
    <col width="24.42578125" customWidth="1" min="6664" max="6664"/>
    <col width="20.28515625" customWidth="1" min="6665" max="6665"/>
    <col width="18.140625" bestFit="1" customWidth="1" min="6666" max="6666"/>
    <col width="17.5703125" customWidth="1" min="6667" max="6667"/>
    <col width="19.85546875" customWidth="1" min="6668" max="6668"/>
    <col width="16.140625" customWidth="1" min="6669" max="6669"/>
    <col width="16.140625" bestFit="1" customWidth="1" min="6670" max="6670"/>
    <col width="14.42578125" customWidth="1" min="6671" max="6671"/>
    <col width="2.85546875" customWidth="1" min="6916" max="6916"/>
    <col width="42.5703125" customWidth="1" min="6917" max="6917"/>
    <col width="23.85546875" customWidth="1" min="6918" max="6918"/>
    <col width="25" customWidth="1" min="6919" max="6919"/>
    <col width="24.42578125" customWidth="1" min="6920" max="6920"/>
    <col width="20.28515625" customWidth="1" min="6921" max="6921"/>
    <col width="18.140625" bestFit="1" customWidth="1" min="6922" max="6922"/>
    <col width="17.5703125" customWidth="1" min="6923" max="6923"/>
    <col width="19.85546875" customWidth="1" min="6924" max="6924"/>
    <col width="16.140625" customWidth="1" min="6925" max="6925"/>
    <col width="16.140625" bestFit="1" customWidth="1" min="6926" max="6926"/>
    <col width="14.42578125" customWidth="1" min="6927" max="6927"/>
    <col width="2.85546875" customWidth="1" min="7172" max="7172"/>
    <col width="42.5703125" customWidth="1" min="7173" max="7173"/>
    <col width="23.85546875" customWidth="1" min="7174" max="7174"/>
    <col width="25" customWidth="1" min="7175" max="7175"/>
    <col width="24.42578125" customWidth="1" min="7176" max="7176"/>
    <col width="20.28515625" customWidth="1" min="7177" max="7177"/>
    <col width="18.140625" bestFit="1" customWidth="1" min="7178" max="7178"/>
    <col width="17.5703125" customWidth="1" min="7179" max="7179"/>
    <col width="19.85546875" customWidth="1" min="7180" max="7180"/>
    <col width="16.140625" customWidth="1" min="7181" max="7181"/>
    <col width="16.140625" bestFit="1" customWidth="1" min="7182" max="7182"/>
    <col width="14.42578125" customWidth="1" min="7183" max="7183"/>
    <col width="2.85546875" customWidth="1" min="7428" max="7428"/>
    <col width="42.5703125" customWidth="1" min="7429" max="7429"/>
    <col width="23.85546875" customWidth="1" min="7430" max="7430"/>
    <col width="25" customWidth="1" min="7431" max="7431"/>
    <col width="24.42578125" customWidth="1" min="7432" max="7432"/>
    <col width="20.28515625" customWidth="1" min="7433" max="7433"/>
    <col width="18.140625" bestFit="1" customWidth="1" min="7434" max="7434"/>
    <col width="17.5703125" customWidth="1" min="7435" max="7435"/>
    <col width="19.85546875" customWidth="1" min="7436" max="7436"/>
    <col width="16.140625" customWidth="1" min="7437" max="7437"/>
    <col width="16.140625" bestFit="1" customWidth="1" min="7438" max="7438"/>
    <col width="14.42578125" customWidth="1" min="7439" max="7439"/>
    <col width="2.85546875" customWidth="1" min="7684" max="7684"/>
    <col width="42.5703125" customWidth="1" min="7685" max="7685"/>
    <col width="23.85546875" customWidth="1" min="7686" max="7686"/>
    <col width="25" customWidth="1" min="7687" max="7687"/>
    <col width="24.42578125" customWidth="1" min="7688" max="7688"/>
    <col width="20.28515625" customWidth="1" min="7689" max="7689"/>
    <col width="18.140625" bestFit="1" customWidth="1" min="7690" max="7690"/>
    <col width="17.5703125" customWidth="1" min="7691" max="7691"/>
    <col width="19.85546875" customWidth="1" min="7692" max="7692"/>
    <col width="16.140625" customWidth="1" min="7693" max="7693"/>
    <col width="16.140625" bestFit="1" customWidth="1" min="7694" max="7694"/>
    <col width="14.42578125" customWidth="1" min="7695" max="7695"/>
    <col width="2.85546875" customWidth="1" min="7940" max="7940"/>
    <col width="42.5703125" customWidth="1" min="7941" max="7941"/>
    <col width="23.85546875" customWidth="1" min="7942" max="7942"/>
    <col width="25" customWidth="1" min="7943" max="7943"/>
    <col width="24.42578125" customWidth="1" min="7944" max="7944"/>
    <col width="20.28515625" customWidth="1" min="7945" max="7945"/>
    <col width="18.140625" bestFit="1" customWidth="1" min="7946" max="7946"/>
    <col width="17.5703125" customWidth="1" min="7947" max="7947"/>
    <col width="19.85546875" customWidth="1" min="7948" max="7948"/>
    <col width="16.140625" customWidth="1" min="7949" max="7949"/>
    <col width="16.140625" bestFit="1" customWidth="1" min="7950" max="7950"/>
    <col width="14.42578125" customWidth="1" min="7951" max="7951"/>
    <col width="2.85546875" customWidth="1" min="8196" max="8196"/>
    <col width="42.5703125" customWidth="1" min="8197" max="8197"/>
    <col width="23.85546875" customWidth="1" min="8198" max="8198"/>
    <col width="25" customWidth="1" min="8199" max="8199"/>
    <col width="24.42578125" customWidth="1" min="8200" max="8200"/>
    <col width="20.28515625" customWidth="1" min="8201" max="8201"/>
    <col width="18.140625" bestFit="1" customWidth="1" min="8202" max="8202"/>
    <col width="17.5703125" customWidth="1" min="8203" max="8203"/>
    <col width="19.85546875" customWidth="1" min="8204" max="8204"/>
    <col width="16.140625" customWidth="1" min="8205" max="8205"/>
    <col width="16.140625" bestFit="1" customWidth="1" min="8206" max="8206"/>
    <col width="14.42578125" customWidth="1" min="8207" max="8207"/>
    <col width="2.85546875" customWidth="1" min="8452" max="8452"/>
    <col width="42.5703125" customWidth="1" min="8453" max="8453"/>
    <col width="23.85546875" customWidth="1" min="8454" max="8454"/>
    <col width="25" customWidth="1" min="8455" max="8455"/>
    <col width="24.42578125" customWidth="1" min="8456" max="8456"/>
    <col width="20.28515625" customWidth="1" min="8457" max="8457"/>
    <col width="18.140625" bestFit="1" customWidth="1" min="8458" max="8458"/>
    <col width="17.5703125" customWidth="1" min="8459" max="8459"/>
    <col width="19.85546875" customWidth="1" min="8460" max="8460"/>
    <col width="16.140625" customWidth="1" min="8461" max="8461"/>
    <col width="16.140625" bestFit="1" customWidth="1" min="8462" max="8462"/>
    <col width="14.42578125" customWidth="1" min="8463" max="8463"/>
    <col width="2.85546875" customWidth="1" min="8708" max="8708"/>
    <col width="42.5703125" customWidth="1" min="8709" max="8709"/>
    <col width="23.85546875" customWidth="1" min="8710" max="8710"/>
    <col width="25" customWidth="1" min="8711" max="8711"/>
    <col width="24.42578125" customWidth="1" min="8712" max="8712"/>
    <col width="20.28515625" customWidth="1" min="8713" max="8713"/>
    <col width="18.140625" bestFit="1" customWidth="1" min="8714" max="8714"/>
    <col width="17.5703125" customWidth="1" min="8715" max="8715"/>
    <col width="19.85546875" customWidth="1" min="8716" max="8716"/>
    <col width="16.140625" customWidth="1" min="8717" max="8717"/>
    <col width="16.140625" bestFit="1" customWidth="1" min="8718" max="8718"/>
    <col width="14.42578125" customWidth="1" min="8719" max="8719"/>
    <col width="2.85546875" customWidth="1" min="8964" max="8964"/>
    <col width="42.5703125" customWidth="1" min="8965" max="8965"/>
    <col width="23.85546875" customWidth="1" min="8966" max="8966"/>
    <col width="25" customWidth="1" min="8967" max="8967"/>
    <col width="24.42578125" customWidth="1" min="8968" max="8968"/>
    <col width="20.28515625" customWidth="1" min="8969" max="8969"/>
    <col width="18.140625" bestFit="1" customWidth="1" min="8970" max="8970"/>
    <col width="17.5703125" customWidth="1" min="8971" max="8971"/>
    <col width="19.85546875" customWidth="1" min="8972" max="8972"/>
    <col width="16.140625" customWidth="1" min="8973" max="8973"/>
    <col width="16.140625" bestFit="1" customWidth="1" min="8974" max="8974"/>
    <col width="14.42578125" customWidth="1" min="8975" max="8975"/>
    <col width="2.85546875" customWidth="1" min="9220" max="9220"/>
    <col width="42.5703125" customWidth="1" min="9221" max="9221"/>
    <col width="23.85546875" customWidth="1" min="9222" max="9222"/>
    <col width="25" customWidth="1" min="9223" max="9223"/>
    <col width="24.42578125" customWidth="1" min="9224" max="9224"/>
    <col width="20.28515625" customWidth="1" min="9225" max="9225"/>
    <col width="18.140625" bestFit="1" customWidth="1" min="9226" max="9226"/>
    <col width="17.5703125" customWidth="1" min="9227" max="9227"/>
    <col width="19.85546875" customWidth="1" min="9228" max="9228"/>
    <col width="16.140625" customWidth="1" min="9229" max="9229"/>
    <col width="16.140625" bestFit="1" customWidth="1" min="9230" max="9230"/>
    <col width="14.42578125" customWidth="1" min="9231" max="9231"/>
    <col width="2.85546875" customWidth="1" min="9476" max="9476"/>
    <col width="42.5703125" customWidth="1" min="9477" max="9477"/>
    <col width="23.85546875" customWidth="1" min="9478" max="9478"/>
    <col width="25" customWidth="1" min="9479" max="9479"/>
    <col width="24.42578125" customWidth="1" min="9480" max="9480"/>
    <col width="20.28515625" customWidth="1" min="9481" max="9481"/>
    <col width="18.140625" bestFit="1" customWidth="1" min="9482" max="9482"/>
    <col width="17.5703125" customWidth="1" min="9483" max="9483"/>
    <col width="19.85546875" customWidth="1" min="9484" max="9484"/>
    <col width="16.140625" customWidth="1" min="9485" max="9485"/>
    <col width="16.140625" bestFit="1" customWidth="1" min="9486" max="9486"/>
    <col width="14.42578125" customWidth="1" min="9487" max="9487"/>
    <col width="2.85546875" customWidth="1" min="9732" max="9732"/>
    <col width="42.5703125" customWidth="1" min="9733" max="9733"/>
    <col width="23.85546875" customWidth="1" min="9734" max="9734"/>
    <col width="25" customWidth="1" min="9735" max="9735"/>
    <col width="24.42578125" customWidth="1" min="9736" max="9736"/>
    <col width="20.28515625" customWidth="1" min="9737" max="9737"/>
    <col width="18.140625" bestFit="1" customWidth="1" min="9738" max="9738"/>
    <col width="17.5703125" customWidth="1" min="9739" max="9739"/>
    <col width="19.85546875" customWidth="1" min="9740" max="9740"/>
    <col width="16.140625" customWidth="1" min="9741" max="9741"/>
    <col width="16.140625" bestFit="1" customWidth="1" min="9742" max="9742"/>
    <col width="14.42578125" customWidth="1" min="9743" max="9743"/>
    <col width="2.85546875" customWidth="1" min="9988" max="9988"/>
    <col width="42.5703125" customWidth="1" min="9989" max="9989"/>
    <col width="23.85546875" customWidth="1" min="9990" max="9990"/>
    <col width="25" customWidth="1" min="9991" max="9991"/>
    <col width="24.42578125" customWidth="1" min="9992" max="9992"/>
    <col width="20.28515625" customWidth="1" min="9993" max="9993"/>
    <col width="18.140625" bestFit="1" customWidth="1" min="9994" max="9994"/>
    <col width="17.5703125" customWidth="1" min="9995" max="9995"/>
    <col width="19.85546875" customWidth="1" min="9996" max="9996"/>
    <col width="16.140625" customWidth="1" min="9997" max="9997"/>
    <col width="16.140625" bestFit="1" customWidth="1" min="9998" max="9998"/>
    <col width="14.42578125" customWidth="1" min="9999" max="9999"/>
    <col width="2.85546875" customWidth="1" min="10244" max="10244"/>
    <col width="42.5703125" customWidth="1" min="10245" max="10245"/>
    <col width="23.85546875" customWidth="1" min="10246" max="10246"/>
    <col width="25" customWidth="1" min="10247" max="10247"/>
    <col width="24.42578125" customWidth="1" min="10248" max="10248"/>
    <col width="20.28515625" customWidth="1" min="10249" max="10249"/>
    <col width="18.140625" bestFit="1" customWidth="1" min="10250" max="10250"/>
    <col width="17.5703125" customWidth="1" min="10251" max="10251"/>
    <col width="19.85546875" customWidth="1" min="10252" max="10252"/>
    <col width="16.140625" customWidth="1" min="10253" max="10253"/>
    <col width="16.140625" bestFit="1" customWidth="1" min="10254" max="10254"/>
    <col width="14.42578125" customWidth="1" min="10255" max="10255"/>
    <col width="2.85546875" customWidth="1" min="10500" max="10500"/>
    <col width="42.5703125" customWidth="1" min="10501" max="10501"/>
    <col width="23.85546875" customWidth="1" min="10502" max="10502"/>
    <col width="25" customWidth="1" min="10503" max="10503"/>
    <col width="24.42578125" customWidth="1" min="10504" max="10504"/>
    <col width="20.28515625" customWidth="1" min="10505" max="10505"/>
    <col width="18.140625" bestFit="1" customWidth="1" min="10506" max="10506"/>
    <col width="17.5703125" customWidth="1" min="10507" max="10507"/>
    <col width="19.85546875" customWidth="1" min="10508" max="10508"/>
    <col width="16.140625" customWidth="1" min="10509" max="10509"/>
    <col width="16.140625" bestFit="1" customWidth="1" min="10510" max="10510"/>
    <col width="14.42578125" customWidth="1" min="10511" max="10511"/>
    <col width="2.85546875" customWidth="1" min="10756" max="10756"/>
    <col width="42.5703125" customWidth="1" min="10757" max="10757"/>
    <col width="23.85546875" customWidth="1" min="10758" max="10758"/>
    <col width="25" customWidth="1" min="10759" max="10759"/>
    <col width="24.42578125" customWidth="1" min="10760" max="10760"/>
    <col width="20.28515625" customWidth="1" min="10761" max="10761"/>
    <col width="18.140625" bestFit="1" customWidth="1" min="10762" max="10762"/>
    <col width="17.5703125" customWidth="1" min="10763" max="10763"/>
    <col width="19.85546875" customWidth="1" min="10764" max="10764"/>
    <col width="16.140625" customWidth="1" min="10765" max="10765"/>
    <col width="16.140625" bestFit="1" customWidth="1" min="10766" max="10766"/>
    <col width="14.42578125" customWidth="1" min="10767" max="10767"/>
    <col width="2.85546875" customWidth="1" min="11012" max="11012"/>
    <col width="42.5703125" customWidth="1" min="11013" max="11013"/>
    <col width="23.85546875" customWidth="1" min="11014" max="11014"/>
    <col width="25" customWidth="1" min="11015" max="11015"/>
    <col width="24.42578125" customWidth="1" min="11016" max="11016"/>
    <col width="20.28515625" customWidth="1" min="11017" max="11017"/>
    <col width="18.140625" bestFit="1" customWidth="1" min="11018" max="11018"/>
    <col width="17.5703125" customWidth="1" min="11019" max="11019"/>
    <col width="19.85546875" customWidth="1" min="11020" max="11020"/>
    <col width="16.140625" customWidth="1" min="11021" max="11021"/>
    <col width="16.140625" bestFit="1" customWidth="1" min="11022" max="11022"/>
    <col width="14.42578125" customWidth="1" min="11023" max="11023"/>
    <col width="2.85546875" customWidth="1" min="11268" max="11268"/>
    <col width="42.5703125" customWidth="1" min="11269" max="11269"/>
    <col width="23.85546875" customWidth="1" min="11270" max="11270"/>
    <col width="25" customWidth="1" min="11271" max="11271"/>
    <col width="24.42578125" customWidth="1" min="11272" max="11272"/>
    <col width="20.28515625" customWidth="1" min="11273" max="11273"/>
    <col width="18.140625" bestFit="1" customWidth="1" min="11274" max="11274"/>
    <col width="17.5703125" customWidth="1" min="11275" max="11275"/>
    <col width="19.85546875" customWidth="1" min="11276" max="11276"/>
    <col width="16.140625" customWidth="1" min="11277" max="11277"/>
    <col width="16.140625" bestFit="1" customWidth="1" min="11278" max="11278"/>
    <col width="14.42578125" customWidth="1" min="11279" max="11279"/>
    <col width="2.85546875" customWidth="1" min="11524" max="11524"/>
    <col width="42.5703125" customWidth="1" min="11525" max="11525"/>
    <col width="23.85546875" customWidth="1" min="11526" max="11526"/>
    <col width="25" customWidth="1" min="11527" max="11527"/>
    <col width="24.42578125" customWidth="1" min="11528" max="11528"/>
    <col width="20.28515625" customWidth="1" min="11529" max="11529"/>
    <col width="18.140625" bestFit="1" customWidth="1" min="11530" max="11530"/>
    <col width="17.5703125" customWidth="1" min="11531" max="11531"/>
    <col width="19.85546875" customWidth="1" min="11532" max="11532"/>
    <col width="16.140625" customWidth="1" min="11533" max="11533"/>
    <col width="16.140625" bestFit="1" customWidth="1" min="11534" max="11534"/>
    <col width="14.42578125" customWidth="1" min="11535" max="11535"/>
    <col width="2.85546875" customWidth="1" min="11780" max="11780"/>
    <col width="42.5703125" customWidth="1" min="11781" max="11781"/>
    <col width="23.85546875" customWidth="1" min="11782" max="11782"/>
    <col width="25" customWidth="1" min="11783" max="11783"/>
    <col width="24.42578125" customWidth="1" min="11784" max="11784"/>
    <col width="20.28515625" customWidth="1" min="11785" max="11785"/>
    <col width="18.140625" bestFit="1" customWidth="1" min="11786" max="11786"/>
    <col width="17.5703125" customWidth="1" min="11787" max="11787"/>
    <col width="19.85546875" customWidth="1" min="11788" max="11788"/>
    <col width="16.140625" customWidth="1" min="11789" max="11789"/>
    <col width="16.140625" bestFit="1" customWidth="1" min="11790" max="11790"/>
    <col width="14.42578125" customWidth="1" min="11791" max="11791"/>
    <col width="2.85546875" customWidth="1" min="12036" max="12036"/>
    <col width="42.5703125" customWidth="1" min="12037" max="12037"/>
    <col width="23.85546875" customWidth="1" min="12038" max="12038"/>
    <col width="25" customWidth="1" min="12039" max="12039"/>
    <col width="24.42578125" customWidth="1" min="12040" max="12040"/>
    <col width="20.28515625" customWidth="1" min="12041" max="12041"/>
    <col width="18.140625" bestFit="1" customWidth="1" min="12042" max="12042"/>
    <col width="17.5703125" customWidth="1" min="12043" max="12043"/>
    <col width="19.85546875" customWidth="1" min="12044" max="12044"/>
    <col width="16.140625" customWidth="1" min="12045" max="12045"/>
    <col width="16.140625" bestFit="1" customWidth="1" min="12046" max="12046"/>
    <col width="14.42578125" customWidth="1" min="12047" max="12047"/>
    <col width="2.85546875" customWidth="1" min="12292" max="12292"/>
    <col width="42.5703125" customWidth="1" min="12293" max="12293"/>
    <col width="23.85546875" customWidth="1" min="12294" max="12294"/>
    <col width="25" customWidth="1" min="12295" max="12295"/>
    <col width="24.42578125" customWidth="1" min="12296" max="12296"/>
    <col width="20.28515625" customWidth="1" min="12297" max="12297"/>
    <col width="18.140625" bestFit="1" customWidth="1" min="12298" max="12298"/>
    <col width="17.5703125" customWidth="1" min="12299" max="12299"/>
    <col width="19.85546875" customWidth="1" min="12300" max="12300"/>
    <col width="16.140625" customWidth="1" min="12301" max="12301"/>
    <col width="16.140625" bestFit="1" customWidth="1" min="12302" max="12302"/>
    <col width="14.42578125" customWidth="1" min="12303" max="12303"/>
    <col width="2.85546875" customWidth="1" min="12548" max="12548"/>
    <col width="42.5703125" customWidth="1" min="12549" max="12549"/>
    <col width="23.85546875" customWidth="1" min="12550" max="12550"/>
    <col width="25" customWidth="1" min="12551" max="12551"/>
    <col width="24.42578125" customWidth="1" min="12552" max="12552"/>
    <col width="20.28515625" customWidth="1" min="12553" max="12553"/>
    <col width="18.140625" bestFit="1" customWidth="1" min="12554" max="12554"/>
    <col width="17.5703125" customWidth="1" min="12555" max="12555"/>
    <col width="19.85546875" customWidth="1" min="12556" max="12556"/>
    <col width="16.140625" customWidth="1" min="12557" max="12557"/>
    <col width="16.140625" bestFit="1" customWidth="1" min="12558" max="12558"/>
    <col width="14.42578125" customWidth="1" min="12559" max="12559"/>
    <col width="2.85546875" customWidth="1" min="12804" max="12804"/>
    <col width="42.5703125" customWidth="1" min="12805" max="12805"/>
    <col width="23.85546875" customWidth="1" min="12806" max="12806"/>
    <col width="25" customWidth="1" min="12807" max="12807"/>
    <col width="24.42578125" customWidth="1" min="12808" max="12808"/>
    <col width="20.28515625" customWidth="1" min="12809" max="12809"/>
    <col width="18.140625" bestFit="1" customWidth="1" min="12810" max="12810"/>
    <col width="17.5703125" customWidth="1" min="12811" max="12811"/>
    <col width="19.85546875" customWidth="1" min="12812" max="12812"/>
    <col width="16.140625" customWidth="1" min="12813" max="12813"/>
    <col width="16.140625" bestFit="1" customWidth="1" min="12814" max="12814"/>
    <col width="14.42578125" customWidth="1" min="12815" max="12815"/>
    <col width="2.85546875" customWidth="1" min="13060" max="13060"/>
    <col width="42.5703125" customWidth="1" min="13061" max="13061"/>
    <col width="23.85546875" customWidth="1" min="13062" max="13062"/>
    <col width="25" customWidth="1" min="13063" max="13063"/>
    <col width="24.42578125" customWidth="1" min="13064" max="13064"/>
    <col width="20.28515625" customWidth="1" min="13065" max="13065"/>
    <col width="18.140625" bestFit="1" customWidth="1" min="13066" max="13066"/>
    <col width="17.5703125" customWidth="1" min="13067" max="13067"/>
    <col width="19.85546875" customWidth="1" min="13068" max="13068"/>
    <col width="16.140625" customWidth="1" min="13069" max="13069"/>
    <col width="16.140625" bestFit="1" customWidth="1" min="13070" max="13070"/>
    <col width="14.42578125" customWidth="1" min="13071" max="13071"/>
    <col width="2.85546875" customWidth="1" min="13316" max="13316"/>
    <col width="42.5703125" customWidth="1" min="13317" max="13317"/>
    <col width="23.85546875" customWidth="1" min="13318" max="13318"/>
    <col width="25" customWidth="1" min="13319" max="13319"/>
    <col width="24.42578125" customWidth="1" min="13320" max="13320"/>
    <col width="20.28515625" customWidth="1" min="13321" max="13321"/>
    <col width="18.140625" bestFit="1" customWidth="1" min="13322" max="13322"/>
    <col width="17.5703125" customWidth="1" min="13323" max="13323"/>
    <col width="19.85546875" customWidth="1" min="13324" max="13324"/>
    <col width="16.140625" customWidth="1" min="13325" max="13325"/>
    <col width="16.140625" bestFit="1" customWidth="1" min="13326" max="13326"/>
    <col width="14.42578125" customWidth="1" min="13327" max="13327"/>
    <col width="2.85546875" customWidth="1" min="13572" max="13572"/>
    <col width="42.5703125" customWidth="1" min="13573" max="13573"/>
    <col width="23.85546875" customWidth="1" min="13574" max="13574"/>
    <col width="25" customWidth="1" min="13575" max="13575"/>
    <col width="24.42578125" customWidth="1" min="13576" max="13576"/>
    <col width="20.28515625" customWidth="1" min="13577" max="13577"/>
    <col width="18.140625" bestFit="1" customWidth="1" min="13578" max="13578"/>
    <col width="17.5703125" customWidth="1" min="13579" max="13579"/>
    <col width="19.85546875" customWidth="1" min="13580" max="13580"/>
    <col width="16.140625" customWidth="1" min="13581" max="13581"/>
    <col width="16.140625" bestFit="1" customWidth="1" min="13582" max="13582"/>
    <col width="14.42578125" customWidth="1" min="13583" max="13583"/>
    <col width="2.85546875" customWidth="1" min="13828" max="13828"/>
    <col width="42.5703125" customWidth="1" min="13829" max="13829"/>
    <col width="23.85546875" customWidth="1" min="13830" max="13830"/>
    <col width="25" customWidth="1" min="13831" max="13831"/>
    <col width="24.42578125" customWidth="1" min="13832" max="13832"/>
    <col width="20.28515625" customWidth="1" min="13833" max="13833"/>
    <col width="18.140625" bestFit="1" customWidth="1" min="13834" max="13834"/>
    <col width="17.5703125" customWidth="1" min="13835" max="13835"/>
    <col width="19.85546875" customWidth="1" min="13836" max="13836"/>
    <col width="16.140625" customWidth="1" min="13837" max="13837"/>
    <col width="16.140625" bestFit="1" customWidth="1" min="13838" max="13838"/>
    <col width="14.42578125" customWidth="1" min="13839" max="13839"/>
    <col width="2.85546875" customWidth="1" min="14084" max="14084"/>
    <col width="42.5703125" customWidth="1" min="14085" max="14085"/>
    <col width="23.85546875" customWidth="1" min="14086" max="14086"/>
    <col width="25" customWidth="1" min="14087" max="14087"/>
    <col width="24.42578125" customWidth="1" min="14088" max="14088"/>
    <col width="20.28515625" customWidth="1" min="14089" max="14089"/>
    <col width="18.140625" bestFit="1" customWidth="1" min="14090" max="14090"/>
    <col width="17.5703125" customWidth="1" min="14091" max="14091"/>
    <col width="19.85546875" customWidth="1" min="14092" max="14092"/>
    <col width="16.140625" customWidth="1" min="14093" max="14093"/>
    <col width="16.140625" bestFit="1" customWidth="1" min="14094" max="14094"/>
    <col width="14.42578125" customWidth="1" min="14095" max="14095"/>
    <col width="2.85546875" customWidth="1" min="14340" max="14340"/>
    <col width="42.5703125" customWidth="1" min="14341" max="14341"/>
    <col width="23.85546875" customWidth="1" min="14342" max="14342"/>
    <col width="25" customWidth="1" min="14343" max="14343"/>
    <col width="24.42578125" customWidth="1" min="14344" max="14344"/>
    <col width="20.28515625" customWidth="1" min="14345" max="14345"/>
    <col width="18.140625" bestFit="1" customWidth="1" min="14346" max="14346"/>
    <col width="17.5703125" customWidth="1" min="14347" max="14347"/>
    <col width="19.85546875" customWidth="1" min="14348" max="14348"/>
    <col width="16.140625" customWidth="1" min="14349" max="14349"/>
    <col width="16.140625" bestFit="1" customWidth="1" min="14350" max="14350"/>
    <col width="14.42578125" customWidth="1" min="14351" max="14351"/>
    <col width="2.85546875" customWidth="1" min="14596" max="14596"/>
    <col width="42.5703125" customWidth="1" min="14597" max="14597"/>
    <col width="23.85546875" customWidth="1" min="14598" max="14598"/>
    <col width="25" customWidth="1" min="14599" max="14599"/>
    <col width="24.42578125" customWidth="1" min="14600" max="14600"/>
    <col width="20.28515625" customWidth="1" min="14601" max="14601"/>
    <col width="18.140625" bestFit="1" customWidth="1" min="14602" max="14602"/>
    <col width="17.5703125" customWidth="1" min="14603" max="14603"/>
    <col width="19.85546875" customWidth="1" min="14604" max="14604"/>
    <col width="16.140625" customWidth="1" min="14605" max="14605"/>
    <col width="16.140625" bestFit="1" customWidth="1" min="14606" max="14606"/>
    <col width="14.42578125" customWidth="1" min="14607" max="14607"/>
    <col width="2.85546875" customWidth="1" min="14852" max="14852"/>
    <col width="42.5703125" customWidth="1" min="14853" max="14853"/>
    <col width="23.85546875" customWidth="1" min="14854" max="14854"/>
    <col width="25" customWidth="1" min="14855" max="14855"/>
    <col width="24.42578125" customWidth="1" min="14856" max="14856"/>
    <col width="20.28515625" customWidth="1" min="14857" max="14857"/>
    <col width="18.140625" bestFit="1" customWidth="1" min="14858" max="14858"/>
    <col width="17.5703125" customWidth="1" min="14859" max="14859"/>
    <col width="19.85546875" customWidth="1" min="14860" max="14860"/>
    <col width="16.140625" customWidth="1" min="14861" max="14861"/>
    <col width="16.140625" bestFit="1" customWidth="1" min="14862" max="14862"/>
    <col width="14.42578125" customWidth="1" min="14863" max="14863"/>
    <col width="2.85546875" customWidth="1" min="15108" max="15108"/>
    <col width="42.5703125" customWidth="1" min="15109" max="15109"/>
    <col width="23.85546875" customWidth="1" min="15110" max="15110"/>
    <col width="25" customWidth="1" min="15111" max="15111"/>
    <col width="24.42578125" customWidth="1" min="15112" max="15112"/>
    <col width="20.28515625" customWidth="1" min="15113" max="15113"/>
    <col width="18.140625" bestFit="1" customWidth="1" min="15114" max="15114"/>
    <col width="17.5703125" customWidth="1" min="15115" max="15115"/>
    <col width="19.85546875" customWidth="1" min="15116" max="15116"/>
    <col width="16.140625" customWidth="1" min="15117" max="15117"/>
    <col width="16.140625" bestFit="1" customWidth="1" min="15118" max="15118"/>
    <col width="14.42578125" customWidth="1" min="15119" max="15119"/>
    <col width="2.85546875" customWidth="1" min="15364" max="15364"/>
    <col width="42.5703125" customWidth="1" min="15365" max="15365"/>
    <col width="23.85546875" customWidth="1" min="15366" max="15366"/>
    <col width="25" customWidth="1" min="15367" max="15367"/>
    <col width="24.42578125" customWidth="1" min="15368" max="15368"/>
    <col width="20.28515625" customWidth="1" min="15369" max="15369"/>
    <col width="18.140625" bestFit="1" customWidth="1" min="15370" max="15370"/>
    <col width="17.5703125" customWidth="1" min="15371" max="15371"/>
    <col width="19.85546875" customWidth="1" min="15372" max="15372"/>
    <col width="16.140625" customWidth="1" min="15373" max="15373"/>
    <col width="16.140625" bestFit="1" customWidth="1" min="15374" max="15374"/>
    <col width="14.42578125" customWidth="1" min="15375" max="15375"/>
    <col width="2.85546875" customWidth="1" min="15620" max="15620"/>
    <col width="42.5703125" customWidth="1" min="15621" max="15621"/>
    <col width="23.85546875" customWidth="1" min="15622" max="15622"/>
    <col width="25" customWidth="1" min="15623" max="15623"/>
    <col width="24.42578125" customWidth="1" min="15624" max="15624"/>
    <col width="20.28515625" customWidth="1" min="15625" max="15625"/>
    <col width="18.140625" bestFit="1" customWidth="1" min="15626" max="15626"/>
    <col width="17.5703125" customWidth="1" min="15627" max="15627"/>
    <col width="19.85546875" customWidth="1" min="15628" max="15628"/>
    <col width="16.140625" customWidth="1" min="15629" max="15629"/>
    <col width="16.140625" bestFit="1" customWidth="1" min="15630" max="15630"/>
    <col width="14.42578125" customWidth="1" min="15631" max="15631"/>
    <col width="2.85546875" customWidth="1" min="15876" max="15876"/>
    <col width="42.5703125" customWidth="1" min="15877" max="15877"/>
    <col width="23.85546875" customWidth="1" min="15878" max="15878"/>
    <col width="25" customWidth="1" min="15879" max="15879"/>
    <col width="24.42578125" customWidth="1" min="15880" max="15880"/>
    <col width="20.28515625" customWidth="1" min="15881" max="15881"/>
    <col width="18.140625" bestFit="1" customWidth="1" min="15882" max="15882"/>
    <col width="17.5703125" customWidth="1" min="15883" max="15883"/>
    <col width="19.85546875" customWidth="1" min="15884" max="15884"/>
    <col width="16.140625" customWidth="1" min="15885" max="15885"/>
    <col width="16.140625" bestFit="1" customWidth="1" min="15886" max="15886"/>
    <col width="14.42578125" customWidth="1" min="15887" max="15887"/>
    <col width="2.85546875" customWidth="1" min="16132" max="16132"/>
    <col width="42.5703125" customWidth="1" min="16133" max="16133"/>
    <col width="23.85546875" customWidth="1" min="16134" max="16134"/>
    <col width="25" customWidth="1" min="16135" max="16135"/>
    <col width="24.42578125" customWidth="1" min="16136" max="16136"/>
    <col width="20.28515625" customWidth="1" min="16137" max="16137"/>
    <col width="18.140625" bestFit="1" customWidth="1" min="16138" max="16138"/>
    <col width="17.5703125" customWidth="1" min="16139" max="16139"/>
    <col width="19.85546875" customWidth="1" min="16140" max="16140"/>
    <col width="16.140625" customWidth="1" min="16141" max="16141"/>
    <col width="16.140625" bestFit="1" customWidth="1" min="16142" max="16142"/>
    <col width="14.42578125" customWidth="1" min="16143" max="16143"/>
  </cols>
  <sheetData>
    <row r="1" ht="15.75" customHeight="1" thickBot="1"/>
    <row r="2" ht="18" customHeight="1" thickBot="1">
      <c r="B2" s="352" t="inlineStr">
        <is>
          <t>Test Case Summary</t>
        </is>
      </c>
      <c r="C2" s="389" t="n"/>
      <c r="D2" s="389" t="n"/>
      <c r="E2" s="389" t="n"/>
      <c r="F2" s="390" t="n"/>
      <c r="G2" s="153" t="n"/>
      <c r="H2" s="67" t="inlineStr">
        <is>
          <t>Keywords</t>
        </is>
      </c>
      <c r="I2" s="372" t="inlineStr">
        <is>
          <t>Meaning</t>
        </is>
      </c>
      <c r="J2" s="378" t="n"/>
    </row>
    <row r="3" ht="15.75" customHeight="1" thickBot="1">
      <c r="B3" s="352" t="inlineStr">
        <is>
          <t>Total Test Cases</t>
        </is>
      </c>
      <c r="C3" s="390" t="n"/>
      <c r="D3" s="47">
        <f>SUM(D4:D8)</f>
        <v/>
      </c>
      <c r="E3" s="352" t="inlineStr">
        <is>
          <t>Executed Tests</t>
        </is>
      </c>
      <c r="F3" s="352" t="inlineStr">
        <is>
          <t>Total Tests</t>
        </is>
      </c>
      <c r="G3" s="352" t="inlineStr">
        <is>
          <t>Automation Scripts</t>
        </is>
      </c>
      <c r="H3" s="68" t="inlineStr">
        <is>
          <t>MV</t>
        </is>
      </c>
      <c r="I3" s="371" t="inlineStr">
        <is>
          <t>Mapped Value</t>
        </is>
      </c>
      <c r="J3" s="378" t="n"/>
    </row>
    <row r="4" ht="15" customHeight="1" thickBot="1">
      <c r="B4" s="350" t="inlineStr">
        <is>
          <t>Passed</t>
        </is>
      </c>
      <c r="D4" s="49">
        <f>COUNTIF(K9:K1260,"Passed")</f>
        <v/>
      </c>
      <c r="E4" s="50">
        <f>IF(D4=0,,(D4/(D4+D5)))</f>
        <v/>
      </c>
      <c r="F4" s="51">
        <f>IF(D3=0,,(D4/D3))</f>
        <v/>
      </c>
      <c r="G4" s="156">
        <f>COUNTIF(L10:L493,"Done")</f>
        <v/>
      </c>
      <c r="H4" s="68" t="inlineStr">
        <is>
          <t>Z</t>
        </is>
      </c>
      <c r="I4" s="371" t="inlineStr">
        <is>
          <t>Zone</t>
        </is>
      </c>
      <c r="J4" s="378" t="n"/>
    </row>
    <row r="5" ht="15" customHeight="1" thickBot="1">
      <c r="B5" s="350" t="inlineStr">
        <is>
          <t>Failed</t>
        </is>
      </c>
      <c r="D5" s="49">
        <f>COUNTIF(K9:K1261,"Failed")</f>
        <v/>
      </c>
      <c r="E5" s="50">
        <f>IF(D5=0,,(D5/(D4+D5)))</f>
        <v/>
      </c>
      <c r="F5" s="51">
        <f>IF(D3=0,,(D5/D3))</f>
        <v/>
      </c>
      <c r="G5" s="52">
        <f>COUNTIF(L10:L493,"Failed")</f>
        <v/>
      </c>
      <c r="H5" s="68" t="inlineStr">
        <is>
          <t>FT</t>
        </is>
      </c>
      <c r="I5" s="371" t="inlineStr">
        <is>
          <t>Free text</t>
        </is>
      </c>
      <c r="J5" s="378" t="n"/>
    </row>
    <row r="6" ht="15" customHeight="1" thickBot="1">
      <c r="B6" s="350" t="inlineStr">
        <is>
          <t>Blocked</t>
        </is>
      </c>
      <c r="D6" s="49">
        <f>COUNTIF(K9:K1262,"Blocked")</f>
        <v/>
      </c>
      <c r="E6" s="50" t="n"/>
      <c r="F6" s="51">
        <f>IF(D3=0,,(D6/D3))</f>
        <v/>
      </c>
      <c r="G6" s="52">
        <f>COUNTIF(L10:L493,"Blocked")</f>
        <v/>
      </c>
      <c r="H6" s="68" t="inlineStr">
        <is>
          <t>CV</t>
        </is>
      </c>
      <c r="I6" s="371" t="inlineStr">
        <is>
          <t>Constant Value</t>
        </is>
      </c>
      <c r="J6" s="378" t="n"/>
    </row>
    <row r="7" ht="15" customHeight="1" thickBot="1">
      <c r="B7" s="350" t="inlineStr">
        <is>
          <t>Pending</t>
        </is>
      </c>
      <c r="D7" s="49">
        <f>COUNTIF(K9:K1263,"Pending")</f>
        <v/>
      </c>
      <c r="E7" s="50" t="n"/>
      <c r="F7" s="51">
        <f>IF(D3=0,,(D7/D3))</f>
        <v/>
      </c>
      <c r="G7" s="52">
        <f>COUNTIF(L10:L493,"Pending")</f>
        <v/>
      </c>
      <c r="H7" s="68" t="inlineStr">
        <is>
          <t>K</t>
        </is>
      </c>
      <c r="I7" s="371" t="inlineStr">
        <is>
          <t>Keyboard (Used for operators)</t>
        </is>
      </c>
      <c r="J7" s="378" t="n"/>
    </row>
    <row r="8" ht="15" customHeight="1" thickBot="1">
      <c r="B8" s="350" t="inlineStr">
        <is>
          <t>Not Applicable</t>
        </is>
      </c>
      <c r="D8" s="49">
        <f>COUNTIF(K9:K1264,"NA")</f>
        <v/>
      </c>
      <c r="E8" s="69" t="n"/>
      <c r="F8" s="70">
        <f>IF(D3=0,,(D8/D3))</f>
        <v/>
      </c>
      <c r="G8" s="52">
        <f>COUNTIF(L10:L493,"Out of Scope")</f>
        <v/>
      </c>
      <c r="H8" s="68" t="inlineStr">
        <is>
          <t>R</t>
        </is>
      </c>
      <c r="I8" s="371" t="inlineStr">
        <is>
          <t>Ribbon (Used for operators)</t>
        </is>
      </c>
      <c r="J8" s="378" t="n"/>
    </row>
    <row r="9" ht="50.25" customFormat="1" customHeight="1" s="143" thickBot="1">
      <c r="B9" s="140" t="inlineStr">
        <is>
          <t>S.No</t>
        </is>
      </c>
      <c r="C9" s="141" t="inlineStr">
        <is>
          <t>Business Rule</t>
        </is>
      </c>
      <c r="D9" s="141" t="inlineStr">
        <is>
          <t>Steps</t>
        </is>
      </c>
      <c r="E9" s="140" t="inlineStr">
        <is>
          <t>Base Spread Expression</t>
        </is>
      </c>
      <c r="F9" s="140" t="inlineStr">
        <is>
          <t>Subsequent Spread (After Autofill)</t>
        </is>
      </c>
      <c r="G9" s="141" t="inlineStr">
        <is>
          <t>Action by Analyst</t>
        </is>
      </c>
      <c r="H9" s="140" t="inlineStr">
        <is>
          <t>Expression in Formula Bar</t>
        </is>
      </c>
      <c r="I9" s="140" t="inlineStr">
        <is>
          <t>Model Cell Value</t>
        </is>
      </c>
      <c r="J9" s="141" t="inlineStr">
        <is>
          <t>Expected Result</t>
        </is>
      </c>
      <c r="K9" s="141" t="inlineStr">
        <is>
          <t>Status</t>
        </is>
      </c>
      <c r="L9" s="8" t="inlineStr">
        <is>
          <t>Automation Status</t>
        </is>
      </c>
      <c r="M9" s="8" t="inlineStr">
        <is>
          <t>Mapped Scripts</t>
        </is>
      </c>
      <c r="N9" s="142" t="n"/>
    </row>
    <row r="10">
      <c r="B10" s="144" t="n"/>
      <c r="C10" s="144" t="inlineStr">
        <is>
          <t>First-Time Spreading</t>
        </is>
      </c>
      <c r="D10" s="144" t="n"/>
      <c r="E10" s="144" t="n"/>
      <c r="F10" s="144" t="n"/>
      <c r="G10" s="144" t="n"/>
      <c r="H10" s="145" t="n"/>
      <c r="I10" s="144" t="n"/>
      <c r="J10" s="144" t="n"/>
      <c r="K10" s="144" t="n"/>
      <c r="L10" s="144" t="n"/>
      <c r="M10" s="144" t="n"/>
      <c r="N10" s="146" t="n"/>
    </row>
    <row r="11" ht="25.5" customHeight="1">
      <c r="B11" s="18" t="n">
        <v>1</v>
      </c>
      <c r="C11" s="18" t="inlineStr">
        <is>
          <t>Auto Fill button should be shown as disabled in the first time spreading (Internal Release).</t>
        </is>
      </c>
      <c r="D11" s="18" t="inlineStr">
        <is>
          <t>Check autofill option for the first time spreading.</t>
        </is>
      </c>
      <c r="E11" s="71" t="n"/>
      <c r="F11" s="71" t="n"/>
      <c r="G11" s="71" t="n"/>
      <c r="H11" s="71" t="n"/>
      <c r="I11" s="71" t="n"/>
      <c r="J11" s="18" t="inlineStr">
        <is>
          <t>Autofill button should be disabled.</t>
        </is>
      </c>
      <c r="K11" s="72" t="inlineStr">
        <is>
          <t>Pending</t>
        </is>
      </c>
      <c r="L11" s="366" t="inlineStr">
        <is>
          <t>Done</t>
        </is>
      </c>
      <c r="M11" s="94" t="n"/>
    </row>
    <row r="12" ht="51" customHeight="1">
      <c r="B12" s="366" t="n">
        <v>2</v>
      </c>
      <c r="C12" s="366" t="inlineStr">
        <is>
          <t>Clicking the Clear zone button should remove the zone in the document (left pane) and the mapping in the cell of the model (right pane).</t>
        </is>
      </c>
      <c r="D12" s="366" t="n"/>
      <c r="E12" s="366" t="inlineStr">
        <is>
          <t xml:space="preserve">MV1(Z1)_K+_MV2(Z2)
</t>
        </is>
      </c>
      <c r="F12" s="71" t="n"/>
      <c r="G12" s="366" t="inlineStr">
        <is>
          <t>Remove Z1.</t>
        </is>
      </c>
      <c r="H12" s="366" t="inlineStr">
        <is>
          <t>MV2</t>
        </is>
      </c>
      <c r="I12" s="366" t="inlineStr">
        <is>
          <t>MV2</t>
        </is>
      </c>
      <c r="J12" s="366" t="n"/>
      <c r="K12" s="72" t="inlineStr">
        <is>
          <t>Pending</t>
        </is>
      </c>
      <c r="L12" s="366" t="inlineStr">
        <is>
          <t>Done</t>
        </is>
      </c>
      <c r="M12" s="94" t="n"/>
    </row>
    <row r="13" ht="51" customHeight="1">
      <c r="B13" s="366" t="n"/>
      <c r="C13" s="366" t="n"/>
      <c r="D13" s="366" t="n"/>
      <c r="E13" s="366" t="inlineStr">
        <is>
          <t xml:space="preserve">MV1(Z1)_K/_MV2(Z2)
</t>
        </is>
      </c>
      <c r="F13" s="71" t="n"/>
      <c r="G13" s="366" t="inlineStr">
        <is>
          <t>Remove Z1</t>
        </is>
      </c>
      <c r="H13" s="366" t="inlineStr">
        <is>
          <t>MV2</t>
        </is>
      </c>
      <c r="I13" s="366" t="inlineStr">
        <is>
          <t>MV2</t>
        </is>
      </c>
      <c r="J13" s="366" t="n"/>
      <c r="K13" s="72" t="inlineStr">
        <is>
          <t>Pending</t>
        </is>
      </c>
      <c r="L13" s="366" t="inlineStr">
        <is>
          <t>Done</t>
        </is>
      </c>
      <c r="M13" s="94" t="n"/>
    </row>
    <row r="14" ht="51" customHeight="1">
      <c r="B14" s="366" t="n"/>
      <c r="C14" s="366" t="n"/>
      <c r="D14" s="366" t="n"/>
      <c r="E14" s="366" t="inlineStr">
        <is>
          <t xml:space="preserve">MV1(Z1)_R-_MV2(Z2)
</t>
        </is>
      </c>
      <c r="F14" s="71" t="n"/>
      <c r="G14" s="366" t="inlineStr">
        <is>
          <t>Remove Z1</t>
        </is>
      </c>
      <c r="H14" s="366" t="inlineStr">
        <is>
          <t>MV2</t>
        </is>
      </c>
      <c r="I14" s="366" t="inlineStr">
        <is>
          <t>MV2</t>
        </is>
      </c>
      <c r="J14" s="366" t="n"/>
      <c r="K14" s="72" t="inlineStr">
        <is>
          <t>Pending</t>
        </is>
      </c>
      <c r="L14" s="366" t="inlineStr">
        <is>
          <t>Done</t>
        </is>
      </c>
      <c r="M14" s="94" t="n"/>
    </row>
    <row r="15" ht="51" customHeight="1">
      <c r="B15" s="28" t="n"/>
      <c r="C15" s="28" t="n"/>
      <c r="D15" s="28" t="n"/>
      <c r="E15" s="28" t="inlineStr">
        <is>
          <t xml:space="preserve">MV1(Z1)_R*_MV2(Z2)
</t>
        </is>
      </c>
      <c r="F15" s="71" t="n"/>
      <c r="G15" s="28" t="inlineStr">
        <is>
          <t>Remove Z1</t>
        </is>
      </c>
      <c r="H15" s="366" t="inlineStr">
        <is>
          <t>MV2</t>
        </is>
      </c>
      <c r="I15" s="366" t="inlineStr">
        <is>
          <t>MV2</t>
        </is>
      </c>
      <c r="J15" s="28" t="n"/>
      <c r="K15" s="72" t="inlineStr">
        <is>
          <t>Pending</t>
        </is>
      </c>
      <c r="L15" s="366" t="inlineStr">
        <is>
          <t>Done</t>
        </is>
      </c>
      <c r="M15" s="94" t="n"/>
    </row>
    <row r="16" ht="51" customHeight="1">
      <c r="B16" s="28" t="n"/>
      <c r="C16" s="28" t="n"/>
      <c r="D16" s="28" t="n"/>
      <c r="E16" s="28" t="inlineStr">
        <is>
          <t xml:space="preserve">MV1(Z1)+MV2(Z2)_R/_MV3(Z3)
</t>
        </is>
      </c>
      <c r="F16" s="71" t="n"/>
      <c r="G16" s="28" t="inlineStr">
        <is>
          <t>Remove Z2</t>
        </is>
      </c>
      <c r="H16" s="28" t="inlineStr">
        <is>
          <t>MV1/MV3</t>
        </is>
      </c>
      <c r="I16" s="28" t="inlineStr">
        <is>
          <t>MV1/MV3</t>
        </is>
      </c>
      <c r="J16" s="28" t="n"/>
      <c r="K16" s="72" t="inlineStr">
        <is>
          <t>Pending</t>
        </is>
      </c>
      <c r="L16" s="366" t="inlineStr">
        <is>
          <t>Done</t>
        </is>
      </c>
      <c r="M16" s="94" t="n"/>
    </row>
    <row r="17">
      <c r="B17" s="144" t="n"/>
      <c r="C17" s="144" t="inlineStr">
        <is>
          <t>Subsequent Spreading &gt; First-Time Autofill</t>
        </is>
      </c>
      <c r="D17" s="144" t="n"/>
      <c r="E17" s="144" t="n"/>
      <c r="F17" s="144" t="n"/>
      <c r="G17" s="144" t="n"/>
      <c r="H17" s="145" t="n"/>
      <c r="I17" s="144" t="n"/>
      <c r="J17" s="144" t="n"/>
      <c r="K17" s="144" t="n"/>
      <c r="L17" s="144" t="n"/>
      <c r="M17" s="144" t="n"/>
      <c r="N17" s="146" t="n"/>
    </row>
    <row r="18" ht="63.75" customHeight="1">
      <c r="B18" s="18" t="n">
        <v>3</v>
      </c>
      <c r="C18" s="18" t="inlineStr">
        <is>
          <t>Before pressing the Auto Fill button, if the user mapped some values from the document to the model and then clicked the Auto Fill button, the already populated values (whether mapped or manual adjustments) should be wiped out.</t>
        </is>
      </c>
      <c r="D18" s="18" t="inlineStr">
        <is>
          <t>1. Map values - Manual plus mapped.
2. Click autofill.</t>
        </is>
      </c>
      <c r="E18" s="71" t="n"/>
      <c r="F18" s="71" t="n"/>
      <c r="G18" s="71" t="n"/>
      <c r="H18" s="71" t="n"/>
      <c r="I18" s="71" t="n"/>
      <c r="J18" s="18" t="inlineStr">
        <is>
          <t>Wipe out all mapped (manual+map) values.</t>
        </is>
      </c>
      <c r="K18" s="72" t="inlineStr">
        <is>
          <t>Pending</t>
        </is>
      </c>
      <c r="L18" s="366" t="inlineStr">
        <is>
          <t>Done</t>
        </is>
      </c>
      <c r="M18" s="94" t="n"/>
    </row>
    <row r="19" ht="25.5" customHeight="1">
      <c r="B19" s="366" t="n">
        <v>4</v>
      </c>
      <c r="C19" s="366" t="inlineStr">
        <is>
          <t>Auto fill button should get enabled upon detecting/drawing a new zone in the document.</t>
        </is>
      </c>
      <c r="D19" s="366" t="inlineStr">
        <is>
          <t>Do not detect any zone.</t>
        </is>
      </c>
      <c r="E19" s="71" t="n"/>
      <c r="F19" s="71" t="n"/>
      <c r="G19" s="71" t="n"/>
      <c r="H19" s="71" t="n"/>
      <c r="I19" s="71" t="n"/>
      <c r="J19" s="366" t="inlineStr">
        <is>
          <t>Autofill should be disabled.</t>
        </is>
      </c>
      <c r="K19" s="72" t="inlineStr">
        <is>
          <t>Pending</t>
        </is>
      </c>
      <c r="L19" s="366" t="inlineStr">
        <is>
          <t>Done</t>
        </is>
      </c>
      <c r="M19" s="94" t="n"/>
    </row>
    <row r="20" ht="25.5" customHeight="1">
      <c r="B20" s="366" t="n"/>
      <c r="C20" s="366" t="n"/>
      <c r="D20" s="366" t="inlineStr">
        <is>
          <t>Detect table</t>
        </is>
      </c>
      <c r="E20" s="71" t="n"/>
      <c r="F20" s="71" t="n"/>
      <c r="G20" s="71" t="n"/>
      <c r="H20" s="71" t="n"/>
      <c r="I20" s="71" t="n"/>
      <c r="J20" s="366" t="inlineStr">
        <is>
          <t>Autofill should be enabled</t>
        </is>
      </c>
      <c r="K20" s="72" t="inlineStr">
        <is>
          <t>Pending</t>
        </is>
      </c>
      <c r="L20" s="366" t="inlineStr">
        <is>
          <t>Done</t>
        </is>
      </c>
      <c r="M20" s="94" t="n"/>
    </row>
    <row r="21" ht="25.5" customHeight="1">
      <c r="B21" s="366" t="n"/>
      <c r="C21" s="366" t="n"/>
      <c r="D21" s="366" t="inlineStr">
        <is>
          <t>Draw table</t>
        </is>
      </c>
      <c r="E21" s="71" t="n"/>
      <c r="F21" s="71" t="n"/>
      <c r="G21" s="71" t="n"/>
      <c r="H21" s="71" t="n"/>
      <c r="I21" s="71" t="n"/>
      <c r="J21" s="366" t="inlineStr">
        <is>
          <t>Autofill should be enabled</t>
        </is>
      </c>
      <c r="K21" s="72" t="inlineStr">
        <is>
          <t>Pending</t>
        </is>
      </c>
      <c r="L21" s="366" t="inlineStr">
        <is>
          <t>Out of Scope</t>
        </is>
      </c>
      <c r="M21" s="94" t="n"/>
    </row>
    <row r="22" ht="63.75" customHeight="1">
      <c r="B22" s="366" t="n">
        <v>5</v>
      </c>
      <c r="C22" s="366" t="inlineStr">
        <is>
          <t>Clicking the Clear Zone button should remove the zone from the document and the corresponding mapping in the model should be replaced by NA in the expression depending on the operator used (*, /) in the expression.</t>
        </is>
      </c>
      <c r="D22" s="366" t="n"/>
      <c r="E22" s="366" t="inlineStr">
        <is>
          <t xml:space="preserve">MV1(Z1)_K+_MV2(Z2)
</t>
        </is>
      </c>
      <c r="F22" s="366" t="inlineStr">
        <is>
          <t xml:space="preserve">MV1(Z1)_K+_MV2(Z2)
</t>
        </is>
      </c>
      <c r="G22" s="366" t="inlineStr">
        <is>
          <t>Remove Z1.</t>
        </is>
      </c>
      <c r="H22" s="366" t="inlineStr">
        <is>
          <t>MV2</t>
        </is>
      </c>
      <c r="I22" s="366" t="inlineStr">
        <is>
          <t>MV2</t>
        </is>
      </c>
      <c r="J22" s="366" t="n"/>
      <c r="K22" s="72" t="inlineStr">
        <is>
          <t>Pending</t>
        </is>
      </c>
      <c r="L22" s="366" t="inlineStr">
        <is>
          <t>Done</t>
        </is>
      </c>
      <c r="M22" s="94" t="n"/>
    </row>
    <row r="23" ht="51" customHeight="1">
      <c r="B23" s="366" t="n"/>
      <c r="C23" s="366" t="n"/>
      <c r="D23" s="366" t="n"/>
      <c r="E23" s="366" t="inlineStr">
        <is>
          <t xml:space="preserve">MV1(Z1)_K/_MV2(Z2)
</t>
        </is>
      </c>
      <c r="F23" s="366" t="inlineStr">
        <is>
          <t xml:space="preserve">MV1(Z1)+MV2(Z2)
</t>
        </is>
      </c>
      <c r="G23" s="366" t="inlineStr">
        <is>
          <t>Remove Z1</t>
        </is>
      </c>
      <c r="H23" s="366" t="inlineStr">
        <is>
          <t xml:space="preserve">NA/MV2
</t>
        </is>
      </c>
      <c r="I23" s="366" t="inlineStr">
        <is>
          <t xml:space="preserve">MV2
</t>
        </is>
      </c>
      <c r="J23" s="366" t="n"/>
      <c r="K23" s="72" t="inlineStr">
        <is>
          <t>Pending</t>
        </is>
      </c>
      <c r="L23" s="366" t="inlineStr">
        <is>
          <t>Done</t>
        </is>
      </c>
      <c r="M23" s="94" t="n"/>
    </row>
    <row r="24" ht="51" customHeight="1">
      <c r="B24" s="366" t="n"/>
      <c r="C24" s="366" t="n"/>
      <c r="D24" s="366" t="n"/>
      <c r="E24" s="366" t="inlineStr">
        <is>
          <t xml:space="preserve">MV1(Z1)_R-_MV2(Z2)
</t>
        </is>
      </c>
      <c r="F24" s="366" t="inlineStr">
        <is>
          <t xml:space="preserve">MV1(Z1)_R-_MV2(Z2)
</t>
        </is>
      </c>
      <c r="G24" s="366" t="inlineStr">
        <is>
          <t>Remove Z1</t>
        </is>
      </c>
      <c r="H24" s="366" t="inlineStr">
        <is>
          <t>MV2</t>
        </is>
      </c>
      <c r="I24" s="366" t="inlineStr">
        <is>
          <t>MV2</t>
        </is>
      </c>
      <c r="J24" s="366" t="n"/>
      <c r="K24" s="72" t="inlineStr">
        <is>
          <t>Pending</t>
        </is>
      </c>
      <c r="L24" s="366" t="inlineStr">
        <is>
          <t>Done</t>
        </is>
      </c>
      <c r="M24" s="94" t="n"/>
    </row>
    <row r="25" ht="51" customHeight="1">
      <c r="B25" s="366" t="n"/>
      <c r="C25" s="366" t="n"/>
      <c r="D25" s="366" t="n"/>
      <c r="E25" s="366" t="inlineStr">
        <is>
          <t xml:space="preserve">MV1(Z1)_R*_MV2(Z2)
</t>
        </is>
      </c>
      <c r="F25" s="366" t="inlineStr">
        <is>
          <t xml:space="preserve">MV1(Z1)_R*_MV2(Z2)
</t>
        </is>
      </c>
      <c r="G25" s="366" t="inlineStr">
        <is>
          <t>Remove Z1</t>
        </is>
      </c>
      <c r="H25" s="366" t="inlineStr">
        <is>
          <t xml:space="preserve">NA*MV2
</t>
        </is>
      </c>
      <c r="I25" s="366" t="inlineStr">
        <is>
          <t>#Value</t>
        </is>
      </c>
      <c r="J25" s="366" t="n"/>
      <c r="K25" s="72" t="inlineStr">
        <is>
          <t>Pending</t>
        </is>
      </c>
      <c r="L25" s="366" t="inlineStr">
        <is>
          <t>Done</t>
        </is>
      </c>
      <c r="M25" s="94" t="n"/>
    </row>
    <row r="26" ht="102" customHeight="1">
      <c r="B26" s="38" t="n">
        <v>6</v>
      </c>
      <c r="C26" s="366" t="inlineStr">
        <is>
          <t>Autofill should only work for the zones which have been tagged in the document. In case zone is cleared and put again, we would consider it as new zone being dropped. This would enable the autofill button. Upon clicking autofill, NA in the expression as per the expression of the base spread would be replaced with values mapped from the new zone.</t>
        </is>
      </c>
      <c r="D26" s="366" t="n"/>
      <c r="E26" s="75" t="n"/>
      <c r="F26" s="366" t="inlineStr">
        <is>
          <t>MV1(Z1)+MV2(Z2)/MV3(Z3)</t>
        </is>
      </c>
      <c r="G26" s="366" t="inlineStr">
        <is>
          <t>Remove Z2.</t>
        </is>
      </c>
      <c r="H26" s="366" t="inlineStr">
        <is>
          <t>MV1+NA/MV3</t>
        </is>
      </c>
      <c r="I26" s="366" t="inlineStr">
        <is>
          <t>#Value</t>
        </is>
      </c>
      <c r="J26" s="366" t="inlineStr">
        <is>
          <t>Autofill will be disabled.</t>
        </is>
      </c>
      <c r="K26" s="72" t="inlineStr">
        <is>
          <t>Pending</t>
        </is>
      </c>
      <c r="L26" s="366" t="inlineStr">
        <is>
          <t>Done</t>
        </is>
      </c>
      <c r="M26" s="94" t="n"/>
    </row>
    <row r="27" ht="25.5" customHeight="1">
      <c r="B27" s="366" t="n"/>
      <c r="C27" s="366" t="n"/>
      <c r="D27" s="366" t="n"/>
      <c r="E27" s="71" t="n"/>
      <c r="F27" s="366" t="inlineStr">
        <is>
          <t>MV1(Z1)+MV2(Z2)/MV3(Z3)</t>
        </is>
      </c>
      <c r="G27" s="366" t="inlineStr">
        <is>
          <t xml:space="preserve">Apply Z2 </t>
        </is>
      </c>
      <c r="H27" s="366" t="inlineStr">
        <is>
          <t>MV1+NA/MV3</t>
        </is>
      </c>
      <c r="I27" s="366" t="inlineStr">
        <is>
          <t>#Value</t>
        </is>
      </c>
      <c r="J27" s="366" t="inlineStr">
        <is>
          <t>Autofill will be enabled</t>
        </is>
      </c>
      <c r="K27" s="72" t="inlineStr">
        <is>
          <t>Pending</t>
        </is>
      </c>
      <c r="L27" s="366" t="inlineStr">
        <is>
          <t>Done</t>
        </is>
      </c>
      <c r="M27" s="94" t="n"/>
    </row>
    <row r="28" ht="63.75" customHeight="1">
      <c r="B28" s="366" t="n"/>
      <c r="C28" s="366" t="inlineStr">
        <is>
          <t>– On the spreading screen, expression will not get loaded automatically in the current spread. Expression will get loaded for only those cells which got auto filled from the dropped zones when the user explicitly clicked Auto fill</t>
        </is>
      </c>
      <c r="D28" s="366" t="n"/>
      <c r="E28" s="71" t="n"/>
      <c r="F28" s="366" t="inlineStr">
        <is>
          <t>MV1(Z1)+MV2(Z2)/MV3(Z3)</t>
        </is>
      </c>
      <c r="G28" s="366" t="inlineStr">
        <is>
          <t>Click autofill</t>
        </is>
      </c>
      <c r="H28" s="366" t="inlineStr">
        <is>
          <t>MV1+MV2/MV3</t>
        </is>
      </c>
      <c r="I28" s="366" t="n"/>
      <c r="J28" s="366" t="inlineStr">
        <is>
          <t>Autofill will be disabled</t>
        </is>
      </c>
      <c r="K28" s="72" t="inlineStr">
        <is>
          <t>Pending</t>
        </is>
      </c>
      <c r="L28" s="366" t="inlineStr">
        <is>
          <t>Done</t>
        </is>
      </c>
      <c r="M28" s="94" t="n"/>
    </row>
    <row r="29" ht="102" customHeight="1">
      <c r="B29" s="366" t="n">
        <v>7</v>
      </c>
      <c r="C29" s="366" t="inlineStr">
        <is>
          <t>Identical line items should not be auto filled even in the same zone or from multiples zones with same name. For example, if the user added a balance sheet zone and clicked auto fill button, ZC1 will get mapped to the cell and then a new zone with same name dropped and then upon subsequent autofill, already mapped value ZC1 should get replaced with NA.</t>
        </is>
      </c>
      <c r="D29" s="366" t="inlineStr">
        <is>
          <t>Base sprd-Current sprd.
Others(Z1) Others(Z1).
Others(Z1).</t>
        </is>
      </c>
      <c r="E29" s="366" t="inlineStr">
        <is>
          <t>1. Drop Z1 which has 1 other(MV2) 
MV1(Z1)+MV2(Z1)</t>
        </is>
      </c>
      <c r="F29" s="366" t="inlineStr">
        <is>
          <t>1. Drop Z1 which has 2 others</t>
        </is>
      </c>
      <c r="G29" s="366" t="inlineStr">
        <is>
          <t>Autofill.</t>
        </is>
      </c>
      <c r="H29" s="366" t="inlineStr">
        <is>
          <t>MV1</t>
        </is>
      </c>
      <c r="I29" s="366" t="inlineStr">
        <is>
          <t>MV1</t>
        </is>
      </c>
      <c r="J29" s="366" t="inlineStr">
        <is>
          <t>Autofill should not happen for MV2.</t>
        </is>
      </c>
      <c r="K29" s="72" t="inlineStr">
        <is>
          <t>Pending</t>
        </is>
      </c>
      <c r="L29" s="366" t="inlineStr">
        <is>
          <t>Done</t>
        </is>
      </c>
      <c r="M29" s="94" t="n"/>
    </row>
    <row r="30">
      <c r="B30" s="366" t="n"/>
      <c r="C30" s="366" t="n"/>
      <c r="D30" s="366" t="n"/>
      <c r="E30" s="366" t="inlineStr">
        <is>
          <t>MV1(Z1)/MV2(Z1)</t>
        </is>
      </c>
      <c r="F30" s="366" t="n"/>
      <c r="G30" s="366" t="inlineStr">
        <is>
          <t>Autofill</t>
        </is>
      </c>
      <c r="H30" s="366" t="inlineStr">
        <is>
          <t>MV1/NA</t>
        </is>
      </c>
      <c r="I30" s="366" t="inlineStr">
        <is>
          <t>#VALUE</t>
        </is>
      </c>
      <c r="J30" s="366" t="n"/>
      <c r="K30" s="72" t="inlineStr">
        <is>
          <t>Pending</t>
        </is>
      </c>
      <c r="L30" s="366" t="inlineStr">
        <is>
          <t>Done</t>
        </is>
      </c>
      <c r="M30" s="94" t="n"/>
    </row>
    <row r="31">
      <c r="B31" s="366" t="n"/>
      <c r="C31" s="366" t="n"/>
      <c r="D31" s="366" t="n"/>
      <c r="E31" s="366" t="inlineStr">
        <is>
          <t>MV1(Z1)*MV2(Z1)</t>
        </is>
      </c>
      <c r="F31" s="366" t="n"/>
      <c r="G31" s="366" t="inlineStr">
        <is>
          <t>Autofill</t>
        </is>
      </c>
      <c r="H31" s="366" t="inlineStr">
        <is>
          <t>MV1*NA</t>
        </is>
      </c>
      <c r="I31" s="366" t="inlineStr">
        <is>
          <t>#VALUE</t>
        </is>
      </c>
      <c r="J31" s="366" t="n"/>
      <c r="K31" s="72" t="inlineStr">
        <is>
          <t>Pending</t>
        </is>
      </c>
      <c r="L31" s="366" t="inlineStr">
        <is>
          <t>Done</t>
        </is>
      </c>
      <c r="M31" s="94" t="n"/>
    </row>
    <row r="32" ht="25.5" customHeight="1">
      <c r="B32" s="366" t="n"/>
      <c r="C32" s="366" t="n"/>
      <c r="D32" s="366" t="n"/>
      <c r="E32" s="366" t="inlineStr">
        <is>
          <t>MV2(Z1)</t>
        </is>
      </c>
      <c r="F32" s="366" t="n"/>
      <c r="G32" s="366" t="inlineStr">
        <is>
          <t>Autofill</t>
        </is>
      </c>
      <c r="H32" s="366" t="n"/>
      <c r="I32" s="366" t="n"/>
      <c r="J32" s="366" t="inlineStr">
        <is>
          <t>Autofill should not happen</t>
        </is>
      </c>
      <c r="K32" s="72" t="inlineStr">
        <is>
          <t>Pending</t>
        </is>
      </c>
      <c r="L32" s="366" t="inlineStr">
        <is>
          <t>Done</t>
        </is>
      </c>
      <c r="M32" s="94" t="n"/>
    </row>
    <row r="33" ht="63.75" customHeight="1">
      <c r="B33" s="366" t="n"/>
      <c r="C33" s="366" t="n"/>
      <c r="D33" s="366" t="n"/>
      <c r="E33" s="366" t="inlineStr">
        <is>
          <t>1. Drop Z1 which has 1 other(MV2) 
MV1(Z1)+MV2(Z1)</t>
        </is>
      </c>
      <c r="F33" s="366" t="inlineStr">
        <is>
          <t>1. Drop Z1 which has 1 others and another Z1 with 1 others</t>
        </is>
      </c>
      <c r="G33" s="366" t="inlineStr">
        <is>
          <t>Autofill</t>
        </is>
      </c>
      <c r="H33" s="366" t="n"/>
      <c r="I33" s="366" t="n"/>
      <c r="J33" s="366" t="inlineStr">
        <is>
          <t>Autofill should not happen FOR mv2</t>
        </is>
      </c>
      <c r="K33" s="72" t="inlineStr">
        <is>
          <t>Pending</t>
        </is>
      </c>
      <c r="L33" s="366" t="inlineStr">
        <is>
          <t>Done</t>
        </is>
      </c>
      <c r="M33" s="94" t="n"/>
    </row>
    <row r="34">
      <c r="B34" s="366" t="n"/>
      <c r="C34" s="366" t="n"/>
      <c r="D34" s="366" t="n"/>
      <c r="E34" s="366" t="inlineStr">
        <is>
          <t>MV1(Z1)/MV2(Z1)</t>
        </is>
      </c>
      <c r="F34" s="366" t="n"/>
      <c r="G34" s="366" t="inlineStr">
        <is>
          <t>Autofill</t>
        </is>
      </c>
      <c r="H34" s="366" t="inlineStr">
        <is>
          <t>MV1/NA</t>
        </is>
      </c>
      <c r="I34" s="366" t="n"/>
      <c r="J34" s="366" t="n"/>
      <c r="K34" s="72" t="inlineStr">
        <is>
          <t>Pending</t>
        </is>
      </c>
      <c r="L34" s="366" t="inlineStr">
        <is>
          <t>Done</t>
        </is>
      </c>
      <c r="M34" s="94" t="n"/>
    </row>
    <row r="35" ht="76.5" customHeight="1">
      <c r="B35" s="366" t="n"/>
      <c r="C35" s="366" t="n"/>
      <c r="D35" s="76" t="inlineStr">
        <is>
          <t xml:space="preserve">Base sprd-Current sprd
Others(Z1)   Others(Z1)
Others(Z1)                       </t>
        </is>
      </c>
      <c r="E35" s="366" t="inlineStr">
        <is>
          <t>1. Drop Z1 which has 1 others(MV1) and Z1 which has 1 others(MV2) 
MV1(Z1)+MV2(Z1)</t>
        </is>
      </c>
      <c r="F35" s="366" t="inlineStr">
        <is>
          <t>1. Drop Z1 which has 1 others</t>
        </is>
      </c>
      <c r="G35" s="366" t="inlineStr">
        <is>
          <t>Autofill</t>
        </is>
      </c>
      <c r="H35" s="366" t="n"/>
      <c r="I35" s="366" t="n"/>
      <c r="J35" s="366" t="inlineStr">
        <is>
          <t>Autofill should not happen</t>
        </is>
      </c>
      <c r="K35" s="72" t="inlineStr">
        <is>
          <t>Pending</t>
        </is>
      </c>
      <c r="L35" s="366" t="inlineStr">
        <is>
          <t>Done</t>
        </is>
      </c>
      <c r="M35" s="94" t="n"/>
    </row>
    <row r="36" ht="25.5" customHeight="1">
      <c r="B36" s="366" t="n"/>
      <c r="C36" s="366" t="n"/>
      <c r="D36" s="366" t="n"/>
      <c r="E36" s="366" t="inlineStr">
        <is>
          <t>MV1(Z1)/MV2(Z1)</t>
        </is>
      </c>
      <c r="F36" s="366" t="n"/>
      <c r="G36" s="366" t="inlineStr">
        <is>
          <t>Autofill</t>
        </is>
      </c>
      <c r="H36" s="366" t="n"/>
      <c r="I36" s="366" t="n"/>
      <c r="J36" s="366" t="inlineStr">
        <is>
          <t>Autofill should not happen</t>
        </is>
      </c>
      <c r="K36" s="72" t="inlineStr">
        <is>
          <t>Pending</t>
        </is>
      </c>
      <c r="L36" s="366" t="inlineStr">
        <is>
          <t>Done</t>
        </is>
      </c>
      <c r="M36" s="94" t="n"/>
    </row>
    <row r="37" ht="25.5" customHeight="1">
      <c r="B37" s="366" t="n"/>
      <c r="C37" s="366" t="n"/>
      <c r="D37" s="366" t="n"/>
      <c r="E37" s="366" t="inlineStr">
        <is>
          <t>MV2(Z1)/MV1(Z1)</t>
        </is>
      </c>
      <c r="F37" s="366" t="n"/>
      <c r="G37" s="366" t="inlineStr">
        <is>
          <t>Autofill</t>
        </is>
      </c>
      <c r="H37" s="366" t="n"/>
      <c r="I37" s="366" t="n"/>
      <c r="J37" s="366" t="inlineStr">
        <is>
          <t>Autofill should not happen</t>
        </is>
      </c>
      <c r="K37" s="72" t="inlineStr">
        <is>
          <t>Pending</t>
        </is>
      </c>
      <c r="L37" s="366" t="inlineStr">
        <is>
          <t>Done</t>
        </is>
      </c>
      <c r="M37" s="94" t="n"/>
    </row>
    <row r="38" ht="63.75" customHeight="1">
      <c r="B38" s="366" t="n"/>
      <c r="C38" s="366" t="n"/>
      <c r="D38" s="76" t="inlineStr">
        <is>
          <t xml:space="preserve">Base sprd-Current sprd
Others(Z1)   Others(Z1)
Others(Z1)                       </t>
        </is>
      </c>
      <c r="E38" s="366" t="inlineStr">
        <is>
          <t>1. Drop Z1 which has 2 others(MV1) AND (MV2) 
MV1(Z1)+MV2(Z1)</t>
        </is>
      </c>
      <c r="F38" s="366" t="inlineStr">
        <is>
          <t>1. Drop Z1 which has 1 others</t>
        </is>
      </c>
      <c r="G38" s="366" t="inlineStr">
        <is>
          <t>Autofill</t>
        </is>
      </c>
      <c r="H38" s="366" t="n"/>
      <c r="I38" s="366" t="n"/>
      <c r="J38" s="366" t="inlineStr">
        <is>
          <t>Autofill should not happen</t>
        </is>
      </c>
      <c r="K38" s="72" t="inlineStr">
        <is>
          <t>Pending</t>
        </is>
      </c>
      <c r="L38" s="366" t="inlineStr">
        <is>
          <t>Done</t>
        </is>
      </c>
      <c r="M38" s="94" t="n"/>
    </row>
    <row r="39" ht="25.5" customHeight="1">
      <c r="B39" s="366" t="n"/>
      <c r="C39" s="366" t="n"/>
      <c r="D39" s="366" t="n"/>
      <c r="E39" s="366" t="inlineStr">
        <is>
          <t>MV1(Z1)/MV2(Z1)</t>
        </is>
      </c>
      <c r="F39" s="366" t="n"/>
      <c r="G39" s="366" t="inlineStr">
        <is>
          <t>Autofill</t>
        </is>
      </c>
      <c r="H39" s="366" t="n"/>
      <c r="I39" s="366" t="n"/>
      <c r="J39" s="366" t="inlineStr">
        <is>
          <t>Autofill should not happen</t>
        </is>
      </c>
      <c r="K39" s="72" t="inlineStr">
        <is>
          <t>Pending</t>
        </is>
      </c>
      <c r="L39" s="366" t="inlineStr">
        <is>
          <t>Done</t>
        </is>
      </c>
      <c r="M39" s="94" t="n"/>
    </row>
    <row r="40" ht="25.5" customHeight="1">
      <c r="B40" s="366" t="n"/>
      <c r="C40" s="366" t="n"/>
      <c r="D40" s="366" t="n"/>
      <c r="E40" s="366" t="inlineStr">
        <is>
          <t>MV2(Z1)/MV1(Z1)</t>
        </is>
      </c>
      <c r="F40" s="366" t="n"/>
      <c r="G40" s="366" t="inlineStr">
        <is>
          <t>Autofill</t>
        </is>
      </c>
      <c r="H40" s="366" t="n"/>
      <c r="I40" s="366" t="n"/>
      <c r="J40" s="366" t="inlineStr">
        <is>
          <t>Autofill should not happen</t>
        </is>
      </c>
      <c r="K40" s="72" t="inlineStr">
        <is>
          <t>Pending</t>
        </is>
      </c>
      <c r="L40" s="366" t="inlineStr">
        <is>
          <t>Done</t>
        </is>
      </c>
      <c r="M40" s="94" t="n"/>
    </row>
    <row r="41" ht="25.5" customHeight="1">
      <c r="B41" s="366" t="n"/>
      <c r="C41" s="366" t="n"/>
      <c r="D41" s="366" t="n"/>
      <c r="E41" s="366" t="inlineStr">
        <is>
          <t>MV1(Z1)/MV2(Z1)+MV3(Z2)</t>
        </is>
      </c>
      <c r="F41" s="366" t="inlineStr">
        <is>
          <t>1. Drop Z1 and Z2</t>
        </is>
      </c>
      <c r="G41" s="366" t="inlineStr">
        <is>
          <t>Autofill</t>
        </is>
      </c>
      <c r="H41" s="366" t="inlineStr">
        <is>
          <t>NA/NA+MV3</t>
        </is>
      </c>
      <c r="I41" s="366" t="n"/>
      <c r="J41" s="366" t="n"/>
      <c r="K41" s="72" t="inlineStr">
        <is>
          <t>Pending</t>
        </is>
      </c>
      <c r="L41" s="366" t="inlineStr">
        <is>
          <t>Done</t>
        </is>
      </c>
      <c r="M41" s="94" t="n"/>
    </row>
    <row r="42" ht="127.5" customHeight="1">
      <c r="B42" s="366" t="n"/>
      <c r="C42" s="366" t="n"/>
      <c r="D42" s="76" t="inlineStr">
        <is>
          <t xml:space="preserve">Base sprd-Current sprd
Others(Z1)   Others(Z1)
Others(Z1)    Others(Z1)                   </t>
        </is>
      </c>
      <c r="E42" s="366" t="inlineStr">
        <is>
          <t>1. Drop Z1 which has 2 others MV1 and MV2
MV1(Z1)+MV2(Z1)</t>
        </is>
      </c>
      <c r="F42" s="366" t="inlineStr">
        <is>
          <t xml:space="preserve">1. Drop Z1 which has 2 others MV1 and MV2
</t>
        </is>
      </c>
      <c r="G42" s="366" t="inlineStr">
        <is>
          <t>Autofill</t>
        </is>
      </c>
      <c r="H42" s="366" t="inlineStr">
        <is>
          <t>MV1(Z1)+MV2(Z1)</t>
        </is>
      </c>
      <c r="I42" s="366" t="n"/>
      <c r="J42" s="366" t="inlineStr">
        <is>
          <t xml:space="preserve">Auto fill should happen for the line item “Others” to the respective cells as mapped in the base spread.
However, the log of such line items would be required.
</t>
        </is>
      </c>
      <c r="K42" s="72" t="inlineStr">
        <is>
          <t>Pending</t>
        </is>
      </c>
      <c r="L42" s="366" t="inlineStr">
        <is>
          <t>Done</t>
        </is>
      </c>
      <c r="M42" s="94" t="n"/>
    </row>
    <row r="43" ht="127.5" customHeight="1">
      <c r="B43" s="366" t="n"/>
      <c r="C43" s="366" t="n"/>
      <c r="D43" s="366" t="n"/>
      <c r="E43" s="366" t="inlineStr">
        <is>
          <t>MV1(Z1)*MV2(Z1)</t>
        </is>
      </c>
      <c r="F43" s="366" t="inlineStr">
        <is>
          <t xml:space="preserve">1. Drop Z1 which has 2 others MV1 and MV2
</t>
        </is>
      </c>
      <c r="G43" s="366" t="inlineStr">
        <is>
          <t>Autofill</t>
        </is>
      </c>
      <c r="H43" s="366" t="inlineStr">
        <is>
          <t>MV1*MV2</t>
        </is>
      </c>
      <c r="I43" s="366" t="n"/>
      <c r="J43" s="366" t="inlineStr">
        <is>
          <t xml:space="preserve">Auto fill should happen for the line item “Others” to the respective cells as mapped in the base spread.
However, the log of such line items would be required.
</t>
        </is>
      </c>
      <c r="K43" s="72" t="inlineStr">
        <is>
          <t>Pending</t>
        </is>
      </c>
      <c r="L43" s="366" t="inlineStr">
        <is>
          <t>Done</t>
        </is>
      </c>
      <c r="M43" s="94" t="n"/>
    </row>
    <row r="44" ht="127.5" customHeight="1">
      <c r="B44" s="366" t="n"/>
      <c r="C44" s="366" t="n"/>
      <c r="D44" s="76" t="inlineStr">
        <is>
          <t xml:space="preserve">Base sprd-Current sprd
Others(Nt map)    Others(Z1)
Others(Z1)            Others(Z1)                   </t>
        </is>
      </c>
      <c r="E44" s="366" t="inlineStr">
        <is>
          <t>1. Drop Z1 which has 2 others MV1 and MV2 but only MV2 is mapped
MV2(Z1)</t>
        </is>
      </c>
      <c r="F44" s="366" t="inlineStr">
        <is>
          <t xml:space="preserve">1. Drop Z1 which has 2 others MV1 and MV2 but only MV2 is mapped
</t>
        </is>
      </c>
      <c r="G44" s="366" t="inlineStr">
        <is>
          <t>Autofill</t>
        </is>
      </c>
      <c r="H44" s="366" t="inlineStr">
        <is>
          <t>MV2</t>
        </is>
      </c>
      <c r="I44" s="366" t="n"/>
      <c r="J44" s="366" t="inlineStr">
        <is>
          <t xml:space="preserve">Auto fill should happen for the line item “Others” to the respective cells as mapped in the base spread.
However, the log of such line items would be required.
</t>
        </is>
      </c>
      <c r="K44" s="72" t="inlineStr">
        <is>
          <t>Pending</t>
        </is>
      </c>
      <c r="L44" s="366" t="inlineStr">
        <is>
          <t>Done</t>
        </is>
      </c>
      <c r="M44" s="94" t="n"/>
    </row>
    <row r="45" ht="51" customHeight="1">
      <c r="B45" s="366" t="n">
        <v>8</v>
      </c>
      <c r="C45" s="366" t="inlineStr">
        <is>
          <t>Manual values should not be auto filled. If the cell contains two manual values with an operator applied from ribbon then nothing should be auto filled.</t>
        </is>
      </c>
      <c r="D45" s="366" t="n"/>
      <c r="E45" s="366" t="inlineStr">
        <is>
          <t>CV1_R+_CV2</t>
        </is>
      </c>
      <c r="F45" s="366" t="n"/>
      <c r="G45" s="366" t="inlineStr">
        <is>
          <t>Autofill.</t>
        </is>
      </c>
      <c r="H45" s="366" t="n"/>
      <c r="I45" s="366" t="n"/>
      <c r="J45" s="366" t="inlineStr">
        <is>
          <t>Autofill should not happen.</t>
        </is>
      </c>
      <c r="K45" s="72" t="inlineStr">
        <is>
          <t>Pending</t>
        </is>
      </c>
      <c r="L45" s="366" t="inlineStr">
        <is>
          <t>Done</t>
        </is>
      </c>
      <c r="M45" s="94" t="n"/>
    </row>
    <row r="46" ht="25.5" customHeight="1">
      <c r="B46" s="366" t="n"/>
      <c r="C46" s="366" t="n"/>
      <c r="D46" s="366" t="n"/>
      <c r="E46" s="366" t="inlineStr">
        <is>
          <t>CV1_R-_CV2</t>
        </is>
      </c>
      <c r="F46" s="366" t="n"/>
      <c r="G46" s="366" t="inlineStr">
        <is>
          <t>Autofill</t>
        </is>
      </c>
      <c r="H46" s="366" t="n"/>
      <c r="I46" s="366" t="n"/>
      <c r="J46" s="366" t="inlineStr">
        <is>
          <t>Autofill should not happen</t>
        </is>
      </c>
      <c r="K46" s="72" t="inlineStr">
        <is>
          <t>Pending</t>
        </is>
      </c>
      <c r="L46" s="366" t="inlineStr">
        <is>
          <t>Done</t>
        </is>
      </c>
      <c r="M46" s="94" t="n"/>
    </row>
    <row r="47" ht="25.5" customHeight="1">
      <c r="B47" s="366" t="n"/>
      <c r="C47" s="366" t="n"/>
      <c r="D47" s="366" t="n"/>
      <c r="E47" s="366" t="inlineStr">
        <is>
          <t>CV1_R*_CV2</t>
        </is>
      </c>
      <c r="F47" s="366" t="n"/>
      <c r="G47" s="366" t="inlineStr">
        <is>
          <t>Autofill</t>
        </is>
      </c>
      <c r="H47" s="366" t="n"/>
      <c r="I47" s="366" t="n"/>
      <c r="J47" s="366" t="inlineStr">
        <is>
          <t>Autofill should not happen</t>
        </is>
      </c>
      <c r="K47" s="72" t="inlineStr">
        <is>
          <t>Pending</t>
        </is>
      </c>
      <c r="L47" s="366" t="inlineStr">
        <is>
          <t>Done</t>
        </is>
      </c>
      <c r="M47" s="94" t="n"/>
    </row>
    <row r="48" ht="25.5" customHeight="1">
      <c r="B48" s="366" t="n"/>
      <c r="C48" s="366" t="n"/>
      <c r="D48" s="366" t="n"/>
      <c r="E48" s="366" t="inlineStr">
        <is>
          <t>CV1_R/_CV2</t>
        </is>
      </c>
      <c r="F48" s="366" t="n"/>
      <c r="G48" s="366" t="inlineStr">
        <is>
          <t>Autofill</t>
        </is>
      </c>
      <c r="H48" s="366" t="n"/>
      <c r="I48" s="366" t="n"/>
      <c r="J48" s="366" t="inlineStr">
        <is>
          <t>Autofill should not happen</t>
        </is>
      </c>
      <c r="K48" s="72" t="inlineStr">
        <is>
          <t>Pending</t>
        </is>
      </c>
      <c r="L48" s="366" t="inlineStr">
        <is>
          <t>Done</t>
        </is>
      </c>
      <c r="M48" s="94" t="n"/>
    </row>
    <row r="49" ht="25.5" customHeight="1">
      <c r="B49" s="366" t="n"/>
      <c r="C49" s="366" t="n"/>
      <c r="D49" s="366" t="n"/>
      <c r="E49" s="366" t="inlineStr">
        <is>
          <t>CV1_K+_CV2</t>
        </is>
      </c>
      <c r="F49" s="366" t="n"/>
      <c r="G49" s="366" t="inlineStr">
        <is>
          <t>Autofill</t>
        </is>
      </c>
      <c r="H49" s="366" t="n"/>
      <c r="I49" s="366" t="n"/>
      <c r="J49" s="366" t="inlineStr">
        <is>
          <t>Autofill should not happen</t>
        </is>
      </c>
      <c r="K49" s="72" t="inlineStr">
        <is>
          <t>Pending</t>
        </is>
      </c>
      <c r="L49" s="366" t="inlineStr">
        <is>
          <t>Done</t>
        </is>
      </c>
      <c r="M49" s="94" t="n"/>
    </row>
    <row r="50" ht="25.5" customHeight="1">
      <c r="B50" s="366" t="n"/>
      <c r="C50" s="366" t="n"/>
      <c r="D50" s="366" t="n"/>
      <c r="E50" s="366" t="inlineStr">
        <is>
          <t>CV1_K-_CV2</t>
        </is>
      </c>
      <c r="F50" s="366" t="n"/>
      <c r="G50" s="366" t="inlineStr">
        <is>
          <t>Autofill</t>
        </is>
      </c>
      <c r="H50" s="366" t="n"/>
      <c r="I50" s="366" t="n"/>
      <c r="J50" s="366" t="inlineStr">
        <is>
          <t>Autofill should not happen</t>
        </is>
      </c>
      <c r="K50" s="72" t="inlineStr">
        <is>
          <t>Pending</t>
        </is>
      </c>
      <c r="L50" s="366" t="inlineStr">
        <is>
          <t>Done</t>
        </is>
      </c>
      <c r="M50" s="94" t="n"/>
    </row>
    <row r="51" ht="25.5" customHeight="1">
      <c r="B51" s="366" t="n"/>
      <c r="C51" s="366" t="n"/>
      <c r="D51" s="366" t="n"/>
      <c r="E51" s="366" t="inlineStr">
        <is>
          <t>CV1_K*_CV2</t>
        </is>
      </c>
      <c r="F51" s="366" t="n"/>
      <c r="G51" s="366" t="inlineStr">
        <is>
          <t>Autofill</t>
        </is>
      </c>
      <c r="H51" s="366" t="n"/>
      <c r="I51" s="366" t="n"/>
      <c r="J51" s="366" t="inlineStr">
        <is>
          <t>Autofill should not happen</t>
        </is>
      </c>
      <c r="K51" s="72" t="inlineStr">
        <is>
          <t>Pending</t>
        </is>
      </c>
      <c r="L51" s="366" t="inlineStr">
        <is>
          <t>Done</t>
        </is>
      </c>
      <c r="M51" s="94" t="n"/>
    </row>
    <row r="52" ht="25.5" customHeight="1">
      <c r="B52" s="366" t="n"/>
      <c r="C52" s="366" t="n"/>
      <c r="D52" s="366" t="n"/>
      <c r="E52" s="366" t="inlineStr">
        <is>
          <t>CV1_K/_CV2</t>
        </is>
      </c>
      <c r="F52" s="366" t="n"/>
      <c r="G52" s="366" t="inlineStr">
        <is>
          <t>Autofill</t>
        </is>
      </c>
      <c r="H52" s="366" t="n"/>
      <c r="I52" s="366" t="n"/>
      <c r="J52" s="366" t="inlineStr">
        <is>
          <t>Autofill should not happen</t>
        </is>
      </c>
      <c r="K52" s="72" t="inlineStr">
        <is>
          <t>Pending</t>
        </is>
      </c>
      <c r="L52" s="366" t="inlineStr">
        <is>
          <t>Done</t>
        </is>
      </c>
      <c r="M52" s="94" t="n"/>
    </row>
    <row r="53" ht="76.5" customHeight="1">
      <c r="B53" s="366" t="n">
        <v>9</v>
      </c>
      <c r="C53" s="366" t="inlineStr">
        <is>
          <t>If multiply or divide operators are available in the expression &amp; the mapped value is missing then the missing value should be replaced with NA in the auto filled expression. #VALUE should be shown in the cell as the expression should not get computed with NA.</t>
        </is>
      </c>
      <c r="D53" s="366" t="n"/>
      <c r="E53" s="366" t="inlineStr">
        <is>
          <t>MV1(Z1)+MV2(Z1)_R/3_+MV3(Z1)</t>
        </is>
      </c>
      <c r="F53" s="366" t="n"/>
      <c r="G53" s="366" t="inlineStr">
        <is>
          <t>MV2 not present in doc.</t>
        </is>
      </c>
      <c r="H53" s="366" t="inlineStr">
        <is>
          <t xml:space="preserve">MV1+NA/3+MV3 </t>
        </is>
      </c>
      <c r="I53" s="366" t="inlineStr">
        <is>
          <t>#VALUE</t>
        </is>
      </c>
      <c r="J53" s="366" t="n"/>
      <c r="K53" s="72" t="inlineStr">
        <is>
          <t>Pending</t>
        </is>
      </c>
      <c r="L53" s="366" t="inlineStr">
        <is>
          <t>Done</t>
        </is>
      </c>
      <c r="M53" s="94" t="n"/>
    </row>
    <row r="54" ht="25.5" customHeight="1">
      <c r="B54" s="366" t="n"/>
      <c r="C54" s="366" t="n"/>
      <c r="D54" s="366" t="n"/>
      <c r="E54" s="366" t="inlineStr">
        <is>
          <t>MV1(Z1)+MV2(Z1)_R+3_+MV3(Z1)</t>
        </is>
      </c>
      <c r="F54" s="366" t="n"/>
      <c r="G54" s="366" t="inlineStr">
        <is>
          <t>MV2 not present in doc</t>
        </is>
      </c>
      <c r="H54" s="366" t="inlineStr">
        <is>
          <t>MV1+MV3</t>
        </is>
      </c>
      <c r="I54" s="366" t="n"/>
      <c r="J54" s="366" t="n"/>
      <c r="K54" s="72" t="inlineStr">
        <is>
          <t>Pending</t>
        </is>
      </c>
      <c r="L54" s="366" t="inlineStr">
        <is>
          <t>Done</t>
        </is>
      </c>
      <c r="M54" s="94" t="n"/>
    </row>
    <row r="55" ht="25.5" customHeight="1">
      <c r="B55" s="366" t="n"/>
      <c r="C55" s="366" t="n"/>
      <c r="D55" s="366" t="n"/>
      <c r="E55" s="366" t="inlineStr">
        <is>
          <t>MV1(Z1)+MV2(Z2)_K/3_+MV3(Z3)</t>
        </is>
      </c>
      <c r="F55" s="366" t="n"/>
      <c r="G55" s="366" t="inlineStr">
        <is>
          <t>Z2 not tagged</t>
        </is>
      </c>
      <c r="H55" s="366" t="inlineStr">
        <is>
          <t xml:space="preserve">MV1+MV3 </t>
        </is>
      </c>
      <c r="I55" s="366" t="n"/>
      <c r="J55" s="366" t="n"/>
      <c r="K55" s="72" t="inlineStr">
        <is>
          <t>Pending</t>
        </is>
      </c>
      <c r="L55" s="366" t="inlineStr">
        <is>
          <t>Done</t>
        </is>
      </c>
      <c r="M55" s="94" t="n"/>
    </row>
    <row r="56" ht="25.5" customHeight="1">
      <c r="B56" s="366" t="n"/>
      <c r="C56" s="366" t="n"/>
      <c r="D56" s="366" t="n"/>
      <c r="E56" s="366" t="inlineStr">
        <is>
          <t>MV1(Z1)+MV2(Z2)_R*3_+MV3(Z3)</t>
        </is>
      </c>
      <c r="F56" s="366" t="n"/>
      <c r="G56" s="366" t="inlineStr">
        <is>
          <t>Z2 not tagged</t>
        </is>
      </c>
      <c r="H56" s="366" t="inlineStr">
        <is>
          <t xml:space="preserve">MV1+NA*3+MV3 </t>
        </is>
      </c>
      <c r="I56" s="366" t="inlineStr">
        <is>
          <t>#NAME</t>
        </is>
      </c>
      <c r="J56" s="366" t="n"/>
      <c r="K56" s="72" t="inlineStr">
        <is>
          <t>Pending</t>
        </is>
      </c>
      <c r="L56" s="366" t="inlineStr">
        <is>
          <t>Done</t>
        </is>
      </c>
      <c r="M56" s="94" t="n"/>
    </row>
    <row r="57" ht="51" customHeight="1">
      <c r="B57" s="366" t="n"/>
      <c r="C57" s="366" t="n"/>
      <c r="D57" s="366" t="n"/>
      <c r="E57" s="366" t="inlineStr">
        <is>
          <t>MV1(Z1)_K-_200+MV2(Z2)_R*3_+MV3(Z3)_R/MV2(Z2)</t>
        </is>
      </c>
      <c r="F57" s="366" t="n"/>
      <c r="G57" s="366" t="inlineStr">
        <is>
          <t>Z2 not tagged</t>
        </is>
      </c>
      <c r="H57" s="366" t="inlineStr">
        <is>
          <t>MV1+NA*3+MV3/NA</t>
        </is>
      </c>
      <c r="I57" s="366" t="inlineStr">
        <is>
          <t>#NAME</t>
        </is>
      </c>
      <c r="J57" s="366" t="n"/>
      <c r="K57" s="72" t="inlineStr">
        <is>
          <t>Pending</t>
        </is>
      </c>
      <c r="L57" s="366" t="inlineStr">
        <is>
          <t>Done</t>
        </is>
      </c>
      <c r="M57" s="94" t="n"/>
    </row>
    <row r="58" ht="25.5" customHeight="1">
      <c r="B58" s="366" t="n"/>
      <c r="C58" s="366" t="n"/>
      <c r="D58" s="366" t="inlineStr">
        <is>
          <t>Apply negative</t>
        </is>
      </c>
      <c r="E58" s="366" t="inlineStr">
        <is>
          <t>neg(MV1(Z1)_R*_MV2(Z2))</t>
        </is>
      </c>
      <c r="F58" s="366" t="n"/>
      <c r="G58" s="366" t="inlineStr">
        <is>
          <t>Z1 not tagged</t>
        </is>
      </c>
      <c r="H58" s="366" t="inlineStr">
        <is>
          <t>neg(NA*MV2)</t>
        </is>
      </c>
      <c r="I58" s="366" t="inlineStr">
        <is>
          <t>#NAME</t>
        </is>
      </c>
      <c r="J58" s="366" t="n"/>
      <c r="K58" s="72" t="inlineStr">
        <is>
          <t>Pending</t>
        </is>
      </c>
      <c r="L58" s="366" t="inlineStr">
        <is>
          <t>Done</t>
        </is>
      </c>
      <c r="M58" s="94" t="n"/>
    </row>
    <row r="59" ht="25.5" customHeight="1">
      <c r="B59" s="366" t="n"/>
      <c r="C59" s="366" t="n"/>
      <c r="D59" s="366" t="n"/>
      <c r="E59" s="366" t="inlineStr">
        <is>
          <t>neg(MV1(Z1)_K*_MV2(Z2))</t>
        </is>
      </c>
      <c r="F59" s="366" t="n"/>
      <c r="G59" s="366" t="inlineStr">
        <is>
          <t>Z2 not tagged</t>
        </is>
      </c>
      <c r="H59" s="366" t="inlineStr">
        <is>
          <t>neg(MV1+NA)</t>
        </is>
      </c>
      <c r="I59" s="366" t="inlineStr">
        <is>
          <t>#NAME</t>
        </is>
      </c>
      <c r="J59" s="366" t="n"/>
      <c r="K59" s="72" t="inlineStr">
        <is>
          <t>Pending</t>
        </is>
      </c>
      <c r="L59" s="366" t="inlineStr">
        <is>
          <t>Done</t>
        </is>
      </c>
      <c r="M59" s="94" t="n"/>
    </row>
    <row r="60" ht="25.5" customHeight="1">
      <c r="B60" s="366" t="n"/>
      <c r="C60" s="366" t="n"/>
      <c r="D60" s="366" t="inlineStr">
        <is>
          <t>Apply positive</t>
        </is>
      </c>
      <c r="E60" s="366" t="inlineStr">
        <is>
          <t>abs(neg(MV1(Z1)_R/_MV2(Z2)))</t>
        </is>
      </c>
      <c r="F60" s="366" t="n"/>
      <c r="G60" s="366" t="inlineStr">
        <is>
          <t>Z1 not tagged</t>
        </is>
      </c>
      <c r="H60" s="366" t="inlineStr">
        <is>
          <t>abs(neg(NA/MV2))</t>
        </is>
      </c>
      <c r="I60" s="366" t="inlineStr">
        <is>
          <t>#NAME</t>
        </is>
      </c>
      <c r="J60" s="366" t="n"/>
      <c r="K60" s="72" t="inlineStr">
        <is>
          <t>Pending</t>
        </is>
      </c>
      <c r="L60" s="366" t="inlineStr">
        <is>
          <t>Done</t>
        </is>
      </c>
      <c r="M60" s="94" t="n"/>
    </row>
    <row r="61" ht="25.5" customHeight="1">
      <c r="B61" s="366" t="n"/>
      <c r="C61" s="366" t="n"/>
      <c r="D61" s="366" t="n"/>
      <c r="E61" s="366" t="inlineStr">
        <is>
          <t>abs(neg(MV1(Z1)_K/_MV2(Z2)))</t>
        </is>
      </c>
      <c r="F61" s="366" t="n"/>
      <c r="G61" s="366" t="inlineStr">
        <is>
          <t>Z2 not tagged</t>
        </is>
      </c>
      <c r="H61" s="366" t="inlineStr">
        <is>
          <t>abs(neg(MV1+NA))</t>
        </is>
      </c>
      <c r="I61" s="366" t="inlineStr">
        <is>
          <t>#NAME</t>
        </is>
      </c>
      <c r="J61" s="366" t="n"/>
      <c r="K61" s="72" t="inlineStr">
        <is>
          <t>Pending</t>
        </is>
      </c>
      <c r="L61" s="366" t="inlineStr">
        <is>
          <t>Done</t>
        </is>
      </c>
      <c r="M61" s="94" t="n"/>
    </row>
    <row r="62" ht="25.5" customHeight="1">
      <c r="B62" s="366" t="n"/>
      <c r="C62" s="366" t="n"/>
      <c r="D62" s="366" t="inlineStr">
        <is>
          <t>Apply contra</t>
        </is>
      </c>
      <c r="E62" s="366" t="inlineStr">
        <is>
          <t>abs(neg(MV1(Z1)_R/_MV2(Z2)))*(-1)</t>
        </is>
      </c>
      <c r="F62" s="366" t="n"/>
      <c r="G62" s="366" t="inlineStr">
        <is>
          <t>Z1 not tagged</t>
        </is>
      </c>
      <c r="H62" s="366" t="inlineStr">
        <is>
          <t>abs(neg(NA/MV2))*(-1)</t>
        </is>
      </c>
      <c r="I62" s="366" t="inlineStr">
        <is>
          <t>#NAME</t>
        </is>
      </c>
      <c r="J62" s="366" t="n"/>
      <c r="K62" s="72" t="inlineStr">
        <is>
          <t>Pending</t>
        </is>
      </c>
      <c r="L62" s="366" t="inlineStr">
        <is>
          <t>Done</t>
        </is>
      </c>
      <c r="M62" s="94" t="n"/>
    </row>
    <row r="63" ht="25.5" customHeight="1">
      <c r="B63" s="366" t="n"/>
      <c r="C63" s="366" t="n"/>
      <c r="D63" s="366" t="n"/>
      <c r="E63" s="366" t="inlineStr">
        <is>
          <t>abs(neg(MV1(Z1)_K/_MV2(Z2)))*(-1)</t>
        </is>
      </c>
      <c r="F63" s="366" t="n"/>
      <c r="G63" s="366" t="inlineStr">
        <is>
          <t>Z2 not tagged</t>
        </is>
      </c>
      <c r="H63" s="366" t="inlineStr">
        <is>
          <t>abs(neg(MV1+NA))*(-1)</t>
        </is>
      </c>
      <c r="I63" s="366" t="inlineStr">
        <is>
          <t>#NAME</t>
        </is>
      </c>
      <c r="J63" s="366" t="n"/>
      <c r="K63" s="72" t="inlineStr">
        <is>
          <t>Pending</t>
        </is>
      </c>
      <c r="L63" s="366" t="inlineStr">
        <is>
          <t>Done</t>
        </is>
      </c>
      <c r="M63" s="94" t="n"/>
    </row>
    <row r="64" ht="25.5" customHeight="1">
      <c r="B64" s="366" t="n"/>
      <c r="C64" s="366" t="n"/>
      <c r="D64" s="366" t="inlineStr">
        <is>
          <t>Apply conversion - Multiply</t>
        </is>
      </c>
      <c r="E64" s="366" t="inlineStr">
        <is>
          <t>(MV1(Z1)+MV2(Z2))*100</t>
        </is>
      </c>
      <c r="F64" s="366" t="n"/>
      <c r="G64" s="366" t="inlineStr">
        <is>
          <t>Z2 not tagged</t>
        </is>
      </c>
      <c r="H64" s="366" t="inlineStr">
        <is>
          <t>(MV1+NA)*100</t>
        </is>
      </c>
      <c r="I64" s="366" t="inlineStr">
        <is>
          <t>#NAME</t>
        </is>
      </c>
      <c r="J64" s="366" t="n"/>
      <c r="K64" s="72" t="inlineStr">
        <is>
          <t>Pending</t>
        </is>
      </c>
      <c r="L64" s="366" t="inlineStr">
        <is>
          <t>Done</t>
        </is>
      </c>
      <c r="M64" s="94" t="n"/>
    </row>
    <row r="65" ht="25.5" customHeight="1">
      <c r="B65" s="366" t="n"/>
      <c r="C65" s="366" t="n"/>
      <c r="D65" s="366" t="n"/>
      <c r="E65" s="366" t="inlineStr">
        <is>
          <t>(MV1(Z1)_R*_MV2(Z2))*100</t>
        </is>
      </c>
      <c r="F65" s="366" t="n"/>
      <c r="G65" s="366" t="inlineStr">
        <is>
          <t>Z1 not tagged</t>
        </is>
      </c>
      <c r="H65" s="366" t="inlineStr">
        <is>
          <t>(NA*MV2)*100</t>
        </is>
      </c>
      <c r="I65" s="366" t="inlineStr">
        <is>
          <t>#NAME</t>
        </is>
      </c>
      <c r="J65" s="366" t="n"/>
      <c r="K65" s="72" t="inlineStr">
        <is>
          <t>Pending</t>
        </is>
      </c>
      <c r="L65" s="366" t="inlineStr">
        <is>
          <t>Done</t>
        </is>
      </c>
      <c r="M65" s="94" t="n"/>
    </row>
    <row r="66" ht="25.5" customHeight="1">
      <c r="B66" s="366" t="n"/>
      <c r="C66" s="366" t="n"/>
      <c r="D66" s="366" t="n"/>
      <c r="E66" s="366" t="inlineStr">
        <is>
          <t>(MV1(Z1)_K/_MV2(Z2))*100</t>
        </is>
      </c>
      <c r="F66" s="366" t="n"/>
      <c r="G66" s="366" t="inlineStr">
        <is>
          <t>Z1 not tagged</t>
        </is>
      </c>
      <c r="H66" s="366" t="inlineStr">
        <is>
          <t>(NA+MV2)*100</t>
        </is>
      </c>
      <c r="I66" s="366" t="inlineStr">
        <is>
          <t>#NAME</t>
        </is>
      </c>
      <c r="J66" s="366" t="n"/>
      <c r="K66" s="72" t="inlineStr">
        <is>
          <t>Pending</t>
        </is>
      </c>
      <c r="L66" s="366" t="inlineStr">
        <is>
          <t>Done</t>
        </is>
      </c>
      <c r="M66" s="94" t="n"/>
    </row>
    <row r="67" ht="25.5" customHeight="1">
      <c r="B67" s="366" t="n"/>
      <c r="C67" s="366" t="n"/>
      <c r="D67" s="366" t="inlineStr">
        <is>
          <t>Apply conversion - Divide</t>
        </is>
      </c>
      <c r="E67" s="366" t="inlineStr">
        <is>
          <t>(MV1(Z1)_R/_MV2(Z2))/100</t>
        </is>
      </c>
      <c r="F67" s="366" t="n"/>
      <c r="G67" s="366" t="inlineStr">
        <is>
          <t>Z2 not tagged</t>
        </is>
      </c>
      <c r="H67" s="366" t="inlineStr">
        <is>
          <t>(MV1/NA)/100</t>
        </is>
      </c>
      <c r="I67" s="366" t="inlineStr">
        <is>
          <t>#NAME</t>
        </is>
      </c>
      <c r="J67" s="366" t="n"/>
      <c r="K67" s="72" t="inlineStr">
        <is>
          <t>Pending</t>
        </is>
      </c>
      <c r="L67" s="366" t="inlineStr">
        <is>
          <t>Done</t>
        </is>
      </c>
      <c r="M67" s="94" t="n"/>
    </row>
    <row r="68" ht="25.5" customHeight="1">
      <c r="B68" s="366" t="n"/>
      <c r="C68" s="366" t="n"/>
      <c r="D68" s="366" t="n"/>
      <c r="E68" s="366" t="inlineStr">
        <is>
          <t>(MV1(Z1)_K*_MV2(Z2))/100</t>
        </is>
      </c>
      <c r="F68" s="366" t="n"/>
      <c r="G68" s="366" t="inlineStr">
        <is>
          <t>Z2 not tagged</t>
        </is>
      </c>
      <c r="H68" s="366" t="inlineStr">
        <is>
          <t>(MV1+NA)/100</t>
        </is>
      </c>
      <c r="I68" s="366" t="inlineStr">
        <is>
          <t>#NAME</t>
        </is>
      </c>
      <c r="J68" s="366" t="n"/>
      <c r="K68" s="72" t="inlineStr">
        <is>
          <t>Pending</t>
        </is>
      </c>
      <c r="L68" s="366" t="inlineStr">
        <is>
          <t>Done</t>
        </is>
      </c>
      <c r="M68" s="94" t="n"/>
    </row>
    <row r="69" ht="51" customHeight="1">
      <c r="B69" s="366" t="n">
        <v>10</v>
      </c>
      <c r="C69" s="366" t="inlineStr">
        <is>
          <t>If only Plus and minus operators are available in the expression &amp; the mapped values is missing, then the expression should be automatically adjusted in auto fill.</t>
        </is>
      </c>
      <c r="D69" s="366" t="n"/>
      <c r="E69" s="366" t="inlineStr">
        <is>
          <t>MV1(Z1)+MV2(Z2)_R-MV3(Z3)</t>
        </is>
      </c>
      <c r="F69" s="366" t="n"/>
      <c r="G69" s="366" t="inlineStr">
        <is>
          <t>Z3 not tagged.</t>
        </is>
      </c>
      <c r="H69" s="366" t="inlineStr">
        <is>
          <t>MV1+MV2</t>
        </is>
      </c>
      <c r="I69" s="366" t="n"/>
      <c r="J69" s="366" t="n"/>
      <c r="K69" s="72" t="inlineStr">
        <is>
          <t>Pending</t>
        </is>
      </c>
      <c r="L69" s="366" t="inlineStr">
        <is>
          <t>Done</t>
        </is>
      </c>
      <c r="M69" s="94" t="n"/>
    </row>
    <row r="70" ht="25.5" customHeight="1">
      <c r="B70" s="366" t="n"/>
      <c r="C70" s="366" t="n"/>
      <c r="D70" s="366" t="n"/>
      <c r="E70" s="366" t="inlineStr">
        <is>
          <t>MV1(Z1)+MV2(Z2)_R-_MV3(Z3)</t>
        </is>
      </c>
      <c r="F70" s="366" t="n"/>
      <c r="G70" s="366" t="inlineStr">
        <is>
          <t>Z1 not tagged</t>
        </is>
      </c>
      <c r="H70" s="366" t="inlineStr">
        <is>
          <t>MV2-MV3</t>
        </is>
      </c>
      <c r="I70" s="366" t="n"/>
      <c r="J70" s="366" t="n"/>
      <c r="K70" s="72" t="inlineStr">
        <is>
          <t>Pending</t>
        </is>
      </c>
      <c r="L70" s="366" t="inlineStr">
        <is>
          <t>Done</t>
        </is>
      </c>
      <c r="M70" s="165" t="n"/>
      <c r="N70" s="74" t="n"/>
    </row>
    <row r="71" ht="63.75" customHeight="1">
      <c r="B71" s="366" t="n"/>
      <c r="C71" s="366" t="n"/>
      <c r="D71" s="366" t="n"/>
      <c r="E71" s="366" t="inlineStr">
        <is>
          <t>MV1(Z1)+MV2(Z2)_K-_MV3(Z3)</t>
        </is>
      </c>
      <c r="F71" s="366" t="n"/>
      <c r="G71" s="366" t="inlineStr">
        <is>
          <t>MV2 not present in doc</t>
        </is>
      </c>
      <c r="H71" s="366" t="inlineStr">
        <is>
          <t>MV1+MV3</t>
        </is>
      </c>
      <c r="I71" s="366" t="n"/>
      <c r="J71" s="366" t="inlineStr">
        <is>
          <t>In case of keyboard operator between mapped values everything is replaced with +</t>
        </is>
      </c>
      <c r="K71" s="72" t="inlineStr">
        <is>
          <t>Pending</t>
        </is>
      </c>
      <c r="L71" s="366" t="inlineStr">
        <is>
          <t>Done</t>
        </is>
      </c>
      <c r="M71" s="94" t="n"/>
    </row>
    <row r="72">
      <c r="B72" s="366" t="n"/>
      <c r="C72" s="366" t="n"/>
      <c r="D72" s="366" t="n"/>
      <c r="E72" s="366" t="inlineStr">
        <is>
          <t>MV1(Z1)_R-_CV1</t>
        </is>
      </c>
      <c r="F72" s="366" t="n"/>
      <c r="G72" s="366" t="inlineStr">
        <is>
          <t>Z1 not tagged</t>
        </is>
      </c>
      <c r="H72" s="366" t="inlineStr">
        <is>
          <t>Blank</t>
        </is>
      </c>
      <c r="I72" s="366" t="n"/>
      <c r="J72" s="366" t="n"/>
      <c r="K72" s="72" t="inlineStr">
        <is>
          <t>Pending</t>
        </is>
      </c>
      <c r="L72" s="366" t="inlineStr">
        <is>
          <t>Done</t>
        </is>
      </c>
      <c r="M72" s="94" t="n"/>
    </row>
    <row r="73" ht="25.5" customHeight="1">
      <c r="B73" s="366" t="n"/>
      <c r="C73" s="366" t="n"/>
      <c r="D73" s="366" t="n"/>
      <c r="E73" s="366" t="inlineStr">
        <is>
          <t>MV1(Z1)_K-_CV1+MV2(Z2)</t>
        </is>
      </c>
      <c r="F73" s="366" t="n"/>
      <c r="G73" s="366" t="inlineStr">
        <is>
          <t>Z1 not tagged</t>
        </is>
      </c>
      <c r="H73" s="366" t="inlineStr">
        <is>
          <t xml:space="preserve">MV2 </t>
        </is>
      </c>
      <c r="I73" s="366" t="n"/>
      <c r="J73" s="366" t="n"/>
      <c r="K73" s="72" t="inlineStr">
        <is>
          <t>Pending</t>
        </is>
      </c>
      <c r="L73" s="366" t="inlineStr">
        <is>
          <t>Done</t>
        </is>
      </c>
      <c r="M73" s="165" t="n"/>
      <c r="N73" s="74" t="n"/>
    </row>
    <row r="74" ht="25.5" customHeight="1">
      <c r="B74" s="366" t="n"/>
      <c r="C74" s="366" t="n"/>
      <c r="D74" s="366" t="n"/>
      <c r="E74" s="366" t="inlineStr">
        <is>
          <t>MV1(Z1)_K-_CV1+MV2(Z2)</t>
        </is>
      </c>
      <c r="F74" s="366" t="n"/>
      <c r="G74" s="366" t="inlineStr">
        <is>
          <t>Z2 not tagged</t>
        </is>
      </c>
      <c r="H74" s="366" t="inlineStr">
        <is>
          <t>MV1</t>
        </is>
      </c>
      <c r="I74" s="366" t="n"/>
      <c r="J74" s="366" t="n"/>
      <c r="K74" s="72" t="inlineStr">
        <is>
          <t>Pending</t>
        </is>
      </c>
      <c r="L74" s="366" t="inlineStr">
        <is>
          <t>Done</t>
        </is>
      </c>
      <c r="M74" s="94" t="n"/>
    </row>
    <row r="75" ht="25.5" customHeight="1">
      <c r="B75" s="366" t="n">
        <v>11</v>
      </c>
      <c r="C75" s="366" t="inlineStr">
        <is>
          <t>Free Text mapping should be replaced with NA in the expression.</t>
        </is>
      </c>
      <c r="D75" s="366" t="n"/>
      <c r="E75" s="366" t="inlineStr">
        <is>
          <t>MV1_R+_FT1</t>
        </is>
      </c>
      <c r="F75" s="366" t="n"/>
      <c r="G75" s="366" t="inlineStr">
        <is>
          <t>Autofill.</t>
        </is>
      </c>
      <c r="H75" s="366" t="inlineStr">
        <is>
          <t>MV1</t>
        </is>
      </c>
      <c r="I75" s="366" t="n"/>
      <c r="J75" s="366" t="n"/>
      <c r="K75" s="72" t="inlineStr">
        <is>
          <t>Pending</t>
        </is>
      </c>
      <c r="L75" s="366" t="inlineStr">
        <is>
          <t>Done</t>
        </is>
      </c>
      <c r="M75" s="94" t="n"/>
    </row>
    <row r="76">
      <c r="B76" s="366" t="n"/>
      <c r="C76" s="366" t="n"/>
      <c r="D76" s="366" t="n"/>
      <c r="E76" s="366" t="inlineStr">
        <is>
          <t>MV1_R-_FT1</t>
        </is>
      </c>
      <c r="F76" s="366" t="n"/>
      <c r="G76" s="366" t="inlineStr">
        <is>
          <t>Autofill</t>
        </is>
      </c>
      <c r="H76" s="366" t="inlineStr">
        <is>
          <t>MV1</t>
        </is>
      </c>
      <c r="I76" s="366" t="n"/>
      <c r="J76" s="366" t="n"/>
      <c r="K76" s="72" t="inlineStr">
        <is>
          <t>Pending</t>
        </is>
      </c>
      <c r="L76" s="366" t="inlineStr">
        <is>
          <t>Done</t>
        </is>
      </c>
      <c r="M76" s="94" t="n"/>
    </row>
    <row r="77">
      <c r="B77" s="366" t="n"/>
      <c r="C77" s="366" t="n"/>
      <c r="D77" s="366" t="n"/>
      <c r="E77" s="366" t="inlineStr">
        <is>
          <t>MV1_R*_FT1</t>
        </is>
      </c>
      <c r="F77" s="366" t="n"/>
      <c r="G77" s="366" t="inlineStr">
        <is>
          <t>Autofill</t>
        </is>
      </c>
      <c r="H77" s="366" t="inlineStr">
        <is>
          <t>MV1*NA</t>
        </is>
      </c>
      <c r="I77" s="366" t="n"/>
      <c r="J77" s="366" t="n"/>
      <c r="K77" s="72" t="inlineStr">
        <is>
          <t>Pending</t>
        </is>
      </c>
      <c r="L77" s="366" t="inlineStr">
        <is>
          <t>Done</t>
        </is>
      </c>
      <c r="M77" s="94" t="n"/>
    </row>
    <row r="78">
      <c r="B78" s="366" t="n"/>
      <c r="C78" s="366" t="n"/>
      <c r="D78" s="366" t="n"/>
      <c r="E78" s="366" t="inlineStr">
        <is>
          <t>MV1_R/_FT1</t>
        </is>
      </c>
      <c r="F78" s="366" t="n"/>
      <c r="G78" s="366" t="inlineStr">
        <is>
          <t>Autofill</t>
        </is>
      </c>
      <c r="H78" s="366" t="inlineStr">
        <is>
          <t>MV1/NA</t>
        </is>
      </c>
      <c r="I78" s="366" t="n"/>
      <c r="J78" s="366" t="n"/>
      <c r="K78" s="72" t="inlineStr">
        <is>
          <t>Pending</t>
        </is>
      </c>
      <c r="L78" s="366" t="inlineStr">
        <is>
          <t>Done</t>
        </is>
      </c>
      <c r="M78" s="94" t="n"/>
    </row>
    <row r="79">
      <c r="B79" s="366" t="n"/>
      <c r="C79" s="366" t="n"/>
      <c r="D79" s="366" t="n"/>
      <c r="E79" s="366" t="inlineStr">
        <is>
          <t>MV1_K*_FT1</t>
        </is>
      </c>
      <c r="F79" s="366" t="n"/>
      <c r="G79" s="366" t="inlineStr">
        <is>
          <t>Autofill</t>
        </is>
      </c>
      <c r="H79" s="366" t="inlineStr">
        <is>
          <t>MV1</t>
        </is>
      </c>
      <c r="I79" s="366" t="n"/>
      <c r="J79" s="366" t="n"/>
      <c r="K79" s="72" t="inlineStr">
        <is>
          <t>Pending</t>
        </is>
      </c>
      <c r="L79" s="366" t="inlineStr">
        <is>
          <t>Done</t>
        </is>
      </c>
      <c r="M79" s="94" t="n"/>
    </row>
    <row r="80">
      <c r="B80" s="366" t="n"/>
      <c r="C80" s="366" t="n"/>
      <c r="D80" s="366" t="n"/>
      <c r="E80" s="366" t="inlineStr">
        <is>
          <t>MV1_K-_FT1</t>
        </is>
      </c>
      <c r="F80" s="366" t="n"/>
      <c r="G80" s="366" t="inlineStr">
        <is>
          <t>Autofill</t>
        </is>
      </c>
      <c r="H80" s="366" t="inlineStr">
        <is>
          <t>MV1</t>
        </is>
      </c>
      <c r="I80" s="366" t="n"/>
      <c r="J80" s="366" t="n"/>
      <c r="K80" s="72" t="inlineStr">
        <is>
          <t>Pending</t>
        </is>
      </c>
      <c r="L80" s="366" t="inlineStr">
        <is>
          <t>Done</t>
        </is>
      </c>
      <c r="M80" s="94" t="n"/>
    </row>
    <row r="81">
      <c r="B81" s="366" t="n"/>
      <c r="C81" s="366" t="n"/>
      <c r="D81" s="366" t="n"/>
      <c r="E81" s="366" t="inlineStr">
        <is>
          <t>FT1</t>
        </is>
      </c>
      <c r="F81" s="366" t="n"/>
      <c r="G81" s="366" t="inlineStr">
        <is>
          <t>Autofill</t>
        </is>
      </c>
      <c r="H81" s="366" t="inlineStr">
        <is>
          <t>Blank</t>
        </is>
      </c>
      <c r="I81" s="366" t="n"/>
      <c r="J81" s="366" t="n"/>
      <c r="K81" s="72" t="inlineStr">
        <is>
          <t>Pending</t>
        </is>
      </c>
      <c r="L81" s="366" t="inlineStr">
        <is>
          <t>Done</t>
        </is>
      </c>
      <c r="M81" s="94" t="n"/>
    </row>
    <row r="82" ht="76.5" customHeight="1">
      <c r="B82" s="366" t="n">
        <v>12</v>
      </c>
      <c r="C82" s="366" t="inlineStr">
        <is>
          <t>The mapped value should always be on the left side of the operator and the constant should be on the right side. In case the constant value is on the left side and the mapped value is on the right side, then only the mapped value would be remembered.</t>
        </is>
      </c>
      <c r="D82" s="366" t="n"/>
      <c r="E82" s="366" t="inlineStr">
        <is>
          <t>CV1+MV1(Z1)</t>
        </is>
      </c>
      <c r="F82" s="366" t="n"/>
      <c r="G82" s="366" t="inlineStr">
        <is>
          <t>Z1 not tagged.
Autofill.</t>
        </is>
      </c>
      <c r="H82" s="366" t="inlineStr">
        <is>
          <t>Blank</t>
        </is>
      </c>
      <c r="I82" s="366" t="n"/>
      <c r="J82" s="366" t="n"/>
      <c r="K82" s="72" t="inlineStr">
        <is>
          <t>Pending</t>
        </is>
      </c>
      <c r="L82" s="366" t="inlineStr">
        <is>
          <t>Done</t>
        </is>
      </c>
      <c r="M82" s="94" t="n"/>
    </row>
    <row r="83" ht="38.25" customHeight="1">
      <c r="B83" s="366" t="n"/>
      <c r="C83" s="366" t="n"/>
      <c r="D83" s="366" t="n"/>
      <c r="E83" s="366" t="inlineStr">
        <is>
          <t>CV1_R*_MV1(Z1)</t>
        </is>
      </c>
      <c r="F83" s="366" t="n"/>
      <c r="G83" s="366" t="inlineStr">
        <is>
          <t>1. Z1 is tagged but MV1 is not found
2. Autofill</t>
        </is>
      </c>
      <c r="H83" s="366" t="inlineStr">
        <is>
          <t>Blank</t>
        </is>
      </c>
      <c r="I83" s="366" t="n"/>
      <c r="J83" s="366" t="n"/>
      <c r="K83" s="72" t="inlineStr">
        <is>
          <t>Pending</t>
        </is>
      </c>
      <c r="L83" s="366" t="inlineStr">
        <is>
          <t>Done</t>
        </is>
      </c>
      <c r="M83" s="94" t="n"/>
    </row>
    <row r="84" ht="38.25" customHeight="1">
      <c r="B84" s="366" t="n"/>
      <c r="C84" s="366" t="n"/>
      <c r="D84" s="366" t="n"/>
      <c r="E84" s="366" t="inlineStr">
        <is>
          <t>CV1_K*_MV1(Z1)</t>
        </is>
      </c>
      <c r="F84" s="366" t="n"/>
      <c r="G84" s="366" t="inlineStr">
        <is>
          <t>1. Z1 is tagged but MV1 is not found
2. Autofill</t>
        </is>
      </c>
      <c r="H84" s="366" t="inlineStr">
        <is>
          <t>Blank</t>
        </is>
      </c>
      <c r="I84" s="366" t="n"/>
      <c r="J84" s="366" t="n"/>
      <c r="K84" s="72" t="inlineStr">
        <is>
          <t>Pending</t>
        </is>
      </c>
      <c r="L84" s="366" t="inlineStr">
        <is>
          <t>Done</t>
        </is>
      </c>
      <c r="M84" s="94" t="n"/>
    </row>
    <row r="85" ht="25.5" customHeight="1">
      <c r="B85" s="366" t="n"/>
      <c r="C85" s="366" t="n"/>
      <c r="D85" s="366" t="n"/>
      <c r="E85" s="366" t="inlineStr">
        <is>
          <t>MV1(Z1)+MV2(Z2)+CV1+MV3(Z3)</t>
        </is>
      </c>
      <c r="F85" s="366" t="n"/>
      <c r="G85" s="366" t="inlineStr">
        <is>
          <t>Z2 not tagged</t>
        </is>
      </c>
      <c r="H85" s="366" t="inlineStr">
        <is>
          <t>MV1+MV3</t>
        </is>
      </c>
      <c r="I85" s="366" t="n"/>
      <c r="J85" s="366" t="n"/>
      <c r="K85" s="72" t="inlineStr">
        <is>
          <t>Pending</t>
        </is>
      </c>
      <c r="L85" s="366" t="inlineStr">
        <is>
          <t>Done</t>
        </is>
      </c>
      <c r="M85" s="94" t="n"/>
    </row>
    <row r="86" ht="25.5" customHeight="1">
      <c r="B86" s="366" t="n"/>
      <c r="C86" s="366" t="n"/>
      <c r="D86" s="366" t="n"/>
      <c r="E86" s="366" t="n"/>
      <c r="F86" s="366" t="n"/>
      <c r="G86" s="366" t="inlineStr">
        <is>
          <t>Tag Z2 and autofill</t>
        </is>
      </c>
      <c r="H86" s="366" t="inlineStr">
        <is>
          <t>MV1+MV2+CV1+MV3</t>
        </is>
      </c>
      <c r="I86" s="366" t="n"/>
      <c r="J86" s="366" t="n"/>
      <c r="K86" s="72" t="inlineStr">
        <is>
          <t>Pending</t>
        </is>
      </c>
      <c r="L86" s="366" t="inlineStr">
        <is>
          <t>Done</t>
        </is>
      </c>
      <c r="M86" s="94" t="n"/>
    </row>
    <row r="87" ht="25.5" customHeight="1">
      <c r="B87" s="366" t="n"/>
      <c r="C87" s="366" t="n"/>
      <c r="D87" s="366" t="n"/>
      <c r="E87" s="366" t="inlineStr">
        <is>
          <t>MV1(Z1)*CV1+MV2(Z2)</t>
        </is>
      </c>
      <c r="F87" s="366" t="n"/>
      <c r="G87" s="366" t="inlineStr">
        <is>
          <t>Z2 is tagged
Autofill</t>
        </is>
      </c>
      <c r="H87" s="366" t="inlineStr">
        <is>
          <t>NA*CV1+MV2</t>
        </is>
      </c>
      <c r="I87" s="366" t="n"/>
      <c r="J87" s="366" t="n"/>
      <c r="K87" s="72" t="inlineStr">
        <is>
          <t>Pending</t>
        </is>
      </c>
      <c r="L87" s="366" t="inlineStr">
        <is>
          <t>Done</t>
        </is>
      </c>
      <c r="M87" s="94" t="n"/>
    </row>
    <row r="88" ht="25.5" customHeight="1">
      <c r="B88" s="366" t="n"/>
      <c r="C88" s="366" t="n"/>
      <c r="D88" s="366" t="n"/>
      <c r="E88" s="366" t="inlineStr">
        <is>
          <t>MV1(Z1)*CV1+MV2(Z2)</t>
        </is>
      </c>
      <c r="F88" s="366" t="n"/>
      <c r="G88" s="366" t="inlineStr">
        <is>
          <t>Z1 is tagged
Autofill</t>
        </is>
      </c>
      <c r="H88" s="366" t="inlineStr">
        <is>
          <t>MV1*CV1+NA</t>
        </is>
      </c>
      <c r="I88" s="366" t="n"/>
      <c r="J88" s="366" t="n"/>
      <c r="K88" s="72" t="inlineStr">
        <is>
          <t>Pending</t>
        </is>
      </c>
      <c r="L88" s="366" t="inlineStr">
        <is>
          <t>Done</t>
        </is>
      </c>
      <c r="M88" s="94" t="n"/>
    </row>
    <row r="89" ht="25.5" customHeight="1">
      <c r="B89" s="366" t="n"/>
      <c r="C89" s="366" t="n"/>
      <c r="D89" s="366" t="n"/>
      <c r="E89" s="366" t="inlineStr">
        <is>
          <t>MV1(Z1)_R*_CV1_K-_CV2_+MV2(Z2)</t>
        </is>
      </c>
      <c r="F89" s="366" t="n"/>
      <c r="G89" s="366" t="inlineStr">
        <is>
          <t>Z1 is tagged
Autofill</t>
        </is>
      </c>
      <c r="H89" s="366" t="inlineStr">
        <is>
          <t>MV1*CV1+NA</t>
        </is>
      </c>
      <c r="I89" s="366" t="n"/>
      <c r="J89" s="366" t="n"/>
      <c r="K89" s="72" t="inlineStr">
        <is>
          <t>Pending</t>
        </is>
      </c>
      <c r="L89" s="366" t="inlineStr">
        <is>
          <t>Done</t>
        </is>
      </c>
      <c r="M89" s="94" t="n"/>
    </row>
    <row r="90" ht="63.75" customHeight="1">
      <c r="B90" s="366" t="n"/>
      <c r="C90" s="366" t="n"/>
      <c r="D90" s="366" t="n"/>
      <c r="E90" s="366" t="inlineStr">
        <is>
          <t>MV1(Z1)_K*_CV1_R-_CV2_+MV2(Z2)</t>
        </is>
      </c>
      <c r="F90" s="366" t="n"/>
      <c r="G90" s="366" t="inlineStr">
        <is>
          <t>Z1 is tagged
Autofill</t>
        </is>
      </c>
      <c r="H90" s="366" t="inlineStr">
        <is>
          <t>MV1</t>
        </is>
      </c>
      <c r="I90" s="366" t="n"/>
      <c r="J90" s="366" t="inlineStr">
        <is>
          <t>No mapped value present in left of constant value where ribbon operator was used</t>
        </is>
      </c>
      <c r="K90" s="72" t="inlineStr">
        <is>
          <t>Pending</t>
        </is>
      </c>
      <c r="L90" s="366" t="inlineStr">
        <is>
          <t>Done</t>
        </is>
      </c>
      <c r="M90" s="94" t="n"/>
    </row>
    <row r="91" ht="25.5" customHeight="1">
      <c r="B91" s="366" t="n"/>
      <c r="C91" s="366" t="n"/>
      <c r="D91" s="366" t="n"/>
      <c r="E91" s="366" t="inlineStr">
        <is>
          <t>MV1(Z1)_K*_CV1_K-_CV2_+MV2(Z2)</t>
        </is>
      </c>
      <c r="F91" s="366" t="n"/>
      <c r="G91" s="366" t="inlineStr">
        <is>
          <t>Z1 is tagged
Autofill</t>
        </is>
      </c>
      <c r="H91" s="366" t="inlineStr">
        <is>
          <t>MV1</t>
        </is>
      </c>
      <c r="I91" s="366" t="n"/>
      <c r="J91" s="366" t="n"/>
      <c r="K91" s="72" t="inlineStr">
        <is>
          <t>Pending</t>
        </is>
      </c>
      <c r="L91" s="366" t="inlineStr">
        <is>
          <t>Done</t>
        </is>
      </c>
      <c r="M91" s="94" t="n"/>
    </row>
    <row r="92">
      <c r="B92" s="144" t="n"/>
      <c r="C92" s="144" t="inlineStr">
        <is>
          <t>Subsequent spreading &gt; Subsequent auto fill</t>
        </is>
      </c>
      <c r="D92" s="144" t="n"/>
      <c r="E92" s="144" t="n"/>
      <c r="F92" s="144" t="n"/>
      <c r="G92" s="144" t="n"/>
      <c r="H92" s="145" t="n"/>
      <c r="I92" s="144" t="n"/>
      <c r="J92" s="144" t="n"/>
      <c r="K92" s="144" t="n"/>
      <c r="L92" s="144" t="n"/>
      <c r="M92" s="144" t="n"/>
      <c r="N92" s="146" t="n"/>
    </row>
    <row r="93" ht="114.75" customHeight="1">
      <c r="B93" s="366" t="n">
        <v>13</v>
      </c>
      <c r="C93" s="366" t="inlineStr">
        <is>
          <t>Adding Data Column/Removing Data Column/switching data column/Clearing Zone/Deleting Zone would consider the zone as new &amp; process the zone again and replace the values with NA in the expression in case of * and /operators. This would enable the Autofill button and when autofill is pressed, NA which had come about due to zone being dropped would start to be replaced with the zone values.</t>
        </is>
      </c>
      <c r="D93" s="77" t="inlineStr">
        <is>
          <t>Adding data column - Making a value column in detected table.</t>
        </is>
      </c>
      <c r="E93" s="366" t="n"/>
      <c r="F93" s="366" t="inlineStr">
        <is>
          <t>MV1(Z1)+MV2(Z1)_R/_MV3(Z2)</t>
        </is>
      </c>
      <c r="G93" s="366" t="inlineStr">
        <is>
          <t>Add data column.</t>
        </is>
      </c>
      <c r="H93" s="78" t="n"/>
      <c r="I93" s="78" t="n"/>
      <c r="J93" s="366" t="inlineStr">
        <is>
          <t>Autofill will be enabled.</t>
        </is>
      </c>
      <c r="K93" s="72" t="inlineStr">
        <is>
          <t>Pending</t>
        </is>
      </c>
      <c r="L93" s="366" t="inlineStr">
        <is>
          <t>Done</t>
        </is>
      </c>
      <c r="M93" s="94" t="n"/>
    </row>
    <row r="94" ht="25.5" customHeight="1">
      <c r="B94" s="366" t="n"/>
      <c r="C94" s="366" t="n"/>
      <c r="D94" s="77" t="inlineStr">
        <is>
          <t>Removing data column</t>
        </is>
      </c>
      <c r="E94" s="366" t="n"/>
      <c r="F94" s="366" t="inlineStr">
        <is>
          <t>MV1(Z1)+MV2(Z1)_R/_MV3(Z2)</t>
        </is>
      </c>
      <c r="G94" s="366" t="inlineStr">
        <is>
          <t>Remove data column - Of Z1</t>
        </is>
      </c>
      <c r="H94" s="366" t="inlineStr">
        <is>
          <t>NA+NA/MV3</t>
        </is>
      </c>
      <c r="I94" s="366" t="inlineStr">
        <is>
          <t>#VALUE</t>
        </is>
      </c>
      <c r="J94" s="366" t="inlineStr">
        <is>
          <t>Autofill will be enabled</t>
        </is>
      </c>
      <c r="K94" s="72" t="inlineStr">
        <is>
          <t>Pending</t>
        </is>
      </c>
      <c r="L94" s="366" t="inlineStr">
        <is>
          <t>Done</t>
        </is>
      </c>
      <c r="M94" s="94" t="n"/>
    </row>
    <row r="95" ht="38.25" customHeight="1">
      <c r="B95" s="366" t="n"/>
      <c r="C95" s="366" t="n"/>
      <c r="D95" s="77" t="n"/>
      <c r="E95" s="366" t="n"/>
      <c r="F95" s="366" t="n"/>
      <c r="G95" s="366" t="inlineStr">
        <is>
          <t>Add data column - of Z1
Autofill</t>
        </is>
      </c>
      <c r="H95" s="366" t="inlineStr">
        <is>
          <t>MV1+MV2/MV3</t>
        </is>
      </c>
      <c r="I95" s="366" t="n"/>
      <c r="J95" s="366" t="n"/>
      <c r="K95" s="72" t="inlineStr">
        <is>
          <t>Pending</t>
        </is>
      </c>
      <c r="L95" s="366" t="inlineStr">
        <is>
          <t>Done</t>
        </is>
      </c>
      <c r="M95" s="94" t="n"/>
    </row>
    <row r="96" ht="51" customHeight="1">
      <c r="B96" s="366" t="n"/>
      <c r="C96" s="366" t="n"/>
      <c r="D96" s="77" t="inlineStr">
        <is>
          <t>Switching data column</t>
        </is>
      </c>
      <c r="E96" s="366" t="n"/>
      <c r="F96" s="366" t="inlineStr">
        <is>
          <t>MV1(Z1)+MV2(Z1)_R/_MV3(Z2)</t>
        </is>
      </c>
      <c r="G96" s="366" t="inlineStr">
        <is>
          <t>Switching data column - MV2 not present in switched column</t>
        </is>
      </c>
      <c r="H96" s="366" t="inlineStr">
        <is>
          <t>MV1+NA/MV3</t>
        </is>
      </c>
      <c r="I96" s="366" t="inlineStr">
        <is>
          <t>#VALUE</t>
        </is>
      </c>
      <c r="J96" s="366" t="inlineStr">
        <is>
          <t>Autofill will be enabled</t>
        </is>
      </c>
      <c r="K96" s="72" t="inlineStr">
        <is>
          <t>Pending</t>
        </is>
      </c>
      <c r="L96" s="366" t="inlineStr">
        <is>
          <t>Done</t>
        </is>
      </c>
      <c r="M96" s="94" t="n"/>
    </row>
    <row r="97" ht="51" customHeight="1">
      <c r="B97" s="366" t="n"/>
      <c r="C97" s="366" t="n"/>
      <c r="D97" s="77" t="n"/>
      <c r="E97" s="366" t="n"/>
      <c r="F97" s="366" t="n"/>
      <c r="G97" s="366" t="inlineStr">
        <is>
          <t>1. Again switch where MV2 is present
2. Click Autofill</t>
        </is>
      </c>
      <c r="H97" s="366" t="inlineStr">
        <is>
          <t>MV1+MV2/MV3</t>
        </is>
      </c>
      <c r="I97" s="366" t="n"/>
      <c r="J97" s="366" t="n"/>
      <c r="K97" s="72" t="inlineStr">
        <is>
          <t>Pending</t>
        </is>
      </c>
      <c r="L97" s="366" t="inlineStr">
        <is>
          <t>Done</t>
        </is>
      </c>
      <c r="M97" s="94" t="n"/>
    </row>
    <row r="98" ht="25.5" customHeight="1">
      <c r="B98" s="366" t="n"/>
      <c r="C98" s="366" t="n"/>
      <c r="D98" s="77" t="inlineStr">
        <is>
          <t>Clearing zone - Clear Zone Current page</t>
        </is>
      </c>
      <c r="E98" s="366" t="n"/>
      <c r="F98" s="366" t="inlineStr">
        <is>
          <t>MV1(Z1)+MV2(Z1)_R/_MV3(Z2)</t>
        </is>
      </c>
      <c r="G98" s="366" t="inlineStr">
        <is>
          <t>Clear Zone Z1</t>
        </is>
      </c>
      <c r="H98" s="366" t="inlineStr">
        <is>
          <t>NA+NA/MV3</t>
        </is>
      </c>
      <c r="I98" s="366" t="n"/>
      <c r="J98" s="366" t="inlineStr">
        <is>
          <t>Autofill will be enabled</t>
        </is>
      </c>
      <c r="K98" s="72" t="inlineStr">
        <is>
          <t>Pending</t>
        </is>
      </c>
      <c r="L98" s="366" t="inlineStr">
        <is>
          <t>Done</t>
        </is>
      </c>
      <c r="M98" s="94" t="n"/>
    </row>
    <row r="99" ht="25.5" customHeight="1">
      <c r="B99" s="366" t="n"/>
      <c r="C99" s="366" t="n"/>
      <c r="D99" s="77" t="n"/>
      <c r="E99" s="366" t="n"/>
      <c r="F99" s="366" t="n"/>
      <c r="G99" s="366" t="inlineStr">
        <is>
          <t>Add Zone Z1 and autofill</t>
        </is>
      </c>
      <c r="H99" s="366" t="inlineStr">
        <is>
          <t>MV1+MV2/MV3</t>
        </is>
      </c>
      <c r="I99" s="366" t="n"/>
      <c r="J99" s="366" t="n"/>
      <c r="K99" s="72" t="inlineStr">
        <is>
          <t>Pending</t>
        </is>
      </c>
      <c r="L99" s="366" t="inlineStr">
        <is>
          <t>Done</t>
        </is>
      </c>
      <c r="M99" s="94" t="n"/>
    </row>
    <row r="100" ht="25.5" customHeight="1">
      <c r="B100" s="366" t="n"/>
      <c r="C100" s="366" t="n"/>
      <c r="D100" s="77" t="inlineStr">
        <is>
          <t>Clearing zone - Clear Zone All pages</t>
        </is>
      </c>
      <c r="E100" s="366" t="n"/>
      <c r="F100" s="366" t="inlineStr">
        <is>
          <t>MV1(Z1)+MV2(Z1)_R/_MV3(Z2)</t>
        </is>
      </c>
      <c r="G100" s="366" t="inlineStr">
        <is>
          <t>Clear Zone Z1</t>
        </is>
      </c>
      <c r="H100" s="366" t="inlineStr">
        <is>
          <t>NA+NA/NA</t>
        </is>
      </c>
      <c r="I100" s="366" t="inlineStr">
        <is>
          <t>#VALUE</t>
        </is>
      </c>
      <c r="J100" s="366" t="inlineStr">
        <is>
          <t>Autofill will be enabled</t>
        </is>
      </c>
      <c r="K100" s="72" t="inlineStr">
        <is>
          <t>Pending</t>
        </is>
      </c>
      <c r="L100" s="366" t="inlineStr">
        <is>
          <t>Done</t>
        </is>
      </c>
      <c r="M100" s="94" t="n"/>
    </row>
    <row r="101" ht="25.5" customHeight="1">
      <c r="B101" s="366" t="n"/>
      <c r="C101" s="366" t="n"/>
      <c r="D101" s="77" t="n"/>
      <c r="E101" s="366" t="n"/>
      <c r="F101" s="366" t="n"/>
      <c r="G101" s="366" t="inlineStr">
        <is>
          <t>Add Zone Z1 and autofill</t>
        </is>
      </c>
      <c r="H101" s="366" t="inlineStr">
        <is>
          <t>MV1+MV2/NA</t>
        </is>
      </c>
      <c r="I101" s="366" t="inlineStr">
        <is>
          <t>#VALUE</t>
        </is>
      </c>
      <c r="J101" s="366" t="inlineStr">
        <is>
          <t>Autofill will be enabled</t>
        </is>
      </c>
      <c r="K101" s="72" t="inlineStr">
        <is>
          <t>Pending</t>
        </is>
      </c>
      <c r="L101" s="366" t="inlineStr">
        <is>
          <t>Done</t>
        </is>
      </c>
      <c r="M101" s="94" t="n"/>
    </row>
    <row r="102" ht="25.5" customHeight="1">
      <c r="B102" s="366" t="n"/>
      <c r="C102" s="366" t="n"/>
      <c r="D102" s="77" t="n"/>
      <c r="E102" s="366" t="n"/>
      <c r="F102" s="366" t="n"/>
      <c r="G102" s="366" t="inlineStr">
        <is>
          <t>Add Zone Z2 and autofill</t>
        </is>
      </c>
      <c r="H102" s="366" t="inlineStr">
        <is>
          <t>MV1+MV2/MV3</t>
        </is>
      </c>
      <c r="I102" s="366" t="n"/>
      <c r="J102" s="366" t="inlineStr">
        <is>
          <t>Autofill will be disabled</t>
        </is>
      </c>
      <c r="K102" s="72" t="inlineStr">
        <is>
          <t>Pending</t>
        </is>
      </c>
      <c r="L102" s="366" t="inlineStr">
        <is>
          <t>Done</t>
        </is>
      </c>
      <c r="M102" s="94" t="n"/>
    </row>
    <row r="103" ht="38.25" customHeight="1">
      <c r="B103" s="366" t="n"/>
      <c r="C103" s="366" t="n"/>
      <c r="D103" s="77" t="inlineStr">
        <is>
          <t>Deleting zone</t>
        </is>
      </c>
      <c r="E103" s="366" t="n"/>
      <c r="F103" s="366" t="n"/>
      <c r="G103" s="366" t="inlineStr">
        <is>
          <t>Delete zone Z1 (Select zone and press Delete key)</t>
        </is>
      </c>
      <c r="H103" s="366" t="inlineStr">
        <is>
          <t>NA+NA/MV3</t>
        </is>
      </c>
      <c r="I103" s="366" t="n"/>
      <c r="J103" s="366" t="inlineStr">
        <is>
          <t>Autofill will be enabled</t>
        </is>
      </c>
      <c r="K103" s="72" t="inlineStr">
        <is>
          <t>Pending</t>
        </is>
      </c>
      <c r="L103" s="366" t="inlineStr">
        <is>
          <t>Done</t>
        </is>
      </c>
      <c r="M103" s="94" t="n"/>
    </row>
    <row r="104" ht="25.5" customHeight="1">
      <c r="B104" s="366" t="n"/>
      <c r="C104" s="366" t="n"/>
      <c r="D104" s="366" t="n"/>
      <c r="E104" s="366" t="n"/>
      <c r="F104" s="366" t="n"/>
      <c r="G104" s="366" t="inlineStr">
        <is>
          <t>Add Zone Z1 and autofill</t>
        </is>
      </c>
      <c r="H104" s="366" t="inlineStr">
        <is>
          <t>MV1+MV2/MV3</t>
        </is>
      </c>
      <c r="I104" s="366" t="n"/>
      <c r="J104" s="366" t="n"/>
      <c r="K104" s="72" t="inlineStr">
        <is>
          <t>Pending</t>
        </is>
      </c>
      <c r="L104" s="366" t="inlineStr">
        <is>
          <t>Done</t>
        </is>
      </c>
      <c r="M104" s="94" t="n"/>
    </row>
    <row r="105" ht="76.5" customHeight="1">
      <c r="B105" s="366" t="n">
        <v>14</v>
      </c>
      <c r="C105" s="366" t="inlineStr">
        <is>
          <t>Detecting a new zone/adding the missing zone/clearing the already tagged zone should enable the Autofill button.</t>
        </is>
      </c>
      <c r="D105" s="77" t="inlineStr">
        <is>
          <t>Detecting a new zone.</t>
        </is>
      </c>
      <c r="E105" s="366" t="n"/>
      <c r="F105" s="366" t="n"/>
      <c r="G105" s="366" t="inlineStr">
        <is>
          <t>1. Autofill.
2. Detect new zone - with different name (draw table) on page where zones are already present.</t>
        </is>
      </c>
      <c r="H105" s="73" t="inlineStr">
        <is>
          <t>Will be enabled zone tagging and defining value column</t>
        </is>
      </c>
      <c r="I105" s="73" t="n"/>
      <c r="J105" s="366" t="inlineStr">
        <is>
          <t>Autofill will be enabled.</t>
        </is>
      </c>
      <c r="K105" s="72" t="inlineStr">
        <is>
          <t>Pending</t>
        </is>
      </c>
      <c r="L105" s="366" t="inlineStr">
        <is>
          <t>Done</t>
        </is>
      </c>
      <c r="M105" s="94" t="n"/>
    </row>
    <row r="106" ht="89.25" customHeight="1">
      <c r="B106" s="366" t="n"/>
      <c r="C106" s="366" t="n"/>
      <c r="D106" s="77" t="n"/>
      <c r="E106" s="366" t="n"/>
      <c r="F106" s="366" t="n"/>
      <c r="G106" s="366" t="inlineStr">
        <is>
          <t>1. Autofill 
2. Detect new zone with same zone name as present on page (detect table) where zones are already present</t>
        </is>
      </c>
      <c r="H106" s="366" t="n"/>
      <c r="I106" s="73" t="n"/>
      <c r="J106" s="366" t="inlineStr">
        <is>
          <t>Autofill will be enabled</t>
        </is>
      </c>
      <c r="K106" s="72" t="inlineStr">
        <is>
          <t>Pending</t>
        </is>
      </c>
      <c r="L106" s="366" t="inlineStr">
        <is>
          <t>Done</t>
        </is>
      </c>
      <c r="M106" s="94" t="n"/>
    </row>
    <row r="107" ht="51" customHeight="1">
      <c r="B107" s="366" t="n"/>
      <c r="C107" s="366" t="n"/>
      <c r="D107" s="77" t="n"/>
      <c r="E107" s="366" t="n"/>
      <c r="F107" s="366" t="n"/>
      <c r="G107" s="366" t="inlineStr">
        <is>
          <t>1. Autofill 
2. Detect new zone on page where no zone is present</t>
        </is>
      </c>
      <c r="H107" s="366" t="n"/>
      <c r="I107" s="366" t="n"/>
      <c r="J107" s="366" t="inlineStr">
        <is>
          <t>Autofill will be enabled</t>
        </is>
      </c>
      <c r="K107" s="72" t="inlineStr">
        <is>
          <t>Pending</t>
        </is>
      </c>
      <c r="L107" s="366" t="inlineStr">
        <is>
          <t>Done</t>
        </is>
      </c>
      <c r="M107" s="94" t="n"/>
    </row>
    <row r="108" ht="63.75" customHeight="1">
      <c r="B108" s="366" t="n"/>
      <c r="C108" s="366" t="n"/>
      <c r="D108" s="77" t="inlineStr">
        <is>
          <t>Adding the missing zone</t>
        </is>
      </c>
      <c r="E108" s="366" t="n"/>
      <c r="F108" s="366" t="n"/>
      <c r="G108" s="366" t="inlineStr">
        <is>
          <t>1. Detect zones but miss one zone 
2. Autofill
3. Detect missed zone</t>
        </is>
      </c>
      <c r="H108" s="366" t="n"/>
      <c r="I108" s="366" t="n"/>
      <c r="J108" s="366" t="inlineStr">
        <is>
          <t>Autofill will be enabled</t>
        </is>
      </c>
      <c r="K108" s="72" t="inlineStr">
        <is>
          <t>Pending</t>
        </is>
      </c>
      <c r="L108" s="366" t="inlineStr">
        <is>
          <t>Done</t>
        </is>
      </c>
      <c r="M108" s="94" t="n"/>
    </row>
    <row r="109" ht="38.25" customHeight="1">
      <c r="B109" s="366" t="n"/>
      <c r="C109" s="366" t="n"/>
      <c r="D109" s="77" t="inlineStr">
        <is>
          <t>Clearing the already tagged zone</t>
        </is>
      </c>
      <c r="E109" s="366" t="n"/>
      <c r="F109" s="366" t="n"/>
      <c r="G109" s="366" t="inlineStr">
        <is>
          <t>1. Autofill
2. Delete already tagged zone</t>
        </is>
      </c>
      <c r="H109" s="366" t="n"/>
      <c r="I109" s="366" t="n"/>
      <c r="J109" s="366" t="inlineStr">
        <is>
          <t>Autofill will be disabled</t>
        </is>
      </c>
      <c r="K109" s="72" t="inlineStr">
        <is>
          <t>Pending</t>
        </is>
      </c>
      <c r="L109" s="366" t="inlineStr">
        <is>
          <t>Done</t>
        </is>
      </c>
      <c r="M109" s="94" t="n"/>
    </row>
    <row r="110" ht="51" customHeight="1">
      <c r="B110" s="366" t="n"/>
      <c r="C110" s="366" t="n"/>
      <c r="D110" s="366" t="n"/>
      <c r="E110" s="366" t="n"/>
      <c r="F110" s="366" t="n"/>
      <c r="G110" s="366" t="inlineStr">
        <is>
          <t>1. Autofill
2. Clear already tagged zone on current page</t>
        </is>
      </c>
      <c r="H110" s="366" t="n"/>
      <c r="I110" s="366" t="n"/>
      <c r="J110" s="366" t="inlineStr">
        <is>
          <t>Autofill will be disabled</t>
        </is>
      </c>
      <c r="K110" s="72" t="inlineStr">
        <is>
          <t>Pending</t>
        </is>
      </c>
      <c r="L110" s="366" t="inlineStr">
        <is>
          <t>Done</t>
        </is>
      </c>
      <c r="M110" s="94" t="n"/>
    </row>
    <row r="111" ht="51" customHeight="1">
      <c r="B111" s="366" t="n"/>
      <c r="C111" s="366" t="n"/>
      <c r="D111" s="366" t="n"/>
      <c r="E111" s="366" t="n"/>
      <c r="F111" s="366" t="n"/>
      <c r="G111" s="366" t="inlineStr">
        <is>
          <t>1. Autofill
2. Clear already tagged zones on all pages</t>
        </is>
      </c>
      <c r="H111" s="366" t="n"/>
      <c r="I111" s="366" t="n"/>
      <c r="J111" s="366" t="inlineStr">
        <is>
          <t>Autofill will be disabled</t>
        </is>
      </c>
      <c r="K111" s="72" t="inlineStr">
        <is>
          <t>Pending</t>
        </is>
      </c>
      <c r="L111" s="366" t="inlineStr">
        <is>
          <t>Done</t>
        </is>
      </c>
      <c r="M111" s="94" t="n"/>
    </row>
    <row r="112" ht="51" customHeight="1">
      <c r="B112" s="366" t="n">
        <v>15</v>
      </c>
      <c r="C112" s="366" t="inlineStr">
        <is>
          <t>Last auto filled cells should be highlighted (subsequent autofill).</t>
        </is>
      </c>
      <c r="D112" s="366" t="inlineStr">
        <is>
          <t>1. Tag 4 zones and base spread.</t>
        </is>
      </c>
      <c r="E112" s="366" t="n"/>
      <c r="F112" s="366" t="inlineStr">
        <is>
          <t>1. Tag 2 zones and autofill subsequent spread</t>
        </is>
      </c>
      <c r="G112" s="366" t="inlineStr">
        <is>
          <t>1. Tag remaining 2 zones and Autofill again.</t>
        </is>
      </c>
      <c r="H112" s="366" t="n"/>
      <c r="I112" s="366" t="n"/>
      <c r="J112" s="366" t="inlineStr">
        <is>
          <t>First autofill cells should be highlighted where 2 zones are tagged.</t>
        </is>
      </c>
      <c r="K112" s="72" t="inlineStr">
        <is>
          <t>Pending</t>
        </is>
      </c>
      <c r="L112" s="366" t="inlineStr">
        <is>
          <t>Done</t>
        </is>
      </c>
      <c r="M112" s="94" t="n"/>
    </row>
    <row r="113" ht="76.5" customHeight="1">
      <c r="B113" s="366" t="n"/>
      <c r="C113" s="366" t="n"/>
      <c r="D113" s="366" t="inlineStr">
        <is>
          <t>1. Tag 4 zones and base spread</t>
        </is>
      </c>
      <c r="E113" s="366" t="n"/>
      <c r="F113" s="366" t="inlineStr">
        <is>
          <t>1. Tag 1 zone and Autofill</t>
        </is>
      </c>
      <c r="G113" s="366" t="inlineStr">
        <is>
          <t>1. Tag 1 more zone and Autofill for 2nd time
2. Tag 2 more zones Autofill for 3rd time</t>
        </is>
      </c>
      <c r="H113" s="366" t="n"/>
      <c r="I113" s="366" t="n"/>
      <c r="J113" s="366" t="inlineStr">
        <is>
          <t>Second autofill cells should be highlighted where 1 zones is tagged</t>
        </is>
      </c>
      <c r="K113" s="72" t="inlineStr">
        <is>
          <t>Pending</t>
        </is>
      </c>
      <c r="L113" s="366" t="inlineStr">
        <is>
          <t>Done</t>
        </is>
      </c>
      <c r="M113" s="94" t="n"/>
    </row>
    <row r="114" ht="63.75" customHeight="1">
      <c r="B114" s="366" t="n"/>
      <c r="C114" s="366" t="n"/>
      <c r="D114" s="366" t="inlineStr">
        <is>
          <t>1. Tag 4 zones and base spread</t>
        </is>
      </c>
      <c r="E114" s="366" t="n"/>
      <c r="F114" s="366" t="inlineStr">
        <is>
          <t>1. Tag 1 zone and Autofill</t>
        </is>
      </c>
      <c r="G114" s="366" t="inlineStr">
        <is>
          <t xml:space="preserve">1. Manually map values in subsequent spread
2. Tag 2 zones and Autofill </t>
        </is>
      </c>
      <c r="H114" s="366" t="n"/>
      <c r="I114" s="366" t="n"/>
      <c r="J114" s="78" t="n"/>
      <c r="K114" s="72" t="inlineStr">
        <is>
          <t>Pending</t>
        </is>
      </c>
      <c r="L114" s="366" t="inlineStr">
        <is>
          <t>Done</t>
        </is>
      </c>
      <c r="M114" s="94" t="n"/>
    </row>
    <row r="115" ht="63.75" customHeight="1">
      <c r="B115" s="366" t="n"/>
      <c r="C115" s="366" t="n"/>
      <c r="D115" s="366" t="inlineStr">
        <is>
          <t>1. Tag 4 zones and base spread</t>
        </is>
      </c>
      <c r="E115" s="366" t="n"/>
      <c r="F115" s="366" t="inlineStr">
        <is>
          <t>1. Tag 1 zone and Autofill</t>
        </is>
      </c>
      <c r="G115" s="366" t="inlineStr">
        <is>
          <t xml:space="preserve">1. Manually map values in subsequent spread
2. Do not tag any zones and Autofill </t>
        </is>
      </c>
      <c r="H115" s="366" t="n"/>
      <c r="I115" s="366" t="n"/>
      <c r="J115" s="78" t="n"/>
      <c r="K115" s="72" t="inlineStr">
        <is>
          <t>Pending</t>
        </is>
      </c>
      <c r="L115" s="366" t="inlineStr">
        <is>
          <t>Done</t>
        </is>
      </c>
      <c r="M115" s="94" t="n"/>
    </row>
    <row r="116" ht="51" customHeight="1">
      <c r="B116" s="366" t="n"/>
      <c r="C116" s="366" t="n"/>
      <c r="D116" s="366" t="inlineStr">
        <is>
          <t>1. Tag 4 zones and base spread</t>
        </is>
      </c>
      <c r="E116" s="366" t="n"/>
      <c r="F116" s="366" t="inlineStr">
        <is>
          <t>1. Tag 1 zone and Autofill</t>
        </is>
      </c>
      <c r="G116" s="366" t="inlineStr">
        <is>
          <t xml:space="preserve">1. Tag 1 more zone and autofill
2. Do not tag any zones and Autofill </t>
        </is>
      </c>
      <c r="H116" s="366" t="n"/>
      <c r="I116" s="366" t="n"/>
      <c r="J116" s="78" t="n"/>
      <c r="K116" s="72" t="inlineStr">
        <is>
          <t>Pending</t>
        </is>
      </c>
      <c r="L116" s="366" t="inlineStr">
        <is>
          <t>Done</t>
        </is>
      </c>
      <c r="M116" s="94" t="n"/>
    </row>
    <row r="117" ht="38.25" customHeight="1">
      <c r="B117" s="366" t="n">
        <v>16</v>
      </c>
      <c r="C117" s="366" t="inlineStr">
        <is>
          <t>Clicking the Clear Zone button should include the NA in the expression as per the expression built in the base spread.</t>
        </is>
      </c>
      <c r="D117" s="77" t="inlineStr">
        <is>
          <t>Mapped value.</t>
        </is>
      </c>
      <c r="E117" s="366" t="inlineStr">
        <is>
          <t>MV1(Z1)/MV2(Z1)</t>
        </is>
      </c>
      <c r="F117" s="366" t="inlineStr">
        <is>
          <t>MV1(Z1)/MV2(Z1)</t>
        </is>
      </c>
      <c r="G117" s="366" t="inlineStr">
        <is>
          <t>Map the value MV3 from the same zone.</t>
        </is>
      </c>
      <c r="H117" s="366" t="inlineStr">
        <is>
          <t>MV1/MV2+MV3</t>
        </is>
      </c>
      <c r="I117" s="366" t="n"/>
      <c r="J117" s="366" t="n"/>
      <c r="K117" s="72" t="inlineStr">
        <is>
          <t>Pending</t>
        </is>
      </c>
      <c r="L117" s="366" t="inlineStr">
        <is>
          <t>Done</t>
        </is>
      </c>
      <c r="M117" s="94" t="n"/>
    </row>
    <row r="118" ht="51" customHeight="1">
      <c r="B118" s="366" t="n"/>
      <c r="C118" s="366" t="n"/>
      <c r="D118" s="366" t="n"/>
      <c r="E118" s="366" t="n"/>
      <c r="F118" s="366" t="n"/>
      <c r="G118" s="366" t="inlineStr">
        <is>
          <t>Delete Z1</t>
        </is>
      </c>
      <c r="H118" s="366" t="inlineStr">
        <is>
          <t>NA/NA</t>
        </is>
      </c>
      <c r="I118" s="366" t="n"/>
      <c r="J118" s="366" t="inlineStr">
        <is>
          <t>MV3 would be removed since this was not the part of the expression of base spread</t>
        </is>
      </c>
      <c r="K118" s="72" t="inlineStr">
        <is>
          <t>Pending</t>
        </is>
      </c>
      <c r="L118" s="366" t="inlineStr">
        <is>
          <t>Done</t>
        </is>
      </c>
      <c r="M118" s="94" t="n"/>
    </row>
    <row r="119" ht="25.5" customHeight="1">
      <c r="B119" s="366" t="n"/>
      <c r="C119" s="366" t="n"/>
      <c r="D119" s="366" t="n"/>
      <c r="E119" s="366" t="n"/>
      <c r="F119" s="366" t="n"/>
      <c r="G119" s="366" t="inlineStr">
        <is>
          <t>Detect Z1 and autofill</t>
        </is>
      </c>
      <c r="H119" s="366" t="inlineStr">
        <is>
          <t>MV1/MV2</t>
        </is>
      </c>
      <c r="I119" s="366" t="n"/>
      <c r="J119" s="366" t="inlineStr">
        <is>
          <t>Autofill done on the basis of base spread</t>
        </is>
      </c>
      <c r="K119" s="72" t="inlineStr">
        <is>
          <t>Pending</t>
        </is>
      </c>
      <c r="L119" s="366" t="inlineStr">
        <is>
          <t>Done</t>
        </is>
      </c>
      <c r="M119" s="94" t="n"/>
    </row>
    <row r="120" ht="38.25" customHeight="1">
      <c r="B120" s="366" t="n"/>
      <c r="C120" s="366" t="n"/>
      <c r="D120" s="77" t="inlineStr">
        <is>
          <t xml:space="preserve"> mapped value in base spread an then editing it in subsequent spread</t>
        </is>
      </c>
      <c r="E120" s="366" t="inlineStr">
        <is>
          <t>MV1(Z1)/MV2(Z1)_R*_200</t>
        </is>
      </c>
      <c r="F120" s="366" t="inlineStr">
        <is>
          <t>MV1(Z1)/MV2(Z1)*200</t>
        </is>
      </c>
      <c r="G120" s="366" t="inlineStr">
        <is>
          <t>Edit the manually mapped value</t>
        </is>
      </c>
      <c r="H120" s="366" t="inlineStr">
        <is>
          <t>MV1/MV2*100</t>
        </is>
      </c>
      <c r="I120" s="366" t="n"/>
      <c r="J120" s="366" t="n"/>
      <c r="K120" s="72" t="inlineStr">
        <is>
          <t>Pending</t>
        </is>
      </c>
      <c r="L120" s="366" t="inlineStr">
        <is>
          <t>Done</t>
        </is>
      </c>
      <c r="M120" s="94" t="n"/>
    </row>
    <row r="121" ht="25.5" customHeight="1">
      <c r="B121" s="366" t="n"/>
      <c r="C121" s="366" t="n"/>
      <c r="D121" s="366" t="n"/>
      <c r="E121" s="366" t="inlineStr">
        <is>
          <t>MV1(Z1)/MV2(Z1)_R*_200</t>
        </is>
      </c>
      <c r="F121" s="366" t="inlineStr">
        <is>
          <t>MV1(Z1)/MV2(Z1)*200</t>
        </is>
      </c>
      <c r="G121" s="366" t="inlineStr">
        <is>
          <t>Delete Z1</t>
        </is>
      </c>
      <c r="H121" s="366" t="inlineStr">
        <is>
          <t>NA/NA*100</t>
        </is>
      </c>
      <c r="I121" s="366" t="n"/>
      <c r="J121" s="366" t="n"/>
      <c r="K121" s="72" t="inlineStr">
        <is>
          <t>Pending</t>
        </is>
      </c>
      <c r="L121" s="366" t="inlineStr">
        <is>
          <t>Done</t>
        </is>
      </c>
      <c r="M121" s="94" t="n"/>
    </row>
    <row r="122" ht="25.5" customHeight="1">
      <c r="B122" s="366" t="n"/>
      <c r="C122" s="366" t="n"/>
      <c r="D122" s="366" t="n"/>
      <c r="E122" s="366" t="inlineStr">
        <is>
          <t>MV1(Z1)/MV2(Z1)_R*_200</t>
        </is>
      </c>
      <c r="F122" s="366" t="inlineStr">
        <is>
          <t>MV1(Z1)/MV2(Z1)*200</t>
        </is>
      </c>
      <c r="G122" s="366" t="inlineStr">
        <is>
          <t>Detect Z1 and autofill</t>
        </is>
      </c>
      <c r="H122" s="366" t="inlineStr">
        <is>
          <t>MV1/MV2*100</t>
        </is>
      </c>
      <c r="I122" s="366" t="n"/>
      <c r="J122" s="366" t="n"/>
      <c r="K122" s="72" t="inlineStr">
        <is>
          <t>Pending</t>
        </is>
      </c>
      <c r="L122" s="366" t="inlineStr">
        <is>
          <t>Done</t>
        </is>
      </c>
      <c r="M122" s="94" t="n"/>
    </row>
    <row r="123" ht="25.5" customHeight="1">
      <c r="B123" s="366" t="n"/>
      <c r="C123" s="366" t="n"/>
      <c r="D123" s="366" t="n"/>
      <c r="E123" s="366" t="inlineStr">
        <is>
          <t>MV1(Z1)/MV2(Z1)_K/_200</t>
        </is>
      </c>
      <c r="F123" s="366" t="inlineStr">
        <is>
          <t>MV1(Z1)/MV2(Z1)</t>
        </is>
      </c>
      <c r="G123" s="366" t="inlineStr">
        <is>
          <t>Manually add 200 from ribbon</t>
        </is>
      </c>
      <c r="H123" s="366" t="inlineStr">
        <is>
          <t>MV1/MV2+200</t>
        </is>
      </c>
      <c r="I123" s="366" t="n"/>
      <c r="J123" s="366" t="n"/>
      <c r="K123" s="72" t="inlineStr">
        <is>
          <t>Pending</t>
        </is>
      </c>
      <c r="L123" s="366" t="inlineStr">
        <is>
          <t>Done</t>
        </is>
      </c>
      <c r="M123" s="94" t="n"/>
    </row>
    <row r="124">
      <c r="B124" s="366" t="n"/>
      <c r="C124" s="366" t="n"/>
      <c r="D124" s="366" t="n"/>
      <c r="E124" s="366" t="n"/>
      <c r="F124" s="366" t="n"/>
      <c r="G124" s="366" t="inlineStr">
        <is>
          <t>Delete Z1</t>
        </is>
      </c>
      <c r="H124" s="366" t="inlineStr">
        <is>
          <t>NA/NA+200</t>
        </is>
      </c>
      <c r="I124" s="366" t="n"/>
      <c r="J124" s="366" t="n"/>
      <c r="K124" s="72" t="inlineStr">
        <is>
          <t>Pending</t>
        </is>
      </c>
      <c r="L124" s="366" t="inlineStr">
        <is>
          <t>Done</t>
        </is>
      </c>
      <c r="M124" s="94" t="n"/>
    </row>
    <row r="125" ht="25.5" customHeight="1">
      <c r="B125" s="366" t="n"/>
      <c r="C125" s="366" t="n"/>
      <c r="D125" s="366" t="n"/>
      <c r="E125" s="366" t="n"/>
      <c r="F125" s="366" t="n"/>
      <c r="G125" s="366" t="inlineStr">
        <is>
          <t>Detect Z1 and autofill</t>
        </is>
      </c>
      <c r="H125" s="366" t="inlineStr">
        <is>
          <t>MV1/MV2+200</t>
        </is>
      </c>
      <c r="I125" s="366" t="n"/>
      <c r="J125" s="366" t="n"/>
      <c r="K125" s="72" t="inlineStr">
        <is>
          <t>Pending</t>
        </is>
      </c>
      <c r="L125" s="366" t="inlineStr">
        <is>
          <t>Done</t>
        </is>
      </c>
      <c r="M125" s="94" t="n"/>
    </row>
    <row r="126" ht="25.5" customHeight="1">
      <c r="B126" s="366" t="n"/>
      <c r="C126" s="366" t="n"/>
      <c r="D126" s="77" t="inlineStr">
        <is>
          <t>Free text mapping</t>
        </is>
      </c>
      <c r="E126" s="366" t="inlineStr">
        <is>
          <t>MV1(Z1)*MV2(Z1)</t>
        </is>
      </c>
      <c r="F126" s="366" t="inlineStr">
        <is>
          <t>MV1(Z1)*MV2(Z1)</t>
        </is>
      </c>
      <c r="G126" s="366" t="inlineStr">
        <is>
          <t xml:space="preserve"> map free text value FT1 </t>
        </is>
      </c>
      <c r="H126" s="366" t="inlineStr">
        <is>
          <t>MV1*MV2+FT1</t>
        </is>
      </c>
      <c r="I126" s="366" t="n"/>
      <c r="J126" s="366" t="n"/>
      <c r="K126" s="72" t="inlineStr">
        <is>
          <t>Pending</t>
        </is>
      </c>
      <c r="L126" s="366" t="inlineStr">
        <is>
          <t>Done</t>
        </is>
      </c>
      <c r="M126" s="94" t="n"/>
    </row>
    <row r="127">
      <c r="B127" s="366" t="n"/>
      <c r="C127" s="366" t="n"/>
      <c r="D127" s="77" t="n"/>
      <c r="E127" s="366" t="n"/>
      <c r="F127" s="366" t="n"/>
      <c r="G127" s="366" t="inlineStr">
        <is>
          <t>Delete Z1</t>
        </is>
      </c>
      <c r="H127" s="366" t="inlineStr">
        <is>
          <t>NA*NA+200</t>
        </is>
      </c>
      <c r="I127" s="366" t="n"/>
      <c r="J127" s="366" t="n"/>
      <c r="K127" s="72" t="inlineStr">
        <is>
          <t>Pending</t>
        </is>
      </c>
      <c r="L127" s="366" t="inlineStr">
        <is>
          <t>Done</t>
        </is>
      </c>
      <c r="M127" s="94" t="n"/>
    </row>
    <row r="128" ht="25.5" customHeight="1">
      <c r="B128" s="366" t="n"/>
      <c r="C128" s="366" t="n"/>
      <c r="D128" s="77" t="n"/>
      <c r="E128" s="366" t="n"/>
      <c r="F128" s="366" t="n"/>
      <c r="G128" s="366" t="inlineStr">
        <is>
          <t>Detect Z1 and autofill</t>
        </is>
      </c>
      <c r="H128" s="366" t="inlineStr">
        <is>
          <t>MV1*MV2+200</t>
        </is>
      </c>
      <c r="I128" s="366" t="n"/>
      <c r="J128" s="366" t="n"/>
      <c r="K128" s="72" t="inlineStr">
        <is>
          <t>Pending</t>
        </is>
      </c>
      <c r="L128" s="366" t="inlineStr">
        <is>
          <t>Done</t>
        </is>
      </c>
      <c r="M128" s="94" t="n"/>
    </row>
    <row r="129" ht="38.25" customHeight="1">
      <c r="B129" s="366" t="n">
        <v>17</v>
      </c>
      <c r="C129" s="366" t="inlineStr">
        <is>
          <t>Clicking the Auto Fill button again should exclude the mapping done from the previously used zones.</t>
        </is>
      </c>
      <c r="D129" s="366" t="inlineStr">
        <is>
          <t>Tag 5 zones in base spread and do mapping.</t>
        </is>
      </c>
      <c r="E129" s="366" t="n"/>
      <c r="F129" s="366" t="inlineStr">
        <is>
          <t>1. Tag 2 zones and do autofill</t>
        </is>
      </c>
      <c r="G129" s="366" t="inlineStr">
        <is>
          <t>Check the expression.</t>
        </is>
      </c>
      <c r="H129" s="366" t="n"/>
      <c r="I129" s="366" t="n"/>
      <c r="J129" s="366" t="n"/>
      <c r="K129" s="72" t="inlineStr">
        <is>
          <t>Pending</t>
        </is>
      </c>
      <c r="L129" s="366" t="inlineStr">
        <is>
          <t>Done</t>
        </is>
      </c>
      <c r="M129" s="94" t="n"/>
    </row>
    <row r="130" ht="165.75" customHeight="1">
      <c r="B130" s="366" t="n"/>
      <c r="C130" s="366" t="n"/>
      <c r="D130" s="366" t="n"/>
      <c r="E130" s="366" t="n"/>
      <c r="F130" s="366" t="inlineStr">
        <is>
          <t>1. Map more values from above 2 tagged zones in already mapped cell
2. Manually enter constant values in already mapped cell
3. Map free text in already mapped cell</t>
        </is>
      </c>
      <c r="G130" s="366" t="inlineStr">
        <is>
          <t xml:space="preserve">1.Tag 1 more zone and autofill
2. Check expressions made from previous mapped zones and manual adjustments done </t>
        </is>
      </c>
      <c r="H130" s="366" t="n"/>
      <c r="I130" s="366" t="n"/>
      <c r="J130" s="366" t="n"/>
      <c r="K130" s="72" t="inlineStr">
        <is>
          <t>Pending</t>
        </is>
      </c>
      <c r="L130" s="366" t="inlineStr">
        <is>
          <t>Done</t>
        </is>
      </c>
      <c r="M130" s="94" t="n"/>
    </row>
    <row r="131" ht="25.5" customHeight="1">
      <c r="B131" s="366" t="n"/>
      <c r="C131" s="366" t="n"/>
      <c r="D131" s="366" t="inlineStr">
        <is>
          <t>Tag 5 zones in base spread and do mapping</t>
        </is>
      </c>
      <c r="E131" s="366" t="n"/>
      <c r="F131" s="366" t="inlineStr">
        <is>
          <t>1. Tag 2 zones and do autofill</t>
        </is>
      </c>
      <c r="G131" s="366" t="inlineStr">
        <is>
          <t xml:space="preserve">Check the expression </t>
        </is>
      </c>
      <c r="H131" s="366" t="n"/>
      <c r="I131" s="366" t="n"/>
      <c r="J131" s="366" t="n"/>
      <c r="K131" s="72" t="inlineStr">
        <is>
          <t>Pending</t>
        </is>
      </c>
      <c r="L131" s="366" t="inlineStr">
        <is>
          <t>Done</t>
        </is>
      </c>
      <c r="M131" s="94" t="n"/>
    </row>
    <row r="132" ht="140.25" customHeight="1">
      <c r="B132" s="366" t="n"/>
      <c r="C132" s="366" t="n"/>
      <c r="D132" s="366" t="n"/>
      <c r="E132" s="366" t="n"/>
      <c r="F132" s="366" t="inlineStr">
        <is>
          <t>1. Map more values from above 2 tagged zones in new cell
2. Manually enter constant values in new cell
3. Map free text in new cell</t>
        </is>
      </c>
      <c r="G132" s="366" t="inlineStr">
        <is>
          <t xml:space="preserve">1.Tag 1 more zone and autofill
2. Check expressions made from previous mapped zones and manual adjustments done </t>
        </is>
      </c>
      <c r="H132" s="366" t="n"/>
      <c r="I132" s="366" t="n"/>
      <c r="J132" s="366" t="n"/>
      <c r="K132" s="72" t="inlineStr">
        <is>
          <t>Pending</t>
        </is>
      </c>
      <c r="L132" s="366" t="inlineStr">
        <is>
          <t>Done</t>
        </is>
      </c>
      <c r="M132" s="94" t="n"/>
    </row>
    <row r="133" ht="76.5" customHeight="1">
      <c r="B133" s="366" t="n">
        <v>18</v>
      </c>
      <c r="C133" s="366" t="inlineStr">
        <is>
          <t>If the user manually removed the mapped value in the current period spreading then upon clicking the Autofill again should not introduce the NA/the mapped value in the expression again as the zone was previously processed and we would autofill only for new zones dropped.</t>
        </is>
      </c>
      <c r="D133" s="366" t="inlineStr">
        <is>
          <t>1. Detect Z1 and autofill.</t>
        </is>
      </c>
      <c r="E133" s="366" t="inlineStr">
        <is>
          <t>MV1(Z1)+MV2(Z1)+MV3(Z2)</t>
        </is>
      </c>
      <c r="F133" s="366" t="inlineStr">
        <is>
          <t>MV1(Z1)+MV2(Z1)</t>
        </is>
      </c>
      <c r="G133" s="366" t="inlineStr">
        <is>
          <t>Analyst manually deleted the mapped value MV2.</t>
        </is>
      </c>
      <c r="H133" s="366" t="inlineStr">
        <is>
          <t>MV1</t>
        </is>
      </c>
      <c r="I133" s="366" t="n"/>
      <c r="J133" s="366" t="n"/>
      <c r="K133" s="72" t="inlineStr">
        <is>
          <t>Pending</t>
        </is>
      </c>
      <c r="L133" s="366" t="inlineStr">
        <is>
          <t>Done</t>
        </is>
      </c>
      <c r="M133" s="94" t="n"/>
    </row>
    <row r="134" ht="76.5" customHeight="1">
      <c r="B134" s="366" t="n"/>
      <c r="C134" s="366" t="n"/>
      <c r="D134" s="366" t="n"/>
      <c r="E134" s="366" t="n"/>
      <c r="F134" s="366" t="inlineStr">
        <is>
          <t>MV1</t>
        </is>
      </c>
      <c r="G134" s="366" t="inlineStr">
        <is>
          <t>1. Detect Z2 and autofill
2. Check value in cell where Z1 was used</t>
        </is>
      </c>
      <c r="H134" s="78" t="inlineStr">
        <is>
          <t>MV1+MV3</t>
        </is>
      </c>
      <c r="I134" s="366" t="n"/>
      <c r="J134" s="366" t="inlineStr">
        <is>
          <t>System should not introduce the mapped value again in the cell as the mapped value was from the used zone.</t>
        </is>
      </c>
      <c r="K134" s="72" t="inlineStr">
        <is>
          <t>Pending</t>
        </is>
      </c>
      <c r="L134" s="366" t="inlineStr">
        <is>
          <t>Done</t>
        </is>
      </c>
      <c r="M134" s="94" t="n"/>
    </row>
    <row r="135" ht="51" customHeight="1">
      <c r="B135" s="366" t="n"/>
      <c r="C135" s="366" t="n"/>
      <c r="D135" s="366" t="n"/>
      <c r="E135" s="366" t="inlineStr">
        <is>
          <t>MV1(Z1)+MV2(Z1)</t>
        </is>
      </c>
      <c r="F135" s="366" t="inlineStr">
        <is>
          <t>MV1(Z1)+MV2(Z1)</t>
        </is>
      </c>
      <c r="G135" s="366" t="inlineStr">
        <is>
          <t>Analyst manually deleted the mapped value MV1 and MV2</t>
        </is>
      </c>
      <c r="H135" s="366" t="inlineStr">
        <is>
          <t>Blank</t>
        </is>
      </c>
      <c r="I135" s="366" t="n"/>
      <c r="J135" s="366" t="n"/>
      <c r="K135" s="72" t="inlineStr">
        <is>
          <t>Pending</t>
        </is>
      </c>
      <c r="L135" s="366" t="inlineStr">
        <is>
          <t>Done</t>
        </is>
      </c>
      <c r="M135" s="94" t="n"/>
    </row>
    <row r="136" ht="76.5" customHeight="1">
      <c r="B136" s="366" t="n"/>
      <c r="C136" s="366" t="n"/>
      <c r="D136" s="366" t="n"/>
      <c r="E136" s="366" t="n"/>
      <c r="F136" s="366" t="n"/>
      <c r="G136" s="366" t="inlineStr">
        <is>
          <t>1. Detect Z2 and autofill
2. Check value in cell where Z1 was used</t>
        </is>
      </c>
      <c r="H136" s="366" t="inlineStr">
        <is>
          <t>Blank</t>
        </is>
      </c>
      <c r="I136" s="366" t="n"/>
      <c r="J136" s="366" t="inlineStr">
        <is>
          <t>System should not introduce the mapped value again in the cell as the mapped value was from the used zone.</t>
        </is>
      </c>
      <c r="K136" s="72" t="inlineStr">
        <is>
          <t>Pending</t>
        </is>
      </c>
      <c r="L136" s="366" t="inlineStr">
        <is>
          <t>Done</t>
        </is>
      </c>
      <c r="M136" s="94" t="n"/>
    </row>
    <row r="137" ht="25.5" customHeight="1">
      <c r="B137" s="366" t="n"/>
      <c r="C137" s="366" t="n"/>
      <c r="D137" s="366" t="n"/>
      <c r="E137" s="366" t="inlineStr">
        <is>
          <t>MV1(Z1)/MV2(Z1)-MV3(Z2)</t>
        </is>
      </c>
      <c r="F137" s="366" t="n"/>
      <c r="G137" s="366" t="inlineStr">
        <is>
          <t xml:space="preserve">Detect Z1 </t>
        </is>
      </c>
      <c r="H137" s="366" t="inlineStr">
        <is>
          <t>MV1/MV2-NA</t>
        </is>
      </c>
      <c r="I137" s="366" t="n"/>
      <c r="J137" s="366" t="n"/>
      <c r="K137" s="72" t="inlineStr">
        <is>
          <t>Pending</t>
        </is>
      </c>
      <c r="L137" s="366" t="inlineStr">
        <is>
          <t>Done</t>
        </is>
      </c>
      <c r="M137" s="94" t="n"/>
    </row>
    <row r="138" ht="38.25" customHeight="1">
      <c r="B138" s="366" t="n"/>
      <c r="C138" s="366" t="n"/>
      <c r="D138" s="366" t="n"/>
      <c r="E138" s="366" t="n"/>
      <c r="F138" s="366" t="inlineStr">
        <is>
          <t>MV1</t>
        </is>
      </c>
      <c r="G138" s="366" t="inlineStr">
        <is>
          <t xml:space="preserve">Edit the expression manually and remove MV2 </t>
        </is>
      </c>
      <c r="H138" s="366" t="inlineStr">
        <is>
          <t>MV1-NA</t>
        </is>
      </c>
      <c r="I138" s="366" t="n"/>
      <c r="J138" s="366" t="n"/>
      <c r="K138" s="72" t="inlineStr">
        <is>
          <t>Pending</t>
        </is>
      </c>
      <c r="L138" s="366" t="inlineStr">
        <is>
          <t>Done</t>
        </is>
      </c>
      <c r="M138" s="94" t="n"/>
    </row>
    <row r="139" ht="25.5" customHeight="1">
      <c r="B139" s="366" t="n"/>
      <c r="C139" s="366" t="n"/>
      <c r="D139" s="366" t="n"/>
      <c r="E139" s="366" t="n"/>
      <c r="F139" s="366" t="n"/>
      <c r="G139" s="366" t="inlineStr">
        <is>
          <t>Detect Z2 and autofill</t>
        </is>
      </c>
      <c r="H139" s="366" t="inlineStr">
        <is>
          <t>MV1-MV3</t>
        </is>
      </c>
      <c r="I139" s="366" t="n"/>
      <c r="J139" s="366" t="n"/>
      <c r="K139" s="72" t="inlineStr">
        <is>
          <t>Pending</t>
        </is>
      </c>
      <c r="L139" s="366" t="inlineStr">
        <is>
          <t>Done</t>
        </is>
      </c>
      <c r="M139" s="94" t="n"/>
    </row>
    <row r="140" ht="25.5" customHeight="1">
      <c r="B140" s="366" t="n">
        <v>19</v>
      </c>
      <c r="C140" s="366" t="inlineStr">
        <is>
          <t>Sequence of the mapping should be followed in the subsequent autofill.</t>
        </is>
      </c>
      <c r="D140" s="366" t="inlineStr">
        <is>
          <t>1. Drop Z2.</t>
        </is>
      </c>
      <c r="E140" s="366" t="inlineStr">
        <is>
          <t>MV1(Z1)+MV2(Z2)+MV3(Z1)</t>
        </is>
      </c>
      <c r="F140" s="366" t="inlineStr">
        <is>
          <t>MV2(Z2)</t>
        </is>
      </c>
      <c r="G140" s="366" t="inlineStr">
        <is>
          <t>Analyst multiplied MV2 with 200.</t>
        </is>
      </c>
      <c r="H140" s="366" t="inlineStr">
        <is>
          <t>MV2*200</t>
        </is>
      </c>
      <c r="I140" s="366" t="n"/>
      <c r="J140" s="366" t="n"/>
      <c r="K140" s="72" t="inlineStr">
        <is>
          <t>Pending</t>
        </is>
      </c>
      <c r="L140" s="366" t="inlineStr">
        <is>
          <t>Done</t>
        </is>
      </c>
      <c r="M140" s="94" t="n"/>
    </row>
    <row r="141" ht="127.5" customHeight="1">
      <c r="B141" s="366" t="n"/>
      <c r="C141" s="366" t="n"/>
      <c r="D141" s="366" t="n"/>
      <c r="E141" s="366" t="n"/>
      <c r="F141" s="366" t="n"/>
      <c r="G141" s="366" t="inlineStr">
        <is>
          <t>Drop zone Z1 and autofill</t>
        </is>
      </c>
      <c r="H141" s="366" t="inlineStr">
        <is>
          <t>MV1+MV2*200+MV3</t>
        </is>
      </c>
      <c r="I141" s="366" t="n"/>
      <c r="J141" s="366" t="inlineStr">
        <is>
          <t>System should introduce the remaining missing values in the expression as per the expression in the base spread and the sequence of operations done by the analyst in the cell.</t>
        </is>
      </c>
      <c r="K141" s="72" t="inlineStr">
        <is>
          <t>Pending</t>
        </is>
      </c>
      <c r="L141" s="366" t="inlineStr">
        <is>
          <t>Done</t>
        </is>
      </c>
      <c r="M141" s="94" t="n"/>
    </row>
    <row r="142" ht="38.25" customHeight="1">
      <c r="B142" s="366" t="n"/>
      <c r="C142" s="366" t="n"/>
      <c r="D142" s="366" t="inlineStr">
        <is>
          <t>1. Drop Z1</t>
        </is>
      </c>
      <c r="E142" s="366" t="inlineStr">
        <is>
          <t>MV1(Z1)+MV2(Z2)_R*100_+MV3(Z1)</t>
        </is>
      </c>
      <c r="F142" s="366" t="inlineStr">
        <is>
          <t>MV1(Z1)+NA*100+MV3(Z1)</t>
        </is>
      </c>
      <c r="G142" s="366" t="inlineStr">
        <is>
          <t>Analyst subtract MV1 with 200</t>
        </is>
      </c>
      <c r="H142" s="366" t="inlineStr">
        <is>
          <t>MV1(Z1)-200+NA*100+MV3(Z1)</t>
        </is>
      </c>
      <c r="I142" s="366" t="n"/>
      <c r="J142" s="366" t="n"/>
      <c r="K142" s="72" t="inlineStr">
        <is>
          <t>Pending</t>
        </is>
      </c>
      <c r="L142" s="366" t="inlineStr">
        <is>
          <t>Done</t>
        </is>
      </c>
      <c r="M142" s="94" t="n"/>
    </row>
    <row r="143" ht="38.25" customHeight="1">
      <c r="B143" s="366" t="n"/>
      <c r="C143" s="366" t="n"/>
      <c r="D143" s="366" t="n"/>
      <c r="E143" s="366" t="n"/>
      <c r="F143" s="366" t="n"/>
      <c r="G143" s="366" t="inlineStr">
        <is>
          <t>Drop Z2</t>
        </is>
      </c>
      <c r="H143" s="366" t="inlineStr">
        <is>
          <t>MV1-200+MV2*100+MV3</t>
        </is>
      </c>
      <c r="I143" s="366" t="n"/>
      <c r="J143" s="366" t="n"/>
      <c r="K143" s="72" t="inlineStr">
        <is>
          <t>Pending</t>
        </is>
      </c>
      <c r="L143" s="366" t="inlineStr">
        <is>
          <t>Done</t>
        </is>
      </c>
      <c r="M143" s="94" t="n"/>
    </row>
    <row r="144" ht="51" customHeight="1">
      <c r="B144" s="366" t="n">
        <v>20</v>
      </c>
      <c r="C144" s="366" t="inlineStr">
        <is>
          <t>If the user mapped a new value in the cell which was not a part of the expression of the base spread, then system should retain the newly mapped value upon subsequent auto fill.</t>
        </is>
      </c>
      <c r="D144" s="366" t="inlineStr">
        <is>
          <t>1. Drop Z1 and autofill for first time.</t>
        </is>
      </c>
      <c r="E144" s="366" t="inlineStr">
        <is>
          <t>MV1(Z1)+MV2(Z2)/3+MV3(Z2)</t>
        </is>
      </c>
      <c r="F144" s="366" t="inlineStr">
        <is>
          <t>MV1+NA/3+NA</t>
        </is>
      </c>
      <c r="G144" s="366" t="inlineStr">
        <is>
          <t>Analyst mapped a new value MV4 in the cell from the used zone(Z1).</t>
        </is>
      </c>
      <c r="H144" s="366" t="inlineStr">
        <is>
          <t>MV1+NA/3+NA+MV4</t>
        </is>
      </c>
      <c r="I144" s="366" t="n"/>
      <c r="J144" s="366" t="n"/>
      <c r="K144" s="72" t="inlineStr">
        <is>
          <t>Pending</t>
        </is>
      </c>
      <c r="L144" s="366" t="inlineStr">
        <is>
          <t>Done</t>
        </is>
      </c>
      <c r="M144" s="94" t="n"/>
    </row>
    <row r="145" ht="153" customHeight="1">
      <c r="B145" s="366" t="n"/>
      <c r="C145" s="366" t="n"/>
      <c r="D145" s="366" t="n"/>
      <c r="E145" s="366" t="n"/>
      <c r="F145" s="366" t="n"/>
      <c r="G145" s="366" t="inlineStr">
        <is>
          <t>Drop zone Z2 and autofill</t>
        </is>
      </c>
      <c r="H145" s="366" t="inlineStr">
        <is>
          <t>MV1+MV2/3+MV3+MV4</t>
        </is>
      </c>
      <c r="I145" s="366" t="n"/>
      <c r="J145" s="366" t="inlineStr">
        <is>
          <t>System should introduce the remaining missing values from the new zone dropped by the user in the expression as per the expression created in the base spread and include the mapped value from the used zone mapped by the user manually.</t>
        </is>
      </c>
      <c r="K145" s="72" t="inlineStr">
        <is>
          <t>Pending</t>
        </is>
      </c>
      <c r="L145" s="366" t="inlineStr">
        <is>
          <t>Done</t>
        </is>
      </c>
      <c r="M145" s="94" t="n"/>
    </row>
    <row r="146" ht="63.75" customHeight="1">
      <c r="B146" s="366" t="n"/>
      <c r="C146" s="366" t="n"/>
      <c r="D146" s="366" t="inlineStr">
        <is>
          <t>1. Drop Z1 and autofill for first time</t>
        </is>
      </c>
      <c r="E146" s="366" t="inlineStr">
        <is>
          <t>MV1(Z1)+MV2(Z2)/3+MV3(Z2)</t>
        </is>
      </c>
      <c r="F146" s="366" t="inlineStr">
        <is>
          <t>MV1+NA/3+NA</t>
        </is>
      </c>
      <c r="G146" s="366" t="inlineStr">
        <is>
          <t>Analyst manually entered a constant value (CV1) and map a free form value FT1</t>
        </is>
      </c>
      <c r="H146" s="366" t="inlineStr">
        <is>
          <t>MV1+NA/3+NA+CV1+FT1</t>
        </is>
      </c>
      <c r="I146" s="366" t="n"/>
      <c r="J146" s="366" t="n"/>
      <c r="K146" s="72" t="inlineStr">
        <is>
          <t>Pending</t>
        </is>
      </c>
      <c r="L146" s="366" t="inlineStr">
        <is>
          <t>Done</t>
        </is>
      </c>
      <c r="M146" s="94" t="n"/>
    </row>
    <row r="147" ht="25.5" customHeight="1">
      <c r="B147" s="366" t="n"/>
      <c r="C147" s="366" t="n"/>
      <c r="D147" s="366" t="n"/>
      <c r="E147" s="366" t="n"/>
      <c r="F147" s="366" t="n"/>
      <c r="G147" s="366" t="inlineStr">
        <is>
          <t>Drop zone Z2 and autofill</t>
        </is>
      </c>
      <c r="H147" s="366" t="inlineStr">
        <is>
          <t>MV1+MV2/3+MV3+CV1+FT1</t>
        </is>
      </c>
      <c r="I147" s="366" t="n"/>
      <c r="J147" s="366" t="n"/>
      <c r="K147" s="72" t="inlineStr">
        <is>
          <t>Pending</t>
        </is>
      </c>
      <c r="L147" s="366" t="inlineStr">
        <is>
          <t>Done</t>
        </is>
      </c>
      <c r="M147" s="94" t="n"/>
    </row>
    <row r="148" ht="102" customHeight="1">
      <c r="B148" s="366" t="n">
        <v>21</v>
      </c>
      <c r="C148" s="366" t="inlineStr">
        <is>
          <t>While editing of the base spread, if the user removes the mapped value manually then upon clicking the autofill again in the current spread, the mapped value which has been removed in the base spread should not get removed in the current spread automatically. The user would himself/herself deletes the deleted value from the current spread as well.</t>
        </is>
      </c>
      <c r="D148" s="366" t="n"/>
      <c r="E148" s="366" t="inlineStr">
        <is>
          <t>MV1(Z1)+MV2(Z2)</t>
        </is>
      </c>
      <c r="F148" s="366" t="inlineStr">
        <is>
          <t>MV1(Z1)+MV2(Z2)</t>
        </is>
      </c>
      <c r="G148" s="366" t="inlineStr">
        <is>
          <t>1. Edit base spread and remove MV2 manually.</t>
        </is>
      </c>
      <c r="H148" s="366" t="inlineStr">
        <is>
          <t>MV1</t>
        </is>
      </c>
      <c r="I148" s="366" t="n"/>
      <c r="J148" s="366" t="n"/>
      <c r="K148" s="72" t="inlineStr">
        <is>
          <t>Pending</t>
        </is>
      </c>
      <c r="L148" s="366" t="inlineStr">
        <is>
          <t>Done</t>
        </is>
      </c>
      <c r="M148" s="94" t="n"/>
      <c r="N148" s="104" t="n"/>
    </row>
    <row r="149" ht="51" customHeight="1">
      <c r="B149" s="366" t="n"/>
      <c r="C149" s="366" t="n"/>
      <c r="D149" s="366" t="n"/>
      <c r="E149" s="366" t="n"/>
      <c r="F149" s="366" t="n"/>
      <c r="G149" s="366" t="inlineStr">
        <is>
          <t>2. Click autofill for current spread without dropping Z1 and Z2</t>
        </is>
      </c>
      <c r="H149" s="366" t="inlineStr">
        <is>
          <t>MV1+MV2</t>
        </is>
      </c>
      <c r="I149" s="366" t="n"/>
      <c r="J149" s="366" t="n"/>
      <c r="K149" s="72" t="inlineStr">
        <is>
          <t>Pending</t>
        </is>
      </c>
      <c r="L149" s="366" t="inlineStr">
        <is>
          <t>Done</t>
        </is>
      </c>
      <c r="M149" s="94" t="n"/>
    </row>
    <row r="150" ht="51" customHeight="1">
      <c r="B150" s="366" t="n"/>
      <c r="C150" s="366" t="n"/>
      <c r="D150" s="366" t="n"/>
      <c r="E150" s="366" t="n"/>
      <c r="F150" s="366" t="n"/>
      <c r="G150" s="366" t="inlineStr">
        <is>
          <t>2. Delete Z1 and Z2 and again drop same zones and autofill</t>
        </is>
      </c>
      <c r="H150" s="366" t="inlineStr">
        <is>
          <t>MV1</t>
        </is>
      </c>
      <c r="I150" s="366" t="n"/>
      <c r="J150" s="366" t="n"/>
      <c r="K150" s="72" t="inlineStr">
        <is>
          <t>Pending</t>
        </is>
      </c>
      <c r="L150" s="366" t="inlineStr">
        <is>
          <t>Done</t>
        </is>
      </c>
      <c r="M150" s="94" t="n"/>
    </row>
    <row r="151" ht="51" customHeight="1">
      <c r="B151" s="366" t="n"/>
      <c r="C151" s="366" t="n"/>
      <c r="D151" s="366" t="n"/>
      <c r="E151" s="366" t="inlineStr">
        <is>
          <t>MV1(Z1)+MV2(Z2)</t>
        </is>
      </c>
      <c r="F151" s="366" t="inlineStr">
        <is>
          <t>MV1(Z1)+MV2(Z2)</t>
        </is>
      </c>
      <c r="G151" s="366" t="inlineStr">
        <is>
          <t xml:space="preserve">1. Edit base spread and add constant value CV1
</t>
        </is>
      </c>
      <c r="H151" s="366" t="inlineStr">
        <is>
          <t xml:space="preserve">MV1+MV2+CV1 </t>
        </is>
      </c>
      <c r="I151" s="366" t="n"/>
      <c r="J151" s="366" t="n"/>
      <c r="K151" s="72" t="inlineStr">
        <is>
          <t>Pending</t>
        </is>
      </c>
      <c r="L151" s="366" t="inlineStr">
        <is>
          <t>Done</t>
        </is>
      </c>
      <c r="M151" s="94" t="n"/>
    </row>
    <row r="152" ht="25.5" customHeight="1">
      <c r="B152" s="366" t="n"/>
      <c r="C152" s="366" t="n"/>
      <c r="D152" s="366" t="n"/>
      <c r="E152" s="366" t="n"/>
      <c r="F152" s="366" t="n"/>
      <c r="G152" s="366" t="inlineStr">
        <is>
          <t>2. Click autofill for current spread</t>
        </is>
      </c>
      <c r="H152" s="366" t="inlineStr">
        <is>
          <t>MV1+MV2</t>
        </is>
      </c>
      <c r="I152" s="366" t="n"/>
      <c r="J152" s="366" t="n"/>
      <c r="K152" s="72" t="inlineStr">
        <is>
          <t>Pending</t>
        </is>
      </c>
      <c r="L152" s="366" t="inlineStr">
        <is>
          <t>Done</t>
        </is>
      </c>
      <c r="M152" s="94" t="n"/>
    </row>
    <row r="153" ht="51" customHeight="1">
      <c r="B153" s="366" t="n"/>
      <c r="C153" s="366" t="n"/>
      <c r="D153" s="366" t="n"/>
      <c r="E153" s="366" t="inlineStr">
        <is>
          <t>MV1(Z1)+MV2(Z2)_R+_CV1</t>
        </is>
      </c>
      <c r="F153" s="366" t="inlineStr">
        <is>
          <t>MV1(Z1)+MV2(Z2)+CV1</t>
        </is>
      </c>
      <c r="G153" s="366" t="inlineStr">
        <is>
          <t xml:space="preserve">1. Edit base spread and remove constant value CV1
</t>
        </is>
      </c>
      <c r="H153" s="366" t="inlineStr">
        <is>
          <t>MV1+MV2</t>
        </is>
      </c>
      <c r="I153" s="366" t="n"/>
      <c r="J153" s="366" t="n"/>
      <c r="K153" s="72" t="inlineStr">
        <is>
          <t>Pending</t>
        </is>
      </c>
      <c r="L153" s="366" t="inlineStr">
        <is>
          <t>Done</t>
        </is>
      </c>
      <c r="M153" s="94" t="n"/>
    </row>
    <row r="154" ht="25.5" customHeight="1">
      <c r="B154" s="366" t="n"/>
      <c r="C154" s="366" t="n"/>
      <c r="D154" s="366" t="n"/>
      <c r="E154" s="366" t="n"/>
      <c r="F154" s="366" t="n"/>
      <c r="G154" s="366" t="inlineStr">
        <is>
          <t>2. Click autofill for current spread</t>
        </is>
      </c>
      <c r="H154" s="366" t="inlineStr">
        <is>
          <t>MV1+MV2+CV1</t>
        </is>
      </c>
      <c r="I154" s="366" t="n"/>
      <c r="J154" s="366" t="n"/>
      <c r="K154" s="72" t="inlineStr">
        <is>
          <t>Pending</t>
        </is>
      </c>
      <c r="L154" s="366" t="inlineStr">
        <is>
          <t>Done</t>
        </is>
      </c>
      <c r="M154" s="94" t="n"/>
    </row>
    <row r="155" ht="25.5" customHeight="1">
      <c r="B155" s="366" t="n">
        <v>22</v>
      </c>
      <c r="C155" s="366" t="inlineStr">
        <is>
          <t>Manual values in the expression should be retained upon subsequent auto fill.</t>
        </is>
      </c>
      <c r="D155" s="366" t="inlineStr">
        <is>
          <t>1. Detect Z1.</t>
        </is>
      </c>
      <c r="E155" s="366" t="inlineStr">
        <is>
          <t>MV1(Z1)+MV2(Z2)_R+_200</t>
        </is>
      </c>
      <c r="F155" s="366" t="inlineStr">
        <is>
          <t>MV1</t>
        </is>
      </c>
      <c r="G155" s="366" t="inlineStr">
        <is>
          <t>1. Manually edit expression.</t>
        </is>
      </c>
      <c r="H155" s="366" t="inlineStr">
        <is>
          <t>MV1_R+_300</t>
        </is>
      </c>
      <c r="I155" s="366" t="n"/>
      <c r="J155" s="366" t="n"/>
      <c r="K155" s="72" t="inlineStr">
        <is>
          <t>Pending</t>
        </is>
      </c>
      <c r="L155" s="366" t="inlineStr">
        <is>
          <t>Done</t>
        </is>
      </c>
      <c r="M155" s="94" t="n"/>
    </row>
    <row r="156" ht="38.25" customHeight="1">
      <c r="B156" s="366" t="n"/>
      <c r="C156" s="366" t="n"/>
      <c r="D156" s="366" t="n"/>
      <c r="E156" s="366" t="n"/>
      <c r="F156" s="366" t="n"/>
      <c r="G156" s="366" t="inlineStr">
        <is>
          <t xml:space="preserve">1. Detect Z2 and autofill
</t>
        </is>
      </c>
      <c r="H156" s="366" t="inlineStr">
        <is>
          <t>MV1+300+MV2+200</t>
        </is>
      </c>
      <c r="I156" s="366" t="n"/>
      <c r="J156" s="366" t="n"/>
      <c r="K156" s="72" t="inlineStr">
        <is>
          <t>Pending</t>
        </is>
      </c>
      <c r="L156" s="366" t="inlineStr">
        <is>
          <t>Done</t>
        </is>
      </c>
      <c r="M156" s="94" t="n"/>
    </row>
    <row r="157" ht="25.5" customHeight="1">
      <c r="B157" s="366" t="n"/>
      <c r="C157" s="366" t="n"/>
      <c r="D157" s="366" t="inlineStr">
        <is>
          <t>1. Detect Z1</t>
        </is>
      </c>
      <c r="E157" s="366" t="inlineStr">
        <is>
          <t>MV1(Z1)+MV2(Z2)_R+_200</t>
        </is>
      </c>
      <c r="F157" s="366" t="inlineStr">
        <is>
          <t>MV1</t>
        </is>
      </c>
      <c r="G157" s="366" t="inlineStr">
        <is>
          <t>1. Manually edit expression</t>
        </is>
      </c>
      <c r="H157" s="366" t="inlineStr">
        <is>
          <t>MV1_K+_300</t>
        </is>
      </c>
      <c r="I157" s="366" t="n"/>
      <c r="J157" s="366" t="n"/>
      <c r="K157" s="72" t="inlineStr">
        <is>
          <t>Pending</t>
        </is>
      </c>
      <c r="L157" s="366" t="inlineStr">
        <is>
          <t>Done</t>
        </is>
      </c>
      <c r="M157" s="94" t="n"/>
    </row>
    <row r="158" ht="38.25" customHeight="1">
      <c r="B158" s="366" t="n"/>
      <c r="C158" s="366" t="n"/>
      <c r="D158" s="366" t="n"/>
      <c r="E158" s="366" t="n"/>
      <c r="F158" s="366" t="n"/>
      <c r="G158" s="366" t="inlineStr">
        <is>
          <t xml:space="preserve">1. Detect Z2 and autofill
</t>
        </is>
      </c>
      <c r="H158" s="366" t="inlineStr">
        <is>
          <t>MV1+300+MV2+200</t>
        </is>
      </c>
      <c r="I158" s="366" t="n"/>
      <c r="J158" s="366" t="n"/>
      <c r="K158" s="72" t="inlineStr">
        <is>
          <t>Pending</t>
        </is>
      </c>
      <c r="L158" s="366" t="inlineStr">
        <is>
          <t>Done</t>
        </is>
      </c>
      <c r="M158" s="94" t="n"/>
    </row>
    <row r="159" ht="89.25" customHeight="1">
      <c r="B159" s="366" t="n">
        <v>23</v>
      </c>
      <c r="C159" s="366" t="inlineStr">
        <is>
          <t>Those values which have been mapped as free text, would not be auto filled if the expression of the base spread only contains the free text mapped value. Note: Free text also includes any value taken from a zone table (Auto detected or drawn) column but not specified as value column.</t>
        </is>
      </c>
      <c r="D159" s="366" t="inlineStr">
        <is>
          <t>1. Map free text value from page where no zone is drawn.</t>
        </is>
      </c>
      <c r="E159" s="366" t="inlineStr">
        <is>
          <t>FT1</t>
        </is>
      </c>
      <c r="F159" s="366" t="inlineStr">
        <is>
          <t>Blank</t>
        </is>
      </c>
      <c r="G159" s="366" t="n"/>
      <c r="H159" s="366" t="n"/>
      <c r="I159" s="366" t="n"/>
      <c r="J159" s="366" t="n"/>
      <c r="K159" s="72" t="inlineStr">
        <is>
          <t>Pending</t>
        </is>
      </c>
      <c r="L159" s="366" t="inlineStr">
        <is>
          <t>Done</t>
        </is>
      </c>
      <c r="M159" s="94" t="n"/>
    </row>
    <row r="160" ht="63.75" customHeight="1">
      <c r="B160" s="366" t="n"/>
      <c r="C160" s="366" t="n"/>
      <c r="D160" s="366" t="inlineStr">
        <is>
          <t xml:space="preserve">1. Map free text value from page where zone is drawn(auto detect) but value is mapped from outside table
</t>
        </is>
      </c>
      <c r="E160" s="366" t="inlineStr">
        <is>
          <t>FT1</t>
        </is>
      </c>
      <c r="F160" s="366" t="inlineStr">
        <is>
          <t>Blank</t>
        </is>
      </c>
      <c r="G160" s="366" t="n"/>
      <c r="H160" s="366" t="n"/>
      <c r="I160" s="366" t="n"/>
      <c r="J160" s="366" t="n"/>
      <c r="K160" s="72" t="inlineStr">
        <is>
          <t>Pending</t>
        </is>
      </c>
      <c r="L160" s="366" t="inlineStr">
        <is>
          <t>Done</t>
        </is>
      </c>
      <c r="M160" s="94" t="n"/>
    </row>
    <row r="161" ht="76.5" customHeight="1">
      <c r="B161" s="366" t="n"/>
      <c r="C161" s="366" t="n"/>
      <c r="D161" s="366" t="inlineStr">
        <is>
          <t xml:space="preserve">1. Map free text value from page where zone is drawn(Manually drawn) but value is mapped from table non value column
</t>
        </is>
      </c>
      <c r="E161" s="366" t="inlineStr">
        <is>
          <t>FT1</t>
        </is>
      </c>
      <c r="F161" s="366" t="inlineStr">
        <is>
          <t>Blank</t>
        </is>
      </c>
      <c r="G161" s="366" t="n"/>
      <c r="H161" s="366" t="n"/>
      <c r="I161" s="366" t="n"/>
      <c r="J161" s="366" t="n"/>
      <c r="K161" s="72" t="inlineStr">
        <is>
          <t>Pending</t>
        </is>
      </c>
      <c r="L161" s="366" t="inlineStr">
        <is>
          <t>Done</t>
        </is>
      </c>
      <c r="M161" s="94" t="n"/>
    </row>
    <row r="162" ht="38.25" customHeight="1">
      <c r="B162" s="366" t="n">
        <v>24</v>
      </c>
      <c r="C162" s="366" t="inlineStr">
        <is>
          <t>Free text mapped value should be replaced with NA (as per rule) in the expression where mapped value was also there.</t>
        </is>
      </c>
      <c r="D162" s="366" t="inlineStr">
        <is>
          <t>1. Map free text value from page where no zone is drawn.</t>
        </is>
      </c>
      <c r="E162" s="366" t="inlineStr">
        <is>
          <t>MV1(Z1)+FT1</t>
        </is>
      </c>
      <c r="F162" s="366" t="inlineStr">
        <is>
          <t>MV1</t>
        </is>
      </c>
      <c r="G162" s="366" t="n"/>
      <c r="H162" s="366" t="n"/>
      <c r="I162" s="366" t="n"/>
      <c r="J162" s="366" t="n"/>
      <c r="K162" s="72" t="inlineStr">
        <is>
          <t>Pending</t>
        </is>
      </c>
      <c r="L162" s="366" t="inlineStr">
        <is>
          <t>Done</t>
        </is>
      </c>
      <c r="M162" s="94" t="n"/>
    </row>
    <row r="163" ht="63.75" customHeight="1">
      <c r="B163" s="366" t="n"/>
      <c r="C163" s="366" t="n"/>
      <c r="D163" s="366" t="inlineStr">
        <is>
          <t xml:space="preserve">1. Map free text value from page where zone is drawn(auto detect) but value is mapped from outside table
</t>
        </is>
      </c>
      <c r="E163" s="366" t="inlineStr">
        <is>
          <t>MV1(Z1)-FT1</t>
        </is>
      </c>
      <c r="F163" s="366" t="inlineStr">
        <is>
          <t>MV1</t>
        </is>
      </c>
      <c r="G163" s="366" t="n"/>
      <c r="H163" s="366" t="n"/>
      <c r="I163" s="366" t="n"/>
      <c r="J163" s="366" t="n"/>
      <c r="K163" s="72" t="inlineStr">
        <is>
          <t>Pending</t>
        </is>
      </c>
      <c r="L163" s="366" t="inlineStr">
        <is>
          <t>Done</t>
        </is>
      </c>
      <c r="M163" s="94" t="n"/>
    </row>
    <row r="164" ht="76.5" customHeight="1">
      <c r="B164" s="366" t="n"/>
      <c r="C164" s="366" t="n"/>
      <c r="D164" s="366" t="inlineStr">
        <is>
          <t xml:space="preserve">1. Map free text value from page where zone is drawn(Manually drawn) but value is mapped from table non value column
</t>
        </is>
      </c>
      <c r="E164" s="366" t="inlineStr">
        <is>
          <t>MV1(Z1)+FT1</t>
        </is>
      </c>
      <c r="F164" s="366" t="inlineStr">
        <is>
          <t>MV1</t>
        </is>
      </c>
      <c r="G164" s="366" t="n"/>
      <c r="H164" s="366" t="n"/>
      <c r="I164" s="366" t="n"/>
      <c r="J164" s="366" t="n"/>
      <c r="K164" s="72" t="inlineStr">
        <is>
          <t>Pending</t>
        </is>
      </c>
      <c r="L164" s="366" t="inlineStr">
        <is>
          <t>Done</t>
        </is>
      </c>
      <c r="M164" s="94" t="n"/>
    </row>
    <row r="165" ht="38.25" customHeight="1">
      <c r="B165" s="366" t="n"/>
      <c r="C165" s="366" t="n"/>
      <c r="D165" s="366" t="inlineStr">
        <is>
          <t xml:space="preserve">1. Map free text value from page where no zone is drawn
</t>
        </is>
      </c>
      <c r="E165" s="366" t="inlineStr">
        <is>
          <t>MV1(Z1)_R*_FT1</t>
        </is>
      </c>
      <c r="F165" s="366" t="inlineStr">
        <is>
          <t>MV1*NA</t>
        </is>
      </c>
      <c r="G165" s="366" t="n"/>
      <c r="H165" s="366" t="n"/>
      <c r="I165" s="366" t="n"/>
      <c r="J165" s="366" t="n"/>
      <c r="K165" s="72" t="inlineStr">
        <is>
          <t>Pending</t>
        </is>
      </c>
      <c r="L165" s="366" t="inlineStr">
        <is>
          <t>Done</t>
        </is>
      </c>
      <c r="M165" s="94" t="n"/>
    </row>
    <row r="166" ht="63.75" customHeight="1">
      <c r="B166" s="366" t="n"/>
      <c r="C166" s="366" t="n"/>
      <c r="D166" s="366" t="inlineStr">
        <is>
          <t xml:space="preserve">1. Map free text value from page where zone is drawn(auto detect) but value is mapped from outside table
</t>
        </is>
      </c>
      <c r="E166" s="366" t="inlineStr">
        <is>
          <t>MV1(Z1)_K*_FT1</t>
        </is>
      </c>
      <c r="F166" s="366" t="inlineStr">
        <is>
          <t>MV1</t>
        </is>
      </c>
      <c r="G166" s="366" t="n"/>
      <c r="H166" s="366" t="n"/>
      <c r="I166" s="366" t="n"/>
      <c r="J166" s="366" t="n"/>
      <c r="K166" s="72" t="inlineStr">
        <is>
          <t>Pending</t>
        </is>
      </c>
      <c r="L166" s="366" t="inlineStr">
        <is>
          <t>Done</t>
        </is>
      </c>
      <c r="M166" s="94" t="n"/>
    </row>
    <row r="167" ht="76.5" customHeight="1">
      <c r="B167" s="366" t="n"/>
      <c r="C167" s="366" t="n"/>
      <c r="D167" s="366" t="inlineStr">
        <is>
          <t xml:space="preserve">1. Map free text value from page where zone is drawn(Manually drawn) but value is mapped from table non value column
</t>
        </is>
      </c>
      <c r="E167" s="366" t="inlineStr">
        <is>
          <t>MV1(Z1)_R/_FT1</t>
        </is>
      </c>
      <c r="F167" s="366" t="inlineStr">
        <is>
          <t>MV1/NA</t>
        </is>
      </c>
      <c r="G167" s="366" t="n"/>
      <c r="H167" s="366" t="n"/>
      <c r="I167" s="366" t="n"/>
      <c r="J167" s="366" t="n"/>
      <c r="K167" s="72" t="inlineStr">
        <is>
          <t>Pending</t>
        </is>
      </c>
      <c r="L167" s="366" t="inlineStr">
        <is>
          <t>Done</t>
        </is>
      </c>
      <c r="M167" s="94" t="n"/>
    </row>
    <row r="168" ht="25.5" customHeight="1">
      <c r="B168" s="366" t="n"/>
      <c r="C168" s="366" t="n"/>
      <c r="D168" s="366" t="inlineStr">
        <is>
          <t>Map free text left to mapped value</t>
        </is>
      </c>
      <c r="E168" s="366" t="inlineStr">
        <is>
          <t>FT1_R*_MV1(Z1)</t>
        </is>
      </c>
      <c r="F168" s="366" t="inlineStr">
        <is>
          <t>NA*MV1</t>
        </is>
      </c>
      <c r="G168" s="366" t="n"/>
      <c r="H168" s="366" t="n"/>
      <c r="I168" s="366" t="n"/>
      <c r="J168" s="366" t="n"/>
      <c r="K168" s="72" t="inlineStr">
        <is>
          <t>Pending</t>
        </is>
      </c>
      <c r="L168" s="366" t="inlineStr">
        <is>
          <t>Done</t>
        </is>
      </c>
      <c r="M168" s="94" t="n"/>
    </row>
    <row r="169" ht="25.5" customHeight="1">
      <c r="B169" s="366" t="n">
        <v>25</v>
      </c>
      <c r="C169" s="366" t="inlineStr">
        <is>
          <t>SpreadSmart would remember the expressions where ribbon tools have been applied.</t>
        </is>
      </c>
      <c r="D169" s="366" t="n"/>
      <c r="E169" s="366" t="inlineStr">
        <is>
          <t>MV1(Z1)_R*_200</t>
        </is>
      </c>
      <c r="F169" s="366" t="inlineStr">
        <is>
          <t>MV1(Z1)_R*_200</t>
        </is>
      </c>
      <c r="G169" s="366" t="n"/>
      <c r="H169" s="366" t="n"/>
      <c r="I169" s="366" t="n"/>
      <c r="J169" s="366" t="n"/>
      <c r="K169" s="72" t="inlineStr">
        <is>
          <t>Pending</t>
        </is>
      </c>
      <c r="L169" s="366" t="inlineStr">
        <is>
          <t>Done</t>
        </is>
      </c>
      <c r="M169" s="94" t="n"/>
    </row>
    <row r="170" ht="25.5" customHeight="1">
      <c r="B170" s="366" t="n"/>
      <c r="C170" s="366" t="n"/>
      <c r="D170" s="366" t="n"/>
      <c r="E170" s="366" t="inlineStr">
        <is>
          <t>MV1(Z1)_R*_MV2(Z2)_R+_100</t>
        </is>
      </c>
      <c r="F170" s="366" t="inlineStr">
        <is>
          <t>MV1(Z1)_R*_MV2(Z2)_R+_100</t>
        </is>
      </c>
      <c r="G170" s="366" t="n"/>
      <c r="H170" s="366" t="n"/>
      <c r="I170" s="366" t="n"/>
      <c r="J170" s="366" t="n"/>
      <c r="K170" s="72" t="inlineStr">
        <is>
          <t>Pending</t>
        </is>
      </c>
      <c r="L170" s="366" t="inlineStr">
        <is>
          <t>Done</t>
        </is>
      </c>
      <c r="M170" s="94" t="n"/>
    </row>
    <row r="171">
      <c r="B171" s="366" t="n"/>
      <c r="C171" s="366" t="n"/>
      <c r="D171" s="366" t="n"/>
      <c r="E171" s="366" t="inlineStr">
        <is>
          <t>MV1(Z1)_R/_200</t>
        </is>
      </c>
      <c r="F171" s="366" t="inlineStr">
        <is>
          <t>MV1(Z1)_R/_200</t>
        </is>
      </c>
      <c r="G171" s="366" t="n"/>
      <c r="H171" s="366" t="n"/>
      <c r="I171" s="366" t="n"/>
      <c r="J171" s="366" t="n"/>
      <c r="K171" s="72" t="inlineStr">
        <is>
          <t>Pending</t>
        </is>
      </c>
      <c r="L171" s="366" t="inlineStr">
        <is>
          <t>Done</t>
        </is>
      </c>
      <c r="M171" s="94" t="n"/>
    </row>
    <row r="172">
      <c r="B172" s="366" t="n"/>
      <c r="C172" s="366" t="n"/>
      <c r="D172" s="366" t="n"/>
      <c r="E172" s="366" t="inlineStr">
        <is>
          <t>MV1(Z1)_R-_200</t>
        </is>
      </c>
      <c r="F172" s="366" t="inlineStr">
        <is>
          <t>MV1(Z1)_R-_200</t>
        </is>
      </c>
      <c r="G172" s="366" t="n"/>
      <c r="H172" s="366" t="n"/>
      <c r="I172" s="366" t="n"/>
      <c r="J172" s="366" t="n"/>
      <c r="K172" s="72" t="inlineStr">
        <is>
          <t>Pending</t>
        </is>
      </c>
      <c r="L172" s="366" t="inlineStr">
        <is>
          <t>Done</t>
        </is>
      </c>
      <c r="M172" s="94" t="n"/>
    </row>
    <row r="173">
      <c r="B173" s="366" t="n"/>
      <c r="C173" s="366" t="n"/>
      <c r="D173" s="366" t="n"/>
      <c r="E173" s="366" t="inlineStr">
        <is>
          <t>CV1_R*_MV1(Z1)</t>
        </is>
      </c>
      <c r="F173" s="366" t="inlineStr">
        <is>
          <t>MV1(Z1)</t>
        </is>
      </c>
      <c r="G173" s="366" t="n"/>
      <c r="H173" s="366" t="n"/>
      <c r="I173" s="366" t="n"/>
      <c r="J173" s="366" t="n"/>
      <c r="K173" s="72" t="inlineStr">
        <is>
          <t>Pending</t>
        </is>
      </c>
      <c r="L173" s="366" t="inlineStr">
        <is>
          <t>Done</t>
        </is>
      </c>
      <c r="M173" s="94" t="n"/>
    </row>
    <row r="174" ht="38.25" customHeight="1">
      <c r="B174" s="366" t="n">
        <v>26</v>
      </c>
      <c r="C174" s="366" t="inlineStr">
        <is>
          <t>Only Unit scale operation would not be remembered in auto fill.</t>
        </is>
      </c>
      <c r="D174" s="366" t="inlineStr">
        <is>
          <t>1. Apply Unit scale &gt; Multiply 100.</t>
        </is>
      </c>
      <c r="E174" s="366" t="inlineStr">
        <is>
          <t>MV1(Z1)*100</t>
        </is>
      </c>
      <c r="F174" s="366" t="inlineStr">
        <is>
          <t>MV1</t>
        </is>
      </c>
      <c r="G174" s="366" t="n"/>
      <c r="H174" s="366" t="n"/>
      <c r="I174" s="366" t="n"/>
      <c r="J174" s="366" t="n"/>
      <c r="K174" s="72" t="inlineStr">
        <is>
          <t>Pending</t>
        </is>
      </c>
      <c r="L174" s="366" t="inlineStr">
        <is>
          <t>Done</t>
        </is>
      </c>
      <c r="M174" s="94" t="n"/>
    </row>
    <row r="175" ht="38.25" customHeight="1">
      <c r="B175" s="366" t="n"/>
      <c r="C175" s="366" t="n"/>
      <c r="D175" s="366" t="inlineStr">
        <is>
          <t xml:space="preserve">1. Apply Unit scale &gt; Divide 1000
</t>
        </is>
      </c>
      <c r="E175" s="366" t="inlineStr">
        <is>
          <t>MV1(Z1)/1000</t>
        </is>
      </c>
      <c r="F175" s="366" t="inlineStr">
        <is>
          <t>MV1</t>
        </is>
      </c>
      <c r="G175" s="366" t="n"/>
      <c r="H175" s="366" t="n"/>
      <c r="I175" s="366" t="n"/>
      <c r="J175" s="366" t="n"/>
      <c r="K175" s="72" t="inlineStr">
        <is>
          <t>Pending</t>
        </is>
      </c>
      <c r="L175" s="366" t="inlineStr">
        <is>
          <t>Done</t>
        </is>
      </c>
      <c r="M175" s="94" t="n"/>
    </row>
    <row r="176" ht="38.25" customHeight="1">
      <c r="B176" s="366" t="n"/>
      <c r="C176" s="366" t="n"/>
      <c r="D176" s="366" t="inlineStr">
        <is>
          <t xml:space="preserve">1. Apply Unit scale &gt; Multiply 10
</t>
        </is>
      </c>
      <c r="E176" s="366" t="inlineStr">
        <is>
          <t>((MV1(Z1)+(-MV2(Z2)))*10</t>
        </is>
      </c>
      <c r="F176" s="366" t="inlineStr">
        <is>
          <t>MV1-MV2</t>
        </is>
      </c>
      <c r="G176" s="366" t="n"/>
      <c r="H176" s="366" t="n"/>
      <c r="I176" s="366" t="n"/>
      <c r="J176" s="366" t="n"/>
      <c r="K176" s="72" t="inlineStr">
        <is>
          <t>Pending</t>
        </is>
      </c>
      <c r="L176" s="366" t="inlineStr">
        <is>
          <t>Done</t>
        </is>
      </c>
      <c r="M176" s="94" t="n"/>
    </row>
    <row r="177" ht="38.25" customHeight="1">
      <c r="B177" s="366" t="n"/>
      <c r="C177" s="366" t="n"/>
      <c r="D177" s="366" t="inlineStr">
        <is>
          <t xml:space="preserve">1. Apply Unit scale &gt; Divide 100
</t>
        </is>
      </c>
      <c r="E177" s="366" t="inlineStr">
        <is>
          <t>((MV1(Z1)+(-MV2(Z2)))/100</t>
        </is>
      </c>
      <c r="F177" s="366" t="inlineStr">
        <is>
          <t>MV1-MV2</t>
        </is>
      </c>
      <c r="G177" s="366" t="n"/>
      <c r="H177" s="366" t="n"/>
      <c r="I177" s="366" t="n"/>
      <c r="J177" s="366" t="n"/>
      <c r="K177" s="72" t="inlineStr">
        <is>
          <t>Pending</t>
        </is>
      </c>
      <c r="L177" s="366" t="inlineStr">
        <is>
          <t>Done</t>
        </is>
      </c>
      <c r="M177" s="94" t="n"/>
    </row>
    <row r="178" ht="76.5" customHeight="1">
      <c r="B178" s="366" t="n">
        <v>27</v>
      </c>
      <c r="C178" s="366" t="inlineStr">
        <is>
          <t>In case of a constant value in the cell, from an autofill prospective, SpreadSmart would only remember the expression if we have a mapped value in that cell and that mapped value is attached to the constant value and operator applied through ribbon tool.</t>
        </is>
      </c>
      <c r="D178" s="366" t="inlineStr">
        <is>
          <t>Autofill.</t>
        </is>
      </c>
      <c r="E178" s="366" t="inlineStr">
        <is>
          <t>MV1(Z1)_R*_CV1</t>
        </is>
      </c>
      <c r="F178" s="366" t="inlineStr">
        <is>
          <t>MV1*CV1</t>
        </is>
      </c>
      <c r="G178" s="366" t="n"/>
      <c r="H178" s="366" t="n"/>
      <c r="I178" s="366" t="n"/>
      <c r="J178" s="366" t="n"/>
      <c r="K178" s="72" t="inlineStr">
        <is>
          <t>Pending</t>
        </is>
      </c>
      <c r="L178" s="366" t="inlineStr">
        <is>
          <t>Done</t>
        </is>
      </c>
      <c r="M178" s="94" t="n"/>
    </row>
    <row r="179">
      <c r="B179" s="366" t="n"/>
      <c r="C179" s="366" t="n"/>
      <c r="D179" s="366" t="n"/>
      <c r="E179" s="366" t="inlineStr">
        <is>
          <t>MV1(Z1)_R-_CV1</t>
        </is>
      </c>
      <c r="F179" s="366" t="inlineStr">
        <is>
          <t>MV1-CV1</t>
        </is>
      </c>
      <c r="G179" s="366" t="n"/>
      <c r="H179" s="366" t="n"/>
      <c r="I179" s="366" t="n"/>
      <c r="J179" s="366" t="n"/>
      <c r="K179" s="72" t="inlineStr">
        <is>
          <t>Pending</t>
        </is>
      </c>
      <c r="L179" s="366" t="inlineStr">
        <is>
          <t>Done</t>
        </is>
      </c>
      <c r="M179" s="94" t="n"/>
    </row>
    <row r="180" ht="25.5" customHeight="1">
      <c r="B180" s="366" t="n"/>
      <c r="C180" s="366" t="n"/>
      <c r="D180" s="366" t="n"/>
      <c r="E180" s="366" t="inlineStr">
        <is>
          <t>MV1(Z1)+MV2(Z2)_R-_CV1</t>
        </is>
      </c>
      <c r="F180" s="366" t="inlineStr">
        <is>
          <t>MV1+MV2-CV1</t>
        </is>
      </c>
      <c r="G180" s="366" t="n"/>
      <c r="H180" s="366" t="n"/>
      <c r="I180" s="366" t="n"/>
      <c r="J180" s="366" t="n"/>
      <c r="K180" s="72" t="inlineStr">
        <is>
          <t>Pending</t>
        </is>
      </c>
      <c r="L180" s="366" t="inlineStr">
        <is>
          <t>Done</t>
        </is>
      </c>
      <c r="M180" s="94" t="n"/>
    </row>
    <row r="181" ht="25.5" customHeight="1">
      <c r="B181" s="366" t="n"/>
      <c r="C181" s="366" t="n"/>
      <c r="D181" s="366" t="n"/>
      <c r="E181" s="366" t="inlineStr">
        <is>
          <t>MV1(Z1)_R*_CV1_R/_CV2</t>
        </is>
      </c>
      <c r="F181" s="366" t="inlineStr">
        <is>
          <t>MV1*CV1/CV2</t>
        </is>
      </c>
      <c r="G181" s="366" t="n"/>
      <c r="H181" s="366" t="n"/>
      <c r="I181" s="366" t="n"/>
      <c r="J181" s="366" t="n"/>
      <c r="K181" s="72" t="inlineStr">
        <is>
          <t>Pending</t>
        </is>
      </c>
      <c r="L181" s="366" t="inlineStr">
        <is>
          <t>Done</t>
        </is>
      </c>
      <c r="M181" s="94" t="n"/>
    </row>
    <row r="182" ht="76.5" customHeight="1">
      <c r="B182" s="366" t="n"/>
      <c r="C182" s="366" t="n"/>
      <c r="D182" s="366" t="n"/>
      <c r="E182" s="366" t="inlineStr">
        <is>
          <t>MV1(Z1)_K+_CV1_R+_CV2</t>
        </is>
      </c>
      <c r="F182" s="366" t="inlineStr">
        <is>
          <t>MV1</t>
        </is>
      </c>
      <c r="G182" s="366" t="n"/>
      <c r="H182" s="366" t="n"/>
      <c r="I182" s="366" t="n"/>
      <c r="J182" s="366" t="inlineStr">
        <is>
          <t>CV1 will not come as operator applied is manual and CV2 will not come as it is not attached to mapped value directly</t>
        </is>
      </c>
      <c r="K182" s="72" t="inlineStr">
        <is>
          <t>Pending</t>
        </is>
      </c>
      <c r="L182" s="366" t="inlineStr">
        <is>
          <t>Done</t>
        </is>
      </c>
      <c r="M182" s="94" t="n"/>
    </row>
    <row r="183">
      <c r="B183" s="366" t="n"/>
      <c r="C183" s="366" t="n"/>
      <c r="D183" s="366" t="n"/>
      <c r="E183" s="366" t="inlineStr">
        <is>
          <t>CV1_R*_MV1(Z1)</t>
        </is>
      </c>
      <c r="F183" s="366" t="inlineStr">
        <is>
          <t>MV1</t>
        </is>
      </c>
      <c r="G183" s="366" t="n"/>
      <c r="H183" s="366" t="n"/>
      <c r="I183" s="366" t="n"/>
      <c r="J183" s="366" t="n"/>
      <c r="K183" s="72" t="inlineStr">
        <is>
          <t>Pending</t>
        </is>
      </c>
      <c r="L183" s="366" t="inlineStr">
        <is>
          <t>Done</t>
        </is>
      </c>
      <c r="M183" s="94" t="n"/>
    </row>
    <row r="184">
      <c r="B184" s="366" t="n"/>
      <c r="C184" s="366" t="n"/>
      <c r="D184" s="366" t="n"/>
      <c r="E184" s="366" t="inlineStr">
        <is>
          <t>CV1_K*_MV1(Z1)</t>
        </is>
      </c>
      <c r="F184" s="366" t="inlineStr">
        <is>
          <t>MV1</t>
        </is>
      </c>
      <c r="G184" s="366" t="n"/>
      <c r="H184" s="366" t="n"/>
      <c r="I184" s="366" t="n"/>
      <c r="J184" s="366" t="n"/>
      <c r="K184" s="72" t="inlineStr">
        <is>
          <t>Pending</t>
        </is>
      </c>
      <c r="L184" s="366" t="inlineStr">
        <is>
          <t>Done</t>
        </is>
      </c>
      <c r="M184" s="94" t="n"/>
    </row>
    <row r="185" ht="140.25" customHeight="1">
      <c r="B185" s="366" t="n">
        <v>28</v>
      </c>
      <c r="C185" s="366" t="inlineStr">
        <is>
          <t>In case the operator (except +) has been applied manually between two mapped values, SpreadSmart would display a warning/validation upon submitting a spread. If the user bypass the validation and submit the spread then in the subsequent spread the particular cell should be highlighted upon auto fill.
However, the mapped value would be remembered.</t>
        </is>
      </c>
      <c r="D185" s="366" t="inlineStr">
        <is>
          <t>1. Submit base spread.</t>
        </is>
      </c>
      <c r="E185" s="366" t="inlineStr">
        <is>
          <t>MV1(Z1)_K-_MV2(Z1)</t>
        </is>
      </c>
      <c r="F185" s="366" t="inlineStr">
        <is>
          <t>On bypassing validation and doing autofill
MV1+MV2
Should highlight upon autofill</t>
        </is>
      </c>
      <c r="G185" s="366" t="n"/>
      <c r="H185" s="366" t="n"/>
      <c r="I185" s="366" t="n"/>
      <c r="J185" s="366" t="inlineStr">
        <is>
          <t>A warning/validation will be displayed upon submitting the base spread.</t>
        </is>
      </c>
      <c r="K185" s="72" t="inlineStr">
        <is>
          <t>Pending</t>
        </is>
      </c>
      <c r="L185" s="366" t="inlineStr">
        <is>
          <t>Done</t>
        </is>
      </c>
      <c r="M185" s="94" t="n"/>
    </row>
    <row r="186" ht="102" customHeight="1">
      <c r="B186" s="366" t="n"/>
      <c r="C186" s="366" t="n"/>
      <c r="D186" s="366" t="inlineStr">
        <is>
          <t>1.Submit base spread</t>
        </is>
      </c>
      <c r="E186" s="366" t="inlineStr">
        <is>
          <t>MV1(Z1)_K*_MV2(Z1)</t>
        </is>
      </c>
      <c r="F186" s="366" t="inlineStr">
        <is>
          <t>On bypassing validation and doing autofill
MV1+MV2
Should highlight upon autofill</t>
        </is>
      </c>
      <c r="G186" s="366" t="n"/>
      <c r="H186" s="366" t="n"/>
      <c r="I186" s="366" t="n"/>
      <c r="J186" s="366" t="inlineStr">
        <is>
          <t>A warning/validation will be displayed upon submitting the base spread</t>
        </is>
      </c>
      <c r="K186" s="72" t="inlineStr">
        <is>
          <t>Pending</t>
        </is>
      </c>
      <c r="L186" s="366" t="inlineStr">
        <is>
          <t>Done</t>
        </is>
      </c>
      <c r="M186" s="94" t="n"/>
    </row>
    <row r="187" ht="102" customHeight="1">
      <c r="B187" s="366" t="n"/>
      <c r="C187" s="366" t="n"/>
      <c r="D187" s="366" t="inlineStr">
        <is>
          <t>1.Submit base spread</t>
        </is>
      </c>
      <c r="E187" s="366" t="inlineStr">
        <is>
          <t>MV1(Z1)_K/_MV2(Z1)</t>
        </is>
      </c>
      <c r="F187" s="366" t="inlineStr">
        <is>
          <t>On bypassing validation and doing autofill
MV1+MV2
Should highlight upon autofill</t>
        </is>
      </c>
      <c r="G187" s="366" t="n"/>
      <c r="H187" s="366" t="n"/>
      <c r="I187" s="366" t="n"/>
      <c r="J187" s="366" t="inlineStr">
        <is>
          <t>A warning/validation will be displayed upon submitting the base spread</t>
        </is>
      </c>
      <c r="K187" s="72" t="inlineStr">
        <is>
          <t>Pending</t>
        </is>
      </c>
      <c r="L187" s="366" t="inlineStr">
        <is>
          <t>Done</t>
        </is>
      </c>
      <c r="M187" s="94" t="n"/>
    </row>
    <row r="188" ht="102" customHeight="1">
      <c r="B188" s="366" t="n"/>
      <c r="C188" s="366" t="n"/>
      <c r="D188" s="366" t="inlineStr">
        <is>
          <t>1.Submit base spread</t>
        </is>
      </c>
      <c r="E188" s="366" t="inlineStr">
        <is>
          <t>MV1(Z1)_K+_MV2(Z1)</t>
        </is>
      </c>
      <c r="F188" s="366" t="inlineStr">
        <is>
          <t>On doing autofill
MV1+MV2
Should not highlight upon autofill</t>
        </is>
      </c>
      <c r="G188" s="366" t="n"/>
      <c r="H188" s="366" t="n"/>
      <c r="I188" s="366" t="n"/>
      <c r="J188" s="366" t="inlineStr">
        <is>
          <t>No validation msg appear</t>
        </is>
      </c>
      <c r="K188" s="72" t="inlineStr">
        <is>
          <t>Pending</t>
        </is>
      </c>
      <c r="L188" s="366" t="inlineStr">
        <is>
          <t>Done</t>
        </is>
      </c>
      <c r="M188" s="94" t="n"/>
    </row>
    <row r="189" ht="63.75" customHeight="1">
      <c r="B189" s="366" t="n">
        <v>29</v>
      </c>
      <c r="C189" s="366" t="inlineStr">
        <is>
          <t>Upon Autofill, system should compare the zones of the current &amp; previous document. There should be a provision to view the missing zones names in the Error Log. This should include navigation in the previous document.</t>
        </is>
      </c>
      <c r="D189" s="366" t="n"/>
      <c r="E189" s="366" t="n"/>
      <c r="F189" s="366" t="n"/>
      <c r="G189" s="366" t="n"/>
      <c r="H189" s="366" t="n"/>
      <c r="I189" s="366" t="n"/>
      <c r="J189" s="366" t="n"/>
      <c r="K189" s="72" t="inlineStr">
        <is>
          <t>Pending</t>
        </is>
      </c>
      <c r="L189" s="366" t="inlineStr">
        <is>
          <t>Done</t>
        </is>
      </c>
      <c r="M189" s="94" t="n"/>
    </row>
    <row r="190" ht="38.25" customHeight="1">
      <c r="B190" s="366" t="n">
        <v>30</v>
      </c>
      <c r="C190" s="366" t="inlineStr">
        <is>
          <t>SpreadSmart should remember the changes made to the visual cue to the line item in auto fill.</t>
        </is>
      </c>
      <c r="D190" s="366" t="inlineStr">
        <is>
          <t>1. Make changes in visual cue for MV1 in base spread.</t>
        </is>
      </c>
      <c r="E190" s="366" t="inlineStr">
        <is>
          <t>MV1(Z1)</t>
        </is>
      </c>
      <c r="F190" s="366" t="inlineStr">
        <is>
          <t xml:space="preserve">MV1
</t>
        </is>
      </c>
      <c r="G190" s="366" t="n"/>
      <c r="H190" s="366" t="n"/>
      <c r="I190" s="366" t="n"/>
      <c r="J190" s="366" t="inlineStr">
        <is>
          <t>Should not remember changes made in visual cue in value column.</t>
        </is>
      </c>
      <c r="K190" s="72" t="inlineStr">
        <is>
          <t>Pending</t>
        </is>
      </c>
      <c r="L190" s="366" t="inlineStr">
        <is>
          <t>Done</t>
        </is>
      </c>
      <c r="M190" s="94" t="n"/>
    </row>
    <row r="191" ht="89.25" customHeight="1">
      <c r="B191" s="366" t="n"/>
      <c r="C191" s="366" t="n"/>
      <c r="D191" s="366" t="inlineStr">
        <is>
          <t xml:space="preserve">1. Make changes in visual cue for label name of MV1 
eg - Cash is shown as ash </t>
        </is>
      </c>
      <c r="E191" s="366" t="inlineStr">
        <is>
          <t>Cash</t>
        </is>
      </c>
      <c r="F191" s="366" t="inlineStr">
        <is>
          <t xml:space="preserve">If in subsequent spread it is again read as 'ash' then it will be remembered as Cash from base </t>
        </is>
      </c>
      <c r="G191" s="366" t="n"/>
      <c r="H191" s="366" t="n"/>
      <c r="I191" s="366" t="n"/>
      <c r="J191" s="366" t="inlineStr">
        <is>
          <t>Should remember and not teated as new line item but visual cue will show incorrect label only</t>
        </is>
      </c>
      <c r="K191" s="72" t="inlineStr">
        <is>
          <t>Pending</t>
        </is>
      </c>
      <c r="L191" s="366" t="inlineStr">
        <is>
          <t>Done</t>
        </is>
      </c>
      <c r="M191" s="94" t="n"/>
    </row>
    <row r="192" ht="51" customHeight="1">
      <c r="B192" s="366" t="n">
        <v>31</v>
      </c>
      <c r="C192" s="366" t="inlineStr">
        <is>
          <t>Text/String mapped from the value column of the detected table should be auto filled.</t>
        </is>
      </c>
      <c r="D192" s="366" t="inlineStr">
        <is>
          <t>1. Map string from Value column of detected table to String Datatype model cell.
2. Autofill.</t>
        </is>
      </c>
      <c r="E192" s="366" t="inlineStr">
        <is>
          <t>Balance</t>
        </is>
      </c>
      <c r="F192" s="366" t="inlineStr">
        <is>
          <t>Balance (whatever string found in doc)</t>
        </is>
      </c>
      <c r="G192" s="366" t="n"/>
      <c r="H192" s="366" t="n"/>
      <c r="I192" s="366" t="n"/>
      <c r="J192" s="366" t="inlineStr">
        <is>
          <t>Should be autofilled.</t>
        </is>
      </c>
      <c r="K192" s="72" t="inlineStr">
        <is>
          <t>Pending</t>
        </is>
      </c>
      <c r="L192" s="366" t="inlineStr">
        <is>
          <t>Done</t>
        </is>
      </c>
      <c r="M192" s="94" t="n"/>
    </row>
    <row r="193" ht="76.5" customHeight="1">
      <c r="B193" s="366" t="n">
        <v>32</v>
      </c>
      <c r="C193" s="366" t="inlineStr">
        <is>
          <t>In Base Spreading, only one value column has been specified (say VC1) but in the subsequent spreading two value columns (say VC1 and VC2) have been specified, then values of the value column 1 should be auto filled only.</t>
        </is>
      </c>
      <c r="D193" s="366" t="inlineStr">
        <is>
          <t>Value column.
Base sprd Crnt sprd.
VC1 VC1.
VC2.</t>
        </is>
      </c>
      <c r="E193" s="366" t="inlineStr">
        <is>
          <t>1.Map values from 1 value column (VC1)
MV1(Z1)+MV2(Z1)</t>
        </is>
      </c>
      <c r="F193" s="366" t="inlineStr">
        <is>
          <t>1. Specify 2 value columns (VC1) and (VC2)
MV1(Z1)+MV2(Z1)</t>
        </is>
      </c>
      <c r="G193" s="366" t="n"/>
      <c r="H193" s="366" t="n"/>
      <c r="I193" s="366" t="n"/>
      <c r="J193" s="366" t="inlineStr">
        <is>
          <t>Values will be autofilled from VC1.</t>
        </is>
      </c>
      <c r="K193" s="72" t="inlineStr">
        <is>
          <t>Pending</t>
        </is>
      </c>
      <c r="L193" s="366" t="inlineStr">
        <is>
          <t>Done</t>
        </is>
      </c>
      <c r="M193" s="94" t="n"/>
    </row>
    <row r="194" ht="114.75" customHeight="1">
      <c r="B194" s="366" t="n">
        <v>33</v>
      </c>
      <c r="C194" s="366" t="inlineStr">
        <is>
          <t>In Base Spreading, two value columns have been specified (say VC1 and VC2) but in the subsequent spreading only one value column (say VC1) has been specified, then only VC1 values would be auto filled in the subsequent spread while VC2 values would be replaced with NA. (same rule applies , NA if we have ‘*’ and ‘/’ operators and expression calculation if we have ‘+’ and ‘-‘ operators).</t>
        </is>
      </c>
      <c r="D194" s="366" t="inlineStr">
        <is>
          <t>Value column.
Base sprd Crnt sprd.
VC1 VC1.
VC2.</t>
        </is>
      </c>
      <c r="E194" s="366" t="inlineStr">
        <is>
          <t>MV1(Z1)(VC1)+MV2(Z1)(VC2)</t>
        </is>
      </c>
      <c r="F194" s="366" t="inlineStr">
        <is>
          <t>MV1</t>
        </is>
      </c>
      <c r="G194" s="366" t="n"/>
      <c r="H194" s="366" t="n"/>
      <c r="I194" s="366" t="n"/>
      <c r="J194" s="366" t="n"/>
      <c r="K194" s="72" t="inlineStr">
        <is>
          <t>Pending</t>
        </is>
      </c>
      <c r="L194" s="366" t="inlineStr">
        <is>
          <t>Done</t>
        </is>
      </c>
      <c r="M194" s="94" t="n"/>
    </row>
    <row r="195" ht="63.75" customHeight="1">
      <c r="B195" s="366" t="n"/>
      <c r="C195" s="366" t="n"/>
      <c r="D195" s="366" t="inlineStr">
        <is>
          <t xml:space="preserve">   Value column
Base sprd  Crnt sprd
VC1               VC1
VC2
                        </t>
        </is>
      </c>
      <c r="E195" s="366" t="inlineStr">
        <is>
          <t>MV1(Z1)(VC1)_R*_MV2(Z1)(VC2)</t>
        </is>
      </c>
      <c r="F195" s="366" t="inlineStr">
        <is>
          <t>MV1*NA</t>
        </is>
      </c>
      <c r="G195" s="366" t="n"/>
      <c r="H195" s="366" t="n"/>
      <c r="I195" s="366" t="n"/>
      <c r="J195" s="366" t="n"/>
      <c r="K195" s="72" t="inlineStr">
        <is>
          <t>Pending</t>
        </is>
      </c>
      <c r="L195" s="366" t="inlineStr">
        <is>
          <t>Done</t>
        </is>
      </c>
      <c r="M195" s="94" t="n"/>
    </row>
    <row r="196" ht="63.75" customHeight="1">
      <c r="B196" s="366" t="n"/>
      <c r="C196" s="366" t="n"/>
      <c r="D196" s="366" t="inlineStr">
        <is>
          <t xml:space="preserve">   Value column
Base sprd  Crnt sprd
VC1               VC1
VC2
                        </t>
        </is>
      </c>
      <c r="E196" s="366" t="inlineStr">
        <is>
          <t>MV1(Z1)(VC2)_R*_MV2(Z1)(VC1)</t>
        </is>
      </c>
      <c r="F196" s="366" t="inlineStr">
        <is>
          <t>NA*MV2</t>
        </is>
      </c>
      <c r="G196" s="366" t="n"/>
      <c r="H196" s="366" t="n"/>
      <c r="I196" s="366" t="n"/>
      <c r="J196" s="366" t="n"/>
      <c r="K196" s="72" t="inlineStr">
        <is>
          <t>Pending</t>
        </is>
      </c>
      <c r="L196" s="366" t="inlineStr">
        <is>
          <t>Done</t>
        </is>
      </c>
      <c r="M196" s="94" t="n"/>
    </row>
    <row r="197" ht="114.75" customHeight="1">
      <c r="B197" s="366" t="n">
        <v>34</v>
      </c>
      <c r="C197" s="366" t="inlineStr">
        <is>
          <t>In case of ZC1/ZC2, ZC1 has been mapped from value column 1 (VC1) and ZC2 has been mapped from value column 2 (VC2). In the subsequent spread, the user has specified VC2 and a new data column VC3. Then values of the value column 2 specified by the user should fill the place of the values of VC1 in the expression and the value of the value column 3 should fill the place of value column 2.</t>
        </is>
      </c>
      <c r="D197" s="366" t="inlineStr">
        <is>
          <t>Value column.
Base sprd Crnt sprd.
VC1 VC2.
VC2 VC3.</t>
        </is>
      </c>
      <c r="E197" s="366" t="inlineStr">
        <is>
          <t>MV1(Z1)(VC1)_R/_MV2(Z1)(VC2)</t>
        </is>
      </c>
      <c r="F197" s="366" t="inlineStr">
        <is>
          <t>MV1(Z1)(VC2)/MV2(Z1)(VC3)</t>
        </is>
      </c>
      <c r="G197" s="366" t="n"/>
      <c r="H197" s="366" t="n"/>
      <c r="I197" s="366" t="n"/>
      <c r="J197" s="366" t="n"/>
      <c r="K197" s="72" t="inlineStr">
        <is>
          <t>Pending</t>
        </is>
      </c>
      <c r="L197" s="366" t="inlineStr">
        <is>
          <t>Done</t>
        </is>
      </c>
      <c r="M197" s="94" t="n"/>
    </row>
    <row r="198">
      <c r="C198" s="38" t="n"/>
      <c r="D198" s="38" t="n"/>
      <c r="E198" s="38" t="n"/>
      <c r="F198" s="38" t="n"/>
      <c r="G198" s="38" t="n"/>
      <c r="H198" s="38" t="n"/>
      <c r="I198" s="38" t="n"/>
      <c r="J198" s="38" t="n"/>
      <c r="K198" s="38" t="n"/>
      <c r="L198" s="38" t="n"/>
      <c r="M198" s="38" t="n"/>
    </row>
    <row r="199">
      <c r="C199" s="38" t="n"/>
      <c r="D199" s="38" t="n"/>
      <c r="E199" s="38" t="n"/>
      <c r="F199" s="38" t="n"/>
      <c r="G199" s="38" t="n"/>
      <c r="H199" s="38" t="n"/>
      <c r="I199" s="38" t="n"/>
      <c r="J199" s="38" t="n"/>
      <c r="K199" s="38" t="n"/>
      <c r="L199" s="38" t="n"/>
      <c r="M199" s="38" t="n"/>
    </row>
    <row r="200">
      <c r="C200" s="38" t="n"/>
      <c r="D200" s="38" t="n"/>
      <c r="E200" s="38" t="n"/>
      <c r="F200" s="38" t="n"/>
      <c r="G200" s="38" t="n"/>
      <c r="H200" s="38" t="n"/>
      <c r="I200" s="38" t="n"/>
      <c r="J200" s="38" t="n"/>
      <c r="K200" s="38" t="n"/>
      <c r="L200" s="38" t="n"/>
      <c r="M200" s="38" t="n"/>
    </row>
    <row r="201">
      <c r="C201" s="38" t="n"/>
      <c r="D201" s="38" t="n"/>
      <c r="E201" s="38" t="n"/>
      <c r="F201" s="38" t="n"/>
      <c r="G201" s="38" t="n"/>
      <c r="H201" s="38" t="n"/>
      <c r="I201" s="38" t="n"/>
      <c r="J201" s="38" t="n"/>
      <c r="K201" s="38" t="n"/>
      <c r="L201" s="38" t="n"/>
      <c r="M201" s="38" t="n"/>
    </row>
    <row r="202">
      <c r="C202" s="38" t="n"/>
      <c r="D202" s="38" t="n"/>
      <c r="E202" s="38" t="n"/>
      <c r="F202" s="38" t="n"/>
      <c r="G202" s="38" t="n"/>
      <c r="H202" s="38" t="n"/>
      <c r="I202" s="38" t="n"/>
      <c r="J202" s="38" t="n"/>
      <c r="K202" s="38" t="n"/>
      <c r="L202" s="38" t="n"/>
      <c r="M202" s="38" t="n"/>
    </row>
    <row r="203">
      <c r="C203" s="38" t="n"/>
      <c r="D203" s="38" t="n"/>
      <c r="E203" s="38" t="n"/>
      <c r="F203" s="38" t="n"/>
      <c r="G203" s="38" t="n"/>
      <c r="H203" s="38" t="n"/>
      <c r="I203" s="38" t="n"/>
      <c r="J203" s="38" t="n"/>
      <c r="K203" s="38" t="n"/>
      <c r="L203" s="38" t="n"/>
      <c r="M203" s="38" t="n"/>
    </row>
    <row r="204">
      <c r="C204" s="38" t="n"/>
      <c r="D204" s="38" t="n"/>
      <c r="E204" s="38" t="n"/>
      <c r="F204" s="38" t="n"/>
      <c r="G204" s="38" t="n"/>
      <c r="H204" s="38" t="n"/>
      <c r="I204" s="38" t="n"/>
      <c r="J204" s="38" t="n"/>
      <c r="K204" s="38" t="n"/>
      <c r="L204" s="38" t="n"/>
      <c r="M204" s="38" t="n"/>
    </row>
    <row r="205">
      <c r="C205" s="38" t="n"/>
      <c r="D205" s="38" t="n"/>
      <c r="E205" s="38" t="n"/>
      <c r="F205" s="38" t="n"/>
      <c r="G205" s="38" t="n"/>
      <c r="H205" s="38" t="n"/>
      <c r="I205" s="38" t="n"/>
      <c r="J205" s="38" t="n"/>
      <c r="K205" s="38" t="n"/>
      <c r="L205" s="38" t="n"/>
      <c r="M205" s="38" t="n"/>
    </row>
    <row r="206">
      <c r="C206" s="38" t="n"/>
      <c r="D206" s="38" t="n"/>
      <c r="E206" s="38" t="n"/>
      <c r="F206" s="38" t="n"/>
      <c r="G206" s="38" t="n"/>
      <c r="H206" s="38" t="n"/>
      <c r="I206" s="38" t="n"/>
      <c r="J206" s="38" t="n"/>
      <c r="K206" s="38" t="n"/>
      <c r="L206" s="38" t="n"/>
      <c r="M206" s="38" t="n"/>
    </row>
    <row r="207">
      <c r="C207" s="38" t="n"/>
      <c r="D207" s="38" t="n"/>
      <c r="E207" s="38" t="n"/>
      <c r="F207" s="38" t="n"/>
      <c r="G207" s="38" t="n"/>
      <c r="H207" s="38" t="n"/>
      <c r="I207" s="38" t="n"/>
      <c r="J207" s="38" t="n"/>
      <c r="K207" s="38" t="n"/>
      <c r="L207" s="38" t="n"/>
      <c r="M207" s="38" t="n"/>
    </row>
    <row r="208">
      <c r="C208" s="38" t="n"/>
      <c r="D208" s="38" t="n"/>
      <c r="E208" s="38" t="n"/>
      <c r="F208" s="38" t="n"/>
      <c r="G208" s="38" t="n"/>
      <c r="H208" s="38" t="n"/>
      <c r="I208" s="38" t="n"/>
      <c r="J208" s="38" t="n"/>
      <c r="K208" s="38" t="n"/>
      <c r="L208" s="38" t="n"/>
      <c r="M208" s="38" t="n"/>
    </row>
    <row r="209">
      <c r="C209" s="38" t="n"/>
      <c r="D209" s="38" t="n"/>
      <c r="E209" s="38" t="n"/>
      <c r="F209" s="38" t="n"/>
      <c r="G209" s="38" t="n"/>
      <c r="H209" s="38" t="n"/>
      <c r="I209" s="38" t="n"/>
      <c r="J209" s="38" t="n"/>
      <c r="K209" s="38" t="n"/>
      <c r="L209" s="38" t="n"/>
      <c r="M209" s="38" t="n"/>
    </row>
    <row r="210">
      <c r="C210" s="38" t="n"/>
      <c r="D210" s="38" t="n"/>
      <c r="E210" s="38" t="n"/>
      <c r="F210" s="38" t="n"/>
      <c r="G210" s="38" t="n"/>
      <c r="H210" s="38" t="n"/>
      <c r="I210" s="38" t="n"/>
      <c r="J210" s="38" t="n"/>
      <c r="K210" s="38" t="n"/>
      <c r="L210" s="38" t="n"/>
      <c r="M210" s="38" t="n"/>
    </row>
    <row r="211">
      <c r="C211" s="38" t="n"/>
      <c r="D211" s="38" t="n"/>
      <c r="E211" s="38" t="n"/>
      <c r="F211" s="38" t="n"/>
      <c r="G211" s="38" t="n"/>
      <c r="H211" s="38" t="n"/>
      <c r="I211" s="38" t="n"/>
      <c r="J211" s="38" t="n"/>
      <c r="K211" s="38" t="n"/>
      <c r="L211" s="38" t="n"/>
      <c r="M211" s="38" t="n"/>
    </row>
    <row r="212">
      <c r="C212" s="38" t="n"/>
      <c r="D212" s="38" t="n"/>
      <c r="E212" s="38" t="n"/>
      <c r="F212" s="38" t="n"/>
      <c r="G212" s="38" t="n"/>
      <c r="H212" s="38" t="n"/>
      <c r="I212" s="38" t="n"/>
      <c r="J212" s="38" t="n"/>
      <c r="K212" s="38" t="n"/>
      <c r="L212" s="38" t="n"/>
      <c r="M212" s="38" t="n"/>
    </row>
    <row r="213">
      <c r="C213" s="38" t="n"/>
      <c r="D213" s="38" t="n"/>
      <c r="E213" s="38" t="n"/>
      <c r="F213" s="38" t="n"/>
      <c r="G213" s="38" t="n"/>
      <c r="H213" s="38" t="n"/>
      <c r="I213" s="38" t="n"/>
      <c r="J213" s="38" t="n"/>
      <c r="K213" s="38" t="n"/>
      <c r="L213" s="38" t="n"/>
      <c r="M213" s="38" t="n"/>
    </row>
    <row r="214">
      <c r="C214" s="38" t="n"/>
      <c r="D214" s="38" t="n"/>
      <c r="E214" s="38" t="n"/>
      <c r="F214" s="38" t="n"/>
      <c r="G214" s="38" t="n"/>
      <c r="H214" s="38" t="n"/>
      <c r="I214" s="38" t="n"/>
      <c r="J214" s="38" t="n"/>
      <c r="K214" s="38" t="n"/>
      <c r="L214" s="38" t="n"/>
      <c r="M214" s="38" t="n"/>
    </row>
    <row r="215">
      <c r="C215" s="38" t="n"/>
      <c r="D215" s="38" t="n"/>
      <c r="E215" s="38" t="n"/>
      <c r="F215" s="38" t="n"/>
      <c r="G215" s="38" t="n"/>
      <c r="H215" s="38" t="n"/>
      <c r="I215" s="38" t="n"/>
      <c r="J215" s="38" t="n"/>
      <c r="K215" s="38" t="n"/>
      <c r="L215" s="38" t="n"/>
      <c r="M215" s="38" t="n"/>
    </row>
    <row r="216">
      <c r="C216" s="38" t="n"/>
      <c r="D216" s="38" t="n"/>
      <c r="E216" s="38" t="n"/>
      <c r="F216" s="38" t="n"/>
      <c r="G216" s="38" t="n"/>
      <c r="H216" s="38" t="n"/>
      <c r="I216" s="38" t="n"/>
      <c r="J216" s="38" t="n"/>
      <c r="K216" s="38" t="n"/>
      <c r="L216" s="38" t="n"/>
      <c r="M216" s="38" t="n"/>
    </row>
    <row r="217">
      <c r="C217" s="38" t="n"/>
      <c r="D217" s="38" t="n"/>
      <c r="E217" s="38" t="n"/>
      <c r="F217" s="38" t="n"/>
      <c r="G217" s="38" t="n"/>
      <c r="H217" s="38" t="n"/>
      <c r="I217" s="38" t="n"/>
      <c r="J217" s="38" t="n"/>
      <c r="K217" s="38" t="n"/>
      <c r="L217" s="38" t="n"/>
      <c r="M217" s="38" t="n"/>
    </row>
    <row r="218">
      <c r="C218" s="38" t="n"/>
      <c r="D218" s="38" t="n"/>
      <c r="E218" s="38" t="n"/>
      <c r="F218" s="38" t="n"/>
      <c r="G218" s="38" t="n"/>
      <c r="H218" s="38" t="n"/>
      <c r="I218" s="38" t="n"/>
      <c r="J218" s="38" t="n"/>
      <c r="K218" s="38" t="n"/>
      <c r="L218" s="38" t="n"/>
      <c r="M218" s="38" t="n"/>
    </row>
    <row r="219">
      <c r="C219" s="38" t="n"/>
      <c r="D219" s="38" t="n"/>
      <c r="E219" s="38" t="n"/>
      <c r="F219" s="38" t="n"/>
      <c r="G219" s="38" t="n"/>
      <c r="H219" s="38" t="n"/>
      <c r="I219" s="38" t="n"/>
      <c r="J219" s="38" t="n"/>
      <c r="K219" s="38" t="n"/>
      <c r="L219" s="38" t="n"/>
      <c r="M219" s="38" t="n"/>
    </row>
    <row r="220">
      <c r="C220" s="38" t="n"/>
      <c r="D220" s="38" t="n"/>
      <c r="E220" s="38" t="n"/>
      <c r="F220" s="38" t="n"/>
      <c r="G220" s="38" t="n"/>
      <c r="H220" s="38" t="n"/>
      <c r="I220" s="38" t="n"/>
      <c r="J220" s="38" t="n"/>
      <c r="K220" s="38" t="n"/>
      <c r="L220" s="38" t="n"/>
      <c r="M220" s="38" t="n"/>
    </row>
    <row r="221">
      <c r="C221" s="38" t="n"/>
      <c r="D221" s="38" t="n"/>
      <c r="E221" s="38" t="n"/>
      <c r="F221" s="38" t="n"/>
      <c r="G221" s="38" t="n"/>
      <c r="H221" s="38" t="n"/>
      <c r="I221" s="38" t="n"/>
      <c r="J221" s="38" t="n"/>
      <c r="K221" s="38" t="n"/>
      <c r="L221" s="38" t="n"/>
      <c r="M221" s="38" t="n"/>
    </row>
    <row r="222">
      <c r="C222" s="38" t="n"/>
      <c r="D222" s="38" t="n"/>
      <c r="E222" s="38" t="n"/>
      <c r="F222" s="38" t="n"/>
      <c r="G222" s="38" t="n"/>
      <c r="H222" s="38" t="n"/>
      <c r="I222" s="38" t="n"/>
      <c r="J222" s="38" t="n"/>
      <c r="K222" s="38" t="n"/>
      <c r="L222" s="38" t="n"/>
      <c r="M222" s="38" t="n"/>
    </row>
    <row r="223">
      <c r="C223" s="38" t="n"/>
      <c r="D223" s="38" t="n"/>
      <c r="E223" s="38" t="n"/>
      <c r="F223" s="38" t="n"/>
      <c r="G223" s="38" t="n"/>
      <c r="H223" s="38" t="n"/>
      <c r="I223" s="38" t="n"/>
      <c r="J223" s="38" t="n"/>
      <c r="K223" s="38" t="n"/>
      <c r="L223" s="38" t="n"/>
      <c r="M223" s="38" t="n"/>
    </row>
    <row r="224">
      <c r="C224" s="38" t="n"/>
      <c r="D224" s="38" t="n"/>
      <c r="E224" s="38" t="n"/>
      <c r="F224" s="38" t="n"/>
      <c r="G224" s="38" t="n"/>
      <c r="H224" s="38" t="n"/>
      <c r="I224" s="38" t="n"/>
      <c r="J224" s="38" t="n"/>
      <c r="K224" s="38" t="n"/>
      <c r="L224" s="38" t="n"/>
      <c r="M224" s="38" t="n"/>
    </row>
    <row r="225">
      <c r="C225" s="38" t="n"/>
      <c r="D225" s="38" t="n"/>
      <c r="E225" s="38" t="n"/>
      <c r="F225" s="38" t="n"/>
      <c r="G225" s="38" t="n"/>
      <c r="H225" s="38" t="n"/>
      <c r="I225" s="38" t="n"/>
      <c r="J225" s="38" t="n"/>
      <c r="K225" s="38" t="n"/>
      <c r="L225" s="38" t="n"/>
      <c r="M225" s="38" t="n"/>
    </row>
    <row r="226">
      <c r="C226" s="38" t="n"/>
      <c r="D226" s="38" t="n"/>
      <c r="E226" s="38" t="n"/>
      <c r="F226" s="38" t="n"/>
      <c r="G226" s="38" t="n"/>
      <c r="H226" s="38" t="n"/>
      <c r="I226" s="38" t="n"/>
      <c r="J226" s="38" t="n"/>
      <c r="K226" s="38" t="n"/>
      <c r="L226" s="38" t="n"/>
      <c r="M226" s="38" t="n"/>
    </row>
    <row r="227">
      <c r="C227" s="38" t="n"/>
      <c r="D227" s="38" t="n"/>
      <c r="E227" s="38" t="n"/>
      <c r="F227" s="38" t="n"/>
      <c r="G227" s="38" t="n"/>
      <c r="H227" s="38" t="n"/>
      <c r="I227" s="38" t="n"/>
      <c r="J227" s="38" t="n"/>
      <c r="K227" s="38" t="n"/>
      <c r="L227" s="38" t="n"/>
      <c r="M227" s="38" t="n"/>
    </row>
    <row r="228">
      <c r="C228" s="38" t="n"/>
      <c r="D228" s="38" t="n"/>
      <c r="E228" s="38" t="n"/>
      <c r="F228" s="38" t="n"/>
      <c r="G228" s="38" t="n"/>
      <c r="H228" s="38" t="n"/>
      <c r="I228" s="38" t="n"/>
      <c r="J228" s="38" t="n"/>
      <c r="K228" s="38" t="n"/>
      <c r="L228" s="38" t="n"/>
      <c r="M228" s="38" t="n"/>
    </row>
    <row r="229">
      <c r="C229" s="38" t="n"/>
      <c r="D229" s="38" t="n"/>
      <c r="E229" s="38" t="n"/>
      <c r="F229" s="38" t="n"/>
      <c r="G229" s="38" t="n"/>
      <c r="H229" s="38" t="n"/>
      <c r="I229" s="38" t="n"/>
      <c r="J229" s="38" t="n"/>
      <c r="K229" s="38" t="n"/>
      <c r="L229" s="38" t="n"/>
      <c r="M229" s="38" t="n"/>
    </row>
    <row r="230">
      <c r="C230" s="38" t="n"/>
      <c r="D230" s="38" t="n"/>
      <c r="E230" s="38" t="n"/>
      <c r="F230" s="38" t="n"/>
      <c r="G230" s="38" t="n"/>
      <c r="H230" s="38" t="n"/>
      <c r="I230" s="38" t="n"/>
      <c r="J230" s="38" t="n"/>
      <c r="K230" s="38" t="n"/>
      <c r="L230" s="38" t="n"/>
      <c r="M230" s="38" t="n"/>
    </row>
    <row r="231">
      <c r="C231" s="38" t="n"/>
      <c r="D231" s="38" t="n"/>
      <c r="E231" s="38" t="n"/>
      <c r="F231" s="38" t="n"/>
      <c r="G231" s="38" t="n"/>
      <c r="H231" s="38" t="n"/>
      <c r="I231" s="38" t="n"/>
      <c r="J231" s="38" t="n"/>
      <c r="K231" s="38" t="n"/>
      <c r="L231" s="38" t="n"/>
      <c r="M231" s="38" t="n"/>
    </row>
    <row r="232">
      <c r="C232" s="38" t="n"/>
      <c r="D232" s="38" t="n"/>
      <c r="E232" s="38" t="n"/>
      <c r="F232" s="38" t="n"/>
      <c r="G232" s="38" t="n"/>
      <c r="H232" s="38" t="n"/>
      <c r="I232" s="38" t="n"/>
      <c r="J232" s="38" t="n"/>
      <c r="K232" s="38" t="n"/>
      <c r="L232" s="38" t="n"/>
      <c r="M232" s="38" t="n"/>
    </row>
    <row r="233">
      <c r="C233" s="38" t="n"/>
      <c r="D233" s="38" t="n"/>
      <c r="E233" s="38" t="n"/>
      <c r="F233" s="38" t="n"/>
      <c r="G233" s="38" t="n"/>
      <c r="H233" s="38" t="n"/>
      <c r="I233" s="38" t="n"/>
      <c r="J233" s="38" t="n"/>
      <c r="K233" s="38" t="n"/>
      <c r="L233" s="38" t="n"/>
      <c r="M233" s="38" t="n"/>
    </row>
    <row r="234">
      <c r="C234" s="38" t="n"/>
      <c r="D234" s="38" t="n"/>
      <c r="E234" s="38" t="n"/>
      <c r="F234" s="38" t="n"/>
      <c r="G234" s="38" t="n"/>
      <c r="H234" s="38" t="n"/>
      <c r="I234" s="38" t="n"/>
      <c r="J234" s="38" t="n"/>
      <c r="K234" s="38" t="n"/>
      <c r="L234" s="38" t="n"/>
      <c r="M234" s="38" t="n"/>
    </row>
    <row r="235">
      <c r="C235" s="38" t="n"/>
      <c r="D235" s="38" t="n"/>
      <c r="E235" s="38" t="n"/>
      <c r="F235" s="38" t="n"/>
      <c r="G235" s="38" t="n"/>
      <c r="H235" s="38" t="n"/>
      <c r="I235" s="38" t="n"/>
      <c r="J235" s="38" t="n"/>
      <c r="K235" s="38" t="n"/>
      <c r="L235" s="38" t="n"/>
      <c r="M235" s="38" t="n"/>
    </row>
    <row r="236">
      <c r="C236" s="38" t="n"/>
      <c r="D236" s="38" t="n"/>
      <c r="E236" s="38" t="n"/>
      <c r="F236" s="38" t="n"/>
      <c r="G236" s="38" t="n"/>
      <c r="H236" s="38" t="n"/>
      <c r="I236" s="38" t="n"/>
      <c r="J236" s="38" t="n"/>
      <c r="K236" s="38" t="n"/>
      <c r="L236" s="38" t="n"/>
      <c r="M236" s="38" t="n"/>
    </row>
    <row r="237">
      <c r="C237" s="38" t="n"/>
      <c r="D237" s="38" t="n"/>
      <c r="E237" s="38" t="n"/>
      <c r="F237" s="38" t="n"/>
      <c r="G237" s="38" t="n"/>
      <c r="H237" s="38" t="n"/>
      <c r="I237" s="38" t="n"/>
      <c r="J237" s="38" t="n"/>
      <c r="K237" s="38" t="n"/>
      <c r="L237" s="38" t="n"/>
      <c r="M237" s="38" t="n"/>
    </row>
    <row r="238">
      <c r="C238" s="38" t="n"/>
      <c r="D238" s="38" t="n"/>
      <c r="E238" s="38" t="n"/>
      <c r="F238" s="38" t="n"/>
      <c r="G238" s="38" t="n"/>
      <c r="H238" s="38" t="n"/>
      <c r="I238" s="38" t="n"/>
      <c r="J238" s="38" t="n"/>
      <c r="K238" s="38" t="n"/>
      <c r="L238" s="38" t="n"/>
      <c r="M238" s="38" t="n"/>
    </row>
    <row r="239">
      <c r="C239" s="38" t="n"/>
      <c r="D239" s="38" t="n"/>
      <c r="E239" s="38" t="n"/>
      <c r="F239" s="38" t="n"/>
      <c r="G239" s="38" t="n"/>
      <c r="H239" s="38" t="n"/>
      <c r="I239" s="38" t="n"/>
      <c r="J239" s="38" t="n"/>
      <c r="K239" s="38" t="n"/>
      <c r="L239" s="38" t="n"/>
      <c r="M239" s="38" t="n"/>
    </row>
    <row r="240">
      <c r="C240" s="38" t="n"/>
      <c r="D240" s="38" t="n"/>
      <c r="E240" s="38" t="n"/>
      <c r="F240" s="38" t="n"/>
      <c r="G240" s="38" t="n"/>
      <c r="H240" s="38" t="n"/>
      <c r="I240" s="38" t="n"/>
      <c r="J240" s="38" t="n"/>
      <c r="K240" s="38" t="n"/>
      <c r="L240" s="38" t="n"/>
      <c r="M240" s="38" t="n"/>
    </row>
    <row r="241">
      <c r="C241" s="38" t="n"/>
      <c r="D241" s="38" t="n"/>
      <c r="E241" s="38" t="n"/>
      <c r="F241" s="38" t="n"/>
      <c r="G241" s="38" t="n"/>
      <c r="H241" s="38" t="n"/>
      <c r="I241" s="38" t="n"/>
      <c r="J241" s="38" t="n"/>
      <c r="K241" s="38" t="n"/>
      <c r="L241" s="38" t="n"/>
      <c r="M241" s="38" t="n"/>
    </row>
    <row r="242">
      <c r="C242" s="38" t="n"/>
      <c r="D242" s="38" t="n"/>
      <c r="E242" s="38" t="n"/>
      <c r="F242" s="38" t="n"/>
      <c r="G242" s="38" t="n"/>
      <c r="H242" s="38" t="n"/>
      <c r="I242" s="38" t="n"/>
      <c r="J242" s="38" t="n"/>
      <c r="K242" s="38" t="n"/>
      <c r="L242" s="38" t="n"/>
      <c r="M242" s="38" t="n"/>
    </row>
    <row r="243">
      <c r="C243" s="38" t="n"/>
      <c r="D243" s="38" t="n"/>
      <c r="E243" s="38" t="n"/>
      <c r="F243" s="38" t="n"/>
      <c r="G243" s="38" t="n"/>
      <c r="H243" s="38" t="n"/>
      <c r="I243" s="38" t="n"/>
      <c r="J243" s="38" t="n"/>
      <c r="K243" s="38" t="n"/>
      <c r="L243" s="38" t="n"/>
      <c r="M243" s="38" t="n"/>
    </row>
    <row r="244">
      <c r="C244" s="38" t="n"/>
      <c r="D244" s="38" t="n"/>
      <c r="E244" s="38" t="n"/>
      <c r="F244" s="38" t="n"/>
      <c r="G244" s="38" t="n"/>
      <c r="H244" s="38" t="n"/>
      <c r="I244" s="38" t="n"/>
      <c r="J244" s="38" t="n"/>
      <c r="K244" s="38" t="n"/>
      <c r="L244" s="38" t="n"/>
      <c r="M244" s="38" t="n"/>
    </row>
    <row r="245">
      <c r="C245" s="38" t="n"/>
      <c r="D245" s="38" t="n"/>
      <c r="E245" s="38" t="n"/>
      <c r="F245" s="38" t="n"/>
      <c r="G245" s="38" t="n"/>
      <c r="H245" s="38" t="n"/>
      <c r="I245" s="38" t="n"/>
      <c r="J245" s="38" t="n"/>
      <c r="K245" s="38" t="n"/>
      <c r="L245" s="38" t="n"/>
      <c r="M245" s="38" t="n"/>
    </row>
    <row r="246">
      <c r="C246" s="38" t="n"/>
      <c r="D246" s="38" t="n"/>
      <c r="E246" s="38" t="n"/>
      <c r="F246" s="38" t="n"/>
      <c r="G246" s="38" t="n"/>
      <c r="H246" s="38" t="n"/>
      <c r="I246" s="38" t="n"/>
      <c r="J246" s="38" t="n"/>
      <c r="K246" s="38" t="n"/>
      <c r="L246" s="38" t="n"/>
      <c r="M246" s="38" t="n"/>
    </row>
    <row r="247">
      <c r="C247" s="38" t="n"/>
      <c r="D247" s="38" t="n"/>
      <c r="E247" s="38" t="n"/>
      <c r="F247" s="38" t="n"/>
      <c r="G247" s="38" t="n"/>
      <c r="H247" s="38" t="n"/>
      <c r="I247" s="38" t="n"/>
      <c r="J247" s="38" t="n"/>
      <c r="K247" s="38" t="n"/>
      <c r="L247" s="38" t="n"/>
      <c r="M247" s="38" t="n"/>
    </row>
    <row r="248">
      <c r="C248" s="38" t="n"/>
      <c r="D248" s="38" t="n"/>
      <c r="E248" s="38" t="n"/>
      <c r="F248" s="38" t="n"/>
      <c r="G248" s="38" t="n"/>
      <c r="H248" s="38" t="n"/>
      <c r="I248" s="38" t="n"/>
      <c r="J248" s="38" t="n"/>
      <c r="K248" s="38" t="n"/>
      <c r="L248" s="38" t="n"/>
      <c r="M248" s="38" t="n"/>
    </row>
    <row r="249">
      <c r="C249" s="38" t="n"/>
      <c r="D249" s="38" t="n"/>
      <c r="E249" s="38" t="n"/>
      <c r="F249" s="38" t="n"/>
      <c r="G249" s="38" t="n"/>
      <c r="H249" s="38" t="n"/>
      <c r="I249" s="38" t="n"/>
      <c r="J249" s="38" t="n"/>
      <c r="K249" s="38" t="n"/>
      <c r="L249" s="38" t="n"/>
      <c r="M249" s="38" t="n"/>
    </row>
    <row r="250">
      <c r="C250" s="38" t="n"/>
      <c r="D250" s="38" t="n"/>
      <c r="E250" s="38" t="n"/>
      <c r="F250" s="38" t="n"/>
      <c r="G250" s="38" t="n"/>
      <c r="H250" s="38" t="n"/>
      <c r="I250" s="38" t="n"/>
      <c r="J250" s="38" t="n"/>
      <c r="K250" s="38" t="n"/>
      <c r="L250" s="38" t="n"/>
      <c r="M250" s="38" t="n"/>
    </row>
    <row r="251">
      <c r="C251" s="38" t="n"/>
      <c r="D251" s="38" t="n"/>
      <c r="E251" s="38" t="n"/>
      <c r="F251" s="38" t="n"/>
      <c r="G251" s="38" t="n"/>
      <c r="H251" s="38" t="n"/>
      <c r="I251" s="38" t="n"/>
      <c r="J251" s="38" t="n"/>
      <c r="K251" s="38" t="n"/>
      <c r="L251" s="38" t="n"/>
      <c r="M251" s="38" t="n"/>
    </row>
    <row r="252">
      <c r="C252" s="38" t="n"/>
      <c r="D252" s="38" t="n"/>
      <c r="E252" s="38" t="n"/>
      <c r="F252" s="38" t="n"/>
      <c r="G252" s="38" t="n"/>
      <c r="H252" s="38" t="n"/>
      <c r="I252" s="38" t="n"/>
      <c r="J252" s="38" t="n"/>
      <c r="K252" s="38" t="n"/>
      <c r="L252" s="38" t="n"/>
      <c r="M252" s="38" t="n"/>
    </row>
    <row r="253">
      <c r="C253" s="38" t="n"/>
      <c r="D253" s="38" t="n"/>
      <c r="E253" s="38" t="n"/>
      <c r="F253" s="38" t="n"/>
      <c r="G253" s="38" t="n"/>
      <c r="H253" s="38" t="n"/>
      <c r="I253" s="38" t="n"/>
      <c r="J253" s="38" t="n"/>
      <c r="K253" s="38" t="n"/>
      <c r="L253" s="38" t="n"/>
      <c r="M253" s="38" t="n"/>
    </row>
    <row r="254">
      <c r="C254" s="38" t="n"/>
      <c r="D254" s="38" t="n"/>
      <c r="E254" s="38" t="n"/>
      <c r="F254" s="38" t="n"/>
      <c r="G254" s="38" t="n"/>
      <c r="H254" s="38" t="n"/>
      <c r="I254" s="38" t="n"/>
      <c r="J254" s="38" t="n"/>
      <c r="K254" s="38" t="n"/>
      <c r="L254" s="38" t="n"/>
      <c r="M254" s="38" t="n"/>
    </row>
    <row r="255">
      <c r="C255" s="38" t="n"/>
      <c r="D255" s="38" t="n"/>
      <c r="E255" s="38" t="n"/>
      <c r="F255" s="38" t="n"/>
      <c r="G255" s="38" t="n"/>
      <c r="H255" s="38" t="n"/>
      <c r="I255" s="38" t="n"/>
      <c r="J255" s="38" t="n"/>
      <c r="K255" s="38" t="n"/>
      <c r="L255" s="38" t="n"/>
      <c r="M255" s="38" t="n"/>
    </row>
    <row r="256">
      <c r="C256" s="38" t="n"/>
      <c r="D256" s="38" t="n"/>
      <c r="E256" s="38" t="n"/>
      <c r="F256" s="38" t="n"/>
      <c r="G256" s="38" t="n"/>
      <c r="H256" s="38" t="n"/>
      <c r="I256" s="38" t="n"/>
      <c r="J256" s="38" t="n"/>
      <c r="K256" s="38" t="n"/>
      <c r="L256" s="38" t="n"/>
      <c r="M256" s="38" t="n"/>
    </row>
    <row r="257">
      <c r="C257" s="38" t="n"/>
      <c r="D257" s="38" t="n"/>
      <c r="E257" s="38" t="n"/>
      <c r="F257" s="38" t="n"/>
      <c r="G257" s="38" t="n"/>
      <c r="H257" s="38" t="n"/>
      <c r="I257" s="38" t="n"/>
      <c r="J257" s="38" t="n"/>
      <c r="K257" s="38" t="n"/>
      <c r="L257" s="38" t="n"/>
      <c r="M257" s="38" t="n"/>
    </row>
    <row r="258">
      <c r="C258" s="38" t="n"/>
      <c r="D258" s="38" t="n"/>
      <c r="E258" s="38" t="n"/>
      <c r="F258" s="38" t="n"/>
      <c r="G258" s="38" t="n"/>
      <c r="H258" s="38" t="n"/>
      <c r="I258" s="38" t="n"/>
      <c r="J258" s="38" t="n"/>
      <c r="K258" s="38" t="n"/>
      <c r="L258" s="38" t="n"/>
      <c r="M258" s="38" t="n"/>
    </row>
    <row r="259">
      <c r="C259" s="38" t="n"/>
      <c r="D259" s="38" t="n"/>
      <c r="E259" s="38" t="n"/>
      <c r="F259" s="38" t="n"/>
      <c r="G259" s="38" t="n"/>
      <c r="H259" s="38" t="n"/>
      <c r="I259" s="38" t="n"/>
      <c r="J259" s="38" t="n"/>
      <c r="K259" s="38" t="n"/>
      <c r="L259" s="38" t="n"/>
      <c r="M259" s="38" t="n"/>
    </row>
    <row r="260">
      <c r="C260" s="38" t="n"/>
      <c r="D260" s="38" t="n"/>
      <c r="E260" s="38" t="n"/>
      <c r="F260" s="38" t="n"/>
      <c r="G260" s="38" t="n"/>
      <c r="H260" s="38" t="n"/>
      <c r="I260" s="38" t="n"/>
      <c r="J260" s="38" t="n"/>
      <c r="K260" s="38" t="n"/>
      <c r="L260" s="38" t="n"/>
      <c r="M260" s="38" t="n"/>
    </row>
    <row r="261">
      <c r="C261" s="38" t="n"/>
      <c r="D261" s="38" t="n"/>
      <c r="E261" s="38" t="n"/>
      <c r="F261" s="38" t="n"/>
      <c r="G261" s="38" t="n"/>
      <c r="H261" s="38" t="n"/>
      <c r="I261" s="38" t="n"/>
      <c r="J261" s="38" t="n"/>
      <c r="K261" s="38" t="n"/>
      <c r="L261" s="38" t="n"/>
      <c r="M261" s="38" t="n"/>
    </row>
    <row r="262">
      <c r="C262" s="38" t="n"/>
      <c r="D262" s="38" t="n"/>
      <c r="E262" s="38" t="n"/>
      <c r="F262" s="38" t="n"/>
      <c r="G262" s="38" t="n"/>
      <c r="H262" s="38" t="n"/>
      <c r="I262" s="38" t="n"/>
      <c r="J262" s="38" t="n"/>
      <c r="K262" s="38" t="n"/>
      <c r="L262" s="38" t="n"/>
      <c r="M262" s="38" t="n"/>
    </row>
    <row r="263">
      <c r="C263" s="38" t="n"/>
      <c r="D263" s="38" t="n"/>
      <c r="E263" s="38" t="n"/>
      <c r="F263" s="38" t="n"/>
      <c r="G263" s="38" t="n"/>
      <c r="H263" s="38" t="n"/>
      <c r="I263" s="38" t="n"/>
      <c r="J263" s="38" t="n"/>
      <c r="K263" s="38" t="n"/>
      <c r="L263" s="38" t="n"/>
      <c r="M263" s="38" t="n"/>
    </row>
    <row r="264">
      <c r="C264" s="38" t="n"/>
      <c r="D264" s="38" t="n"/>
      <c r="E264" s="38" t="n"/>
      <c r="F264" s="38" t="n"/>
      <c r="G264" s="38" t="n"/>
      <c r="H264" s="38" t="n"/>
      <c r="I264" s="38" t="n"/>
      <c r="J264" s="38" t="n"/>
      <c r="K264" s="38" t="n"/>
      <c r="L264" s="38" t="n"/>
      <c r="M264" s="38" t="n"/>
    </row>
    <row r="265">
      <c r="C265" s="38" t="n"/>
      <c r="D265" s="38" t="n"/>
      <c r="E265" s="38" t="n"/>
      <c r="F265" s="38" t="n"/>
      <c r="G265" s="38" t="n"/>
      <c r="H265" s="38" t="n"/>
      <c r="I265" s="38" t="n"/>
      <c r="J265" s="38" t="n"/>
      <c r="K265" s="38" t="n"/>
      <c r="L265" s="38" t="n"/>
      <c r="M265" s="38" t="n"/>
    </row>
    <row r="266">
      <c r="C266" s="38" t="n"/>
      <c r="D266" s="38" t="n"/>
      <c r="E266" s="38" t="n"/>
      <c r="F266" s="38" t="n"/>
      <c r="G266" s="38" t="n"/>
      <c r="H266" s="38" t="n"/>
      <c r="I266" s="38" t="n"/>
      <c r="J266" s="38" t="n"/>
      <c r="K266" s="38" t="n"/>
      <c r="L266" s="38" t="n"/>
      <c r="M266" s="38" t="n"/>
    </row>
    <row r="267">
      <c r="C267" s="38" t="n"/>
      <c r="D267" s="38" t="n"/>
      <c r="E267" s="38" t="n"/>
      <c r="F267" s="38" t="n"/>
      <c r="G267" s="38" t="n"/>
      <c r="H267" s="38" t="n"/>
      <c r="I267" s="38" t="n"/>
      <c r="J267" s="38" t="n"/>
      <c r="K267" s="38" t="n"/>
      <c r="L267" s="38" t="n"/>
      <c r="M267" s="38" t="n"/>
    </row>
    <row r="268">
      <c r="C268" s="38" t="n"/>
      <c r="D268" s="38" t="n"/>
      <c r="E268" s="38" t="n"/>
      <c r="F268" s="38" t="n"/>
      <c r="G268" s="38" t="n"/>
      <c r="H268" s="38" t="n"/>
      <c r="I268" s="38" t="n"/>
      <c r="J268" s="38" t="n"/>
      <c r="K268" s="38" t="n"/>
      <c r="L268" s="38" t="n"/>
      <c r="M268" s="38" t="n"/>
    </row>
    <row r="269">
      <c r="C269" s="38" t="n"/>
      <c r="D269" s="38" t="n"/>
      <c r="E269" s="38" t="n"/>
      <c r="F269" s="38" t="n"/>
      <c r="G269" s="38" t="n"/>
      <c r="H269" s="38" t="n"/>
      <c r="I269" s="38" t="n"/>
      <c r="J269" s="38" t="n"/>
      <c r="K269" s="38" t="n"/>
      <c r="L269" s="38" t="n"/>
      <c r="M269" s="38" t="n"/>
    </row>
    <row r="270">
      <c r="C270" s="38" t="n"/>
      <c r="D270" s="38" t="n"/>
      <c r="E270" s="38" t="n"/>
      <c r="F270" s="38" t="n"/>
      <c r="G270" s="38" t="n"/>
      <c r="H270" s="38" t="n"/>
      <c r="I270" s="38" t="n"/>
      <c r="J270" s="38" t="n"/>
      <c r="K270" s="38" t="n"/>
      <c r="L270" s="38" t="n"/>
      <c r="M270" s="38" t="n"/>
    </row>
    <row r="271">
      <c r="C271" s="38" t="n"/>
      <c r="D271" s="38" t="n"/>
      <c r="E271" s="38" t="n"/>
      <c r="F271" s="38" t="n"/>
      <c r="G271" s="38" t="n"/>
      <c r="H271" s="38" t="n"/>
      <c r="I271" s="38" t="n"/>
      <c r="J271" s="38" t="n"/>
      <c r="K271" s="38" t="n"/>
      <c r="L271" s="38" t="n"/>
      <c r="M271" s="38" t="n"/>
    </row>
    <row r="272">
      <c r="C272" s="38" t="n"/>
      <c r="D272" s="38" t="n"/>
      <c r="E272" s="38" t="n"/>
      <c r="F272" s="38" t="n"/>
      <c r="G272" s="38" t="n"/>
      <c r="H272" s="38" t="n"/>
      <c r="I272" s="38" t="n"/>
      <c r="J272" s="38" t="n"/>
      <c r="K272" s="38" t="n"/>
      <c r="L272" s="38" t="n"/>
      <c r="M272" s="38" t="n"/>
    </row>
    <row r="273">
      <c r="C273" s="38" t="n"/>
      <c r="D273" s="38" t="n"/>
      <c r="E273" s="38" t="n"/>
      <c r="F273" s="38" t="n"/>
      <c r="G273" s="38" t="n"/>
      <c r="H273" s="38" t="n"/>
      <c r="I273" s="38" t="n"/>
      <c r="J273" s="38" t="n"/>
      <c r="K273" s="38" t="n"/>
      <c r="L273" s="38" t="n"/>
      <c r="M273" s="38" t="n"/>
    </row>
    <row r="274">
      <c r="C274" s="38" t="n"/>
      <c r="D274" s="38" t="n"/>
      <c r="E274" s="38" t="n"/>
      <c r="F274" s="38" t="n"/>
      <c r="G274" s="38" t="n"/>
      <c r="H274" s="38" t="n"/>
      <c r="I274" s="38" t="n"/>
      <c r="J274" s="38" t="n"/>
      <c r="K274" s="38" t="n"/>
      <c r="L274" s="38" t="n"/>
      <c r="M274" s="38" t="n"/>
    </row>
    <row r="275">
      <c r="C275" s="38" t="n"/>
      <c r="D275" s="38" t="n"/>
      <c r="E275" s="38" t="n"/>
      <c r="F275" s="38" t="n"/>
      <c r="G275" s="38" t="n"/>
      <c r="H275" s="38" t="n"/>
      <c r="I275" s="38" t="n"/>
      <c r="J275" s="38" t="n"/>
      <c r="K275" s="38" t="n"/>
      <c r="L275" s="38" t="n"/>
      <c r="M275" s="38" t="n"/>
    </row>
    <row r="276">
      <c r="C276" s="38" t="n"/>
      <c r="D276" s="38" t="n"/>
      <c r="E276" s="38" t="n"/>
      <c r="F276" s="38" t="n"/>
      <c r="G276" s="38" t="n"/>
      <c r="H276" s="38" t="n"/>
      <c r="I276" s="38" t="n"/>
      <c r="J276" s="38" t="n"/>
      <c r="K276" s="38" t="n"/>
      <c r="L276" s="38" t="n"/>
      <c r="M276" s="38" t="n"/>
    </row>
    <row r="277">
      <c r="C277" s="38" t="n"/>
      <c r="D277" s="38" t="n"/>
      <c r="E277" s="38" t="n"/>
      <c r="F277" s="38" t="n"/>
      <c r="G277" s="38" t="n"/>
      <c r="H277" s="38" t="n"/>
      <c r="I277" s="38" t="n"/>
      <c r="J277" s="38" t="n"/>
      <c r="K277" s="38" t="n"/>
      <c r="L277" s="38" t="n"/>
      <c r="M277" s="38" t="n"/>
    </row>
    <row r="278">
      <c r="C278" s="38" t="n"/>
      <c r="D278" s="38" t="n"/>
      <c r="E278" s="38" t="n"/>
      <c r="F278" s="38" t="n"/>
      <c r="G278" s="38" t="n"/>
      <c r="H278" s="38" t="n"/>
      <c r="I278" s="38" t="n"/>
      <c r="J278" s="38" t="n"/>
      <c r="K278" s="38" t="n"/>
      <c r="L278" s="38" t="n"/>
      <c r="M278" s="38" t="n"/>
    </row>
    <row r="279">
      <c r="C279" s="38" t="n"/>
      <c r="D279" s="38" t="n"/>
      <c r="E279" s="38" t="n"/>
      <c r="F279" s="38" t="n"/>
      <c r="G279" s="38" t="n"/>
      <c r="H279" s="38" t="n"/>
      <c r="I279" s="38" t="n"/>
      <c r="J279" s="38" t="n"/>
      <c r="K279" s="38" t="n"/>
      <c r="L279" s="38" t="n"/>
      <c r="M279" s="38" t="n"/>
    </row>
    <row r="280">
      <c r="C280" s="38" t="n"/>
      <c r="D280" s="38" t="n"/>
      <c r="E280" s="38" t="n"/>
      <c r="F280" s="38" t="n"/>
      <c r="G280" s="38" t="n"/>
      <c r="H280" s="38" t="n"/>
      <c r="I280" s="38" t="n"/>
      <c r="J280" s="38" t="n"/>
      <c r="K280" s="38" t="n"/>
      <c r="L280" s="38" t="n"/>
      <c r="M280" s="38" t="n"/>
    </row>
    <row r="281">
      <c r="C281" s="38" t="n"/>
      <c r="D281" s="38" t="n"/>
      <c r="E281" s="38" t="n"/>
      <c r="F281" s="38" t="n"/>
      <c r="G281" s="38" t="n"/>
      <c r="H281" s="38" t="n"/>
      <c r="I281" s="38" t="n"/>
      <c r="J281" s="38" t="n"/>
      <c r="K281" s="38" t="n"/>
      <c r="L281" s="38" t="n"/>
      <c r="M281" s="38" t="n"/>
    </row>
    <row r="282">
      <c r="C282" s="38" t="n"/>
      <c r="D282" s="38" t="n"/>
      <c r="E282" s="38" t="n"/>
      <c r="F282" s="38" t="n"/>
      <c r="G282" s="38" t="n"/>
      <c r="H282" s="38" t="n"/>
      <c r="I282" s="38" t="n"/>
      <c r="J282" s="38" t="n"/>
      <c r="K282" s="38" t="n"/>
      <c r="L282" s="38" t="n"/>
      <c r="M282" s="38" t="n"/>
    </row>
    <row r="283">
      <c r="C283" s="38" t="n"/>
      <c r="D283" s="38" t="n"/>
      <c r="E283" s="38" t="n"/>
      <c r="F283" s="38" t="n"/>
      <c r="G283" s="38" t="n"/>
      <c r="H283" s="38" t="n"/>
      <c r="I283" s="38" t="n"/>
      <c r="J283" s="38" t="n"/>
      <c r="K283" s="38" t="n"/>
      <c r="L283" s="38" t="n"/>
      <c r="M283" s="38" t="n"/>
    </row>
    <row r="284">
      <c r="C284" s="38" t="n"/>
      <c r="D284" s="38" t="n"/>
      <c r="E284" s="38" t="n"/>
      <c r="F284" s="38" t="n"/>
      <c r="G284" s="38" t="n"/>
      <c r="H284" s="38" t="n"/>
      <c r="I284" s="38" t="n"/>
      <c r="J284" s="38" t="n"/>
      <c r="K284" s="38" t="n"/>
      <c r="L284" s="38" t="n"/>
      <c r="M284" s="38" t="n"/>
    </row>
    <row r="285">
      <c r="C285" s="38" t="n"/>
      <c r="D285" s="38" t="n"/>
      <c r="E285" s="38" t="n"/>
      <c r="F285" s="38" t="n"/>
      <c r="G285" s="38" t="n"/>
      <c r="H285" s="38" t="n"/>
      <c r="I285" s="38" t="n"/>
      <c r="J285" s="38" t="n"/>
      <c r="K285" s="38" t="n"/>
      <c r="L285" s="38" t="n"/>
      <c r="M285" s="38" t="n"/>
    </row>
    <row r="286">
      <c r="C286" s="38" t="n"/>
      <c r="D286" s="38" t="n"/>
      <c r="E286" s="38" t="n"/>
      <c r="F286" s="38" t="n"/>
      <c r="G286" s="38" t="n"/>
      <c r="H286" s="38" t="n"/>
      <c r="I286" s="38" t="n"/>
      <c r="J286" s="38" t="n"/>
      <c r="K286" s="38" t="n"/>
      <c r="L286" s="38" t="n"/>
      <c r="M286" s="38" t="n"/>
    </row>
    <row r="287">
      <c r="C287" s="38" t="n"/>
      <c r="D287" s="38" t="n"/>
      <c r="E287" s="38" t="n"/>
      <c r="F287" s="38" t="n"/>
      <c r="G287" s="38" t="n"/>
      <c r="H287" s="38" t="n"/>
      <c r="I287" s="38" t="n"/>
      <c r="J287" s="38" t="n"/>
      <c r="K287" s="38" t="n"/>
      <c r="L287" s="38" t="n"/>
      <c r="M287" s="38" t="n"/>
    </row>
    <row r="288">
      <c r="C288" s="38" t="n"/>
      <c r="D288" s="38" t="n"/>
      <c r="E288" s="38" t="n"/>
      <c r="F288" s="38" t="n"/>
      <c r="G288" s="38" t="n"/>
      <c r="H288" s="38" t="n"/>
      <c r="I288" s="38" t="n"/>
      <c r="J288" s="38" t="n"/>
      <c r="K288" s="38" t="n"/>
      <c r="L288" s="38" t="n"/>
      <c r="M288" s="38" t="n"/>
    </row>
    <row r="289">
      <c r="C289" s="38" t="n"/>
      <c r="D289" s="38" t="n"/>
      <c r="E289" s="38" t="n"/>
      <c r="F289" s="38" t="n"/>
      <c r="G289" s="38" t="n"/>
      <c r="H289" s="38" t="n"/>
      <c r="I289" s="38" t="n"/>
      <c r="J289" s="38" t="n"/>
      <c r="K289" s="38" t="n"/>
      <c r="L289" s="38" t="n"/>
      <c r="M289" s="38" t="n"/>
    </row>
    <row r="290">
      <c r="C290" s="38" t="n"/>
      <c r="D290" s="38" t="n"/>
      <c r="E290" s="38" t="n"/>
      <c r="F290" s="38" t="n"/>
      <c r="G290" s="38" t="n"/>
      <c r="H290" s="38" t="n"/>
      <c r="I290" s="38" t="n"/>
      <c r="J290" s="38" t="n"/>
      <c r="K290" s="38" t="n"/>
      <c r="L290" s="38" t="n"/>
      <c r="M290" s="38" t="n"/>
    </row>
    <row r="291">
      <c r="C291" s="38" t="n"/>
      <c r="D291" s="38" t="n"/>
      <c r="E291" s="38" t="n"/>
      <c r="F291" s="38" t="n"/>
      <c r="G291" s="38" t="n"/>
      <c r="H291" s="38" t="n"/>
      <c r="I291" s="38" t="n"/>
      <c r="J291" s="38" t="n"/>
      <c r="K291" s="38" t="n"/>
      <c r="L291" s="38" t="n"/>
      <c r="M291" s="38" t="n"/>
    </row>
    <row r="292">
      <c r="C292" s="38" t="n"/>
      <c r="D292" s="38" t="n"/>
      <c r="E292" s="38" t="n"/>
      <c r="F292" s="38" t="n"/>
      <c r="G292" s="38" t="n"/>
      <c r="H292" s="38" t="n"/>
      <c r="I292" s="38" t="n"/>
      <c r="J292" s="38" t="n"/>
      <c r="K292" s="38" t="n"/>
      <c r="L292" s="38" t="n"/>
      <c r="M292" s="38" t="n"/>
    </row>
    <row r="293">
      <c r="C293" s="38" t="n"/>
      <c r="D293" s="38" t="n"/>
      <c r="E293" s="38" t="n"/>
      <c r="F293" s="38" t="n"/>
      <c r="G293" s="38" t="n"/>
      <c r="H293" s="38" t="n"/>
      <c r="I293" s="38" t="n"/>
      <c r="J293" s="38" t="n"/>
      <c r="K293" s="38" t="n"/>
      <c r="L293" s="38" t="n"/>
      <c r="M293" s="38" t="n"/>
    </row>
    <row r="294">
      <c r="C294" s="38" t="n"/>
      <c r="D294" s="38" t="n"/>
      <c r="E294" s="38" t="n"/>
      <c r="F294" s="38" t="n"/>
      <c r="G294" s="38" t="n"/>
      <c r="H294" s="38" t="n"/>
      <c r="I294" s="38" t="n"/>
      <c r="J294" s="38" t="n"/>
      <c r="K294" s="38" t="n"/>
      <c r="L294" s="38" t="n"/>
      <c r="M294" s="38" t="n"/>
    </row>
    <row r="295">
      <c r="C295" s="38" t="n"/>
      <c r="D295" s="38" t="n"/>
      <c r="E295" s="38" t="n"/>
      <c r="F295" s="38" t="n"/>
      <c r="G295" s="38" t="n"/>
      <c r="H295" s="38" t="n"/>
      <c r="I295" s="38" t="n"/>
      <c r="J295" s="38" t="n"/>
      <c r="K295" s="38" t="n"/>
      <c r="L295" s="38" t="n"/>
      <c r="M295" s="38" t="n"/>
    </row>
    <row r="296">
      <c r="C296" s="38" t="n"/>
      <c r="D296" s="38" t="n"/>
      <c r="E296" s="38" t="n"/>
      <c r="F296" s="38" t="n"/>
      <c r="G296" s="38" t="n"/>
      <c r="H296" s="38" t="n"/>
      <c r="I296" s="38" t="n"/>
      <c r="J296" s="38" t="n"/>
      <c r="K296" s="38" t="n"/>
      <c r="L296" s="38" t="n"/>
      <c r="M296" s="38" t="n"/>
    </row>
    <row r="297">
      <c r="C297" s="38" t="n"/>
      <c r="D297" s="38" t="n"/>
      <c r="E297" s="38" t="n"/>
      <c r="F297" s="38" t="n"/>
      <c r="G297" s="38" t="n"/>
      <c r="H297" s="38" t="n"/>
      <c r="I297" s="38" t="n"/>
      <c r="J297" s="38" t="n"/>
      <c r="K297" s="38" t="n"/>
      <c r="L297" s="38" t="n"/>
      <c r="M297" s="38" t="n"/>
    </row>
    <row r="298">
      <c r="C298" s="38" t="n"/>
      <c r="D298" s="38" t="n"/>
      <c r="E298" s="38" t="n"/>
      <c r="F298" s="38" t="n"/>
      <c r="G298" s="38" t="n"/>
      <c r="H298" s="38" t="n"/>
      <c r="I298" s="38" t="n"/>
      <c r="J298" s="38" t="n"/>
      <c r="K298" s="38" t="n"/>
      <c r="L298" s="38" t="n"/>
      <c r="M298" s="38" t="n"/>
    </row>
    <row r="299">
      <c r="C299" s="38" t="n"/>
      <c r="D299" s="38" t="n"/>
      <c r="E299" s="38" t="n"/>
      <c r="F299" s="38" t="n"/>
      <c r="G299" s="38" t="n"/>
      <c r="H299" s="38" t="n"/>
      <c r="I299" s="38" t="n"/>
      <c r="J299" s="38" t="n"/>
      <c r="K299" s="38" t="n"/>
      <c r="L299" s="38" t="n"/>
      <c r="M299" s="38" t="n"/>
    </row>
    <row r="300">
      <c r="C300" s="38" t="n"/>
      <c r="D300" s="38" t="n"/>
      <c r="E300" s="38" t="n"/>
      <c r="F300" s="38" t="n"/>
      <c r="G300" s="38" t="n"/>
      <c r="H300" s="38" t="n"/>
      <c r="I300" s="38" t="n"/>
      <c r="J300" s="38" t="n"/>
      <c r="K300" s="38" t="n"/>
      <c r="L300" s="38" t="n"/>
      <c r="M300" s="38" t="n"/>
    </row>
    <row r="301">
      <c r="C301" s="38" t="n"/>
      <c r="D301" s="38" t="n"/>
      <c r="E301" s="38" t="n"/>
      <c r="F301" s="38" t="n"/>
      <c r="G301" s="38" t="n"/>
      <c r="H301" s="38" t="n"/>
      <c r="I301" s="38" t="n"/>
      <c r="J301" s="38" t="n"/>
      <c r="K301" s="38" t="n"/>
      <c r="L301" s="38" t="n"/>
      <c r="M301" s="38" t="n"/>
    </row>
    <row r="302">
      <c r="C302" s="38" t="n"/>
      <c r="D302" s="38" t="n"/>
      <c r="E302" s="38" t="n"/>
      <c r="F302" s="38" t="n"/>
      <c r="G302" s="38" t="n"/>
      <c r="H302" s="38" t="n"/>
      <c r="I302" s="38" t="n"/>
      <c r="J302" s="38" t="n"/>
      <c r="K302" s="38" t="n"/>
      <c r="L302" s="38" t="n"/>
      <c r="M302" s="38" t="n"/>
    </row>
    <row r="303">
      <c r="C303" s="38" t="n"/>
      <c r="D303" s="38" t="n"/>
      <c r="E303" s="38" t="n"/>
      <c r="F303" s="38" t="n"/>
      <c r="G303" s="38" t="n"/>
      <c r="H303" s="38" t="n"/>
      <c r="I303" s="38" t="n"/>
      <c r="J303" s="38" t="n"/>
      <c r="K303" s="38" t="n"/>
      <c r="L303" s="38" t="n"/>
      <c r="M303" s="38" t="n"/>
    </row>
    <row r="304">
      <c r="C304" s="38" t="n"/>
      <c r="D304" s="38" t="n"/>
      <c r="E304" s="38" t="n"/>
      <c r="F304" s="38" t="n"/>
      <c r="G304" s="38" t="n"/>
      <c r="H304" s="38" t="n"/>
      <c r="I304" s="38" t="n"/>
      <c r="J304" s="38" t="n"/>
      <c r="K304" s="38" t="n"/>
      <c r="L304" s="38" t="n"/>
      <c r="M304" s="38" t="n"/>
    </row>
    <row r="305">
      <c r="C305" s="38" t="n"/>
      <c r="D305" s="38" t="n"/>
      <c r="E305" s="38" t="n"/>
      <c r="F305" s="38" t="n"/>
      <c r="G305" s="38" t="n"/>
      <c r="H305" s="38" t="n"/>
      <c r="I305" s="38" t="n"/>
      <c r="J305" s="38" t="n"/>
      <c r="K305" s="38" t="n"/>
      <c r="L305" s="38" t="n"/>
      <c r="M305" s="38" t="n"/>
    </row>
    <row r="306">
      <c r="C306" s="38" t="n"/>
      <c r="D306" s="38" t="n"/>
      <c r="E306" s="38" t="n"/>
      <c r="F306" s="38" t="n"/>
      <c r="G306" s="38" t="n"/>
      <c r="H306" s="38" t="n"/>
      <c r="I306" s="38" t="n"/>
      <c r="J306" s="38" t="n"/>
      <c r="K306" s="38" t="n"/>
      <c r="L306" s="38" t="n"/>
      <c r="M306" s="38" t="n"/>
    </row>
    <row r="307">
      <c r="C307" s="38" t="n"/>
      <c r="D307" s="38" t="n"/>
      <c r="E307" s="38" t="n"/>
      <c r="F307" s="38" t="n"/>
      <c r="G307" s="38" t="n"/>
      <c r="H307" s="38" t="n"/>
      <c r="I307" s="38" t="n"/>
      <c r="J307" s="38" t="n"/>
      <c r="K307" s="38" t="n"/>
      <c r="L307" s="38" t="n"/>
      <c r="M307" s="38" t="n"/>
    </row>
    <row r="308">
      <c r="C308" s="38" t="n"/>
      <c r="D308" s="38" t="n"/>
      <c r="E308" s="38" t="n"/>
      <c r="F308" s="38" t="n"/>
      <c r="G308" s="38" t="n"/>
      <c r="H308" s="38" t="n"/>
      <c r="I308" s="38" t="n"/>
      <c r="J308" s="38" t="n"/>
      <c r="K308" s="38" t="n"/>
      <c r="L308" s="38" t="n"/>
      <c r="M308" s="38" t="n"/>
    </row>
    <row r="309">
      <c r="C309" s="38" t="n"/>
      <c r="D309" s="38" t="n"/>
      <c r="E309" s="38" t="n"/>
      <c r="F309" s="38" t="n"/>
      <c r="G309" s="38" t="n"/>
      <c r="H309" s="38" t="n"/>
      <c r="I309" s="38" t="n"/>
      <c r="J309" s="38" t="n"/>
      <c r="K309" s="38" t="n"/>
      <c r="L309" s="38" t="n"/>
      <c r="M309" s="38" t="n"/>
    </row>
    <row r="310">
      <c r="C310" s="38" t="n"/>
      <c r="D310" s="38" t="n"/>
      <c r="E310" s="38" t="n"/>
      <c r="F310" s="38" t="n"/>
      <c r="G310" s="38" t="n"/>
      <c r="H310" s="38" t="n"/>
      <c r="I310" s="38" t="n"/>
      <c r="J310" s="38" t="n"/>
      <c r="K310" s="38" t="n"/>
      <c r="L310" s="38" t="n"/>
      <c r="M310" s="38" t="n"/>
    </row>
    <row r="311">
      <c r="C311" s="38" t="n"/>
      <c r="D311" s="38" t="n"/>
      <c r="E311" s="38" t="n"/>
      <c r="F311" s="38" t="n"/>
      <c r="G311" s="38" t="n"/>
      <c r="H311" s="38" t="n"/>
      <c r="I311" s="38" t="n"/>
      <c r="J311" s="38" t="n"/>
      <c r="K311" s="38" t="n"/>
      <c r="L311" s="38" t="n"/>
      <c r="M311" s="38" t="n"/>
    </row>
    <row r="312">
      <c r="C312" s="38" t="n"/>
      <c r="D312" s="38" t="n"/>
      <c r="E312" s="38" t="n"/>
      <c r="F312" s="38" t="n"/>
      <c r="G312" s="38" t="n"/>
      <c r="H312" s="38" t="n"/>
      <c r="I312" s="38" t="n"/>
      <c r="J312" s="38" t="n"/>
      <c r="K312" s="38" t="n"/>
      <c r="L312" s="38" t="n"/>
      <c r="M312" s="38" t="n"/>
    </row>
    <row r="313">
      <c r="C313" s="38" t="n"/>
      <c r="D313" s="38" t="n"/>
      <c r="E313" s="38" t="n"/>
      <c r="F313" s="38" t="n"/>
      <c r="G313" s="38" t="n"/>
      <c r="H313" s="38" t="n"/>
      <c r="I313" s="38" t="n"/>
      <c r="J313" s="38" t="n"/>
      <c r="K313" s="38" t="n"/>
      <c r="L313" s="38" t="n"/>
      <c r="M313" s="38" t="n"/>
    </row>
    <row r="314">
      <c r="C314" s="38" t="n"/>
      <c r="D314" s="38" t="n"/>
      <c r="E314" s="38" t="n"/>
      <c r="F314" s="38" t="n"/>
      <c r="G314" s="38" t="n"/>
      <c r="H314" s="38" t="n"/>
      <c r="I314" s="38" t="n"/>
      <c r="J314" s="38" t="n"/>
      <c r="K314" s="38" t="n"/>
      <c r="L314" s="38" t="n"/>
      <c r="M314" s="38" t="n"/>
    </row>
    <row r="315">
      <c r="C315" s="38" t="n"/>
      <c r="D315" s="38" t="n"/>
      <c r="E315" s="38" t="n"/>
      <c r="F315" s="38" t="n"/>
      <c r="G315" s="38" t="n"/>
      <c r="H315" s="38" t="n"/>
      <c r="I315" s="38" t="n"/>
      <c r="J315" s="38" t="n"/>
      <c r="K315" s="38" t="n"/>
      <c r="L315" s="38" t="n"/>
      <c r="M315" s="38" t="n"/>
    </row>
    <row r="316">
      <c r="C316" s="38" t="n"/>
      <c r="D316" s="38" t="n"/>
      <c r="E316" s="38" t="n"/>
      <c r="F316" s="38" t="n"/>
      <c r="G316" s="38" t="n"/>
      <c r="H316" s="38" t="n"/>
      <c r="I316" s="38" t="n"/>
      <c r="J316" s="38" t="n"/>
      <c r="K316" s="38" t="n"/>
      <c r="L316" s="38" t="n"/>
      <c r="M316" s="38" t="n"/>
    </row>
    <row r="317">
      <c r="C317" s="38" t="n"/>
      <c r="D317" s="38" t="n"/>
      <c r="E317" s="38" t="n"/>
      <c r="F317" s="38" t="n"/>
      <c r="G317" s="38" t="n"/>
      <c r="H317" s="38" t="n"/>
      <c r="I317" s="38" t="n"/>
      <c r="J317" s="38" t="n"/>
      <c r="K317" s="38" t="n"/>
      <c r="L317" s="38" t="n"/>
      <c r="M317" s="38" t="n"/>
    </row>
    <row r="318">
      <c r="C318" s="38" t="n"/>
      <c r="D318" s="38" t="n"/>
      <c r="E318" s="38" t="n"/>
      <c r="F318" s="38" t="n"/>
      <c r="G318" s="38" t="n"/>
      <c r="H318" s="38" t="n"/>
      <c r="I318" s="38" t="n"/>
      <c r="J318" s="38" t="n"/>
      <c r="K318" s="38" t="n"/>
      <c r="L318" s="38" t="n"/>
      <c r="M318" s="38" t="n"/>
    </row>
    <row r="319">
      <c r="C319" s="38" t="n"/>
      <c r="D319" s="38" t="n"/>
      <c r="E319" s="38" t="n"/>
      <c r="F319" s="38" t="n"/>
      <c r="G319" s="38" t="n"/>
      <c r="H319" s="38" t="n"/>
      <c r="I319" s="38" t="n"/>
      <c r="J319" s="38" t="n"/>
      <c r="K319" s="38" t="n"/>
      <c r="L319" s="38" t="n"/>
      <c r="M319" s="38" t="n"/>
    </row>
    <row r="320">
      <c r="C320" s="38" t="n"/>
      <c r="D320" s="38" t="n"/>
      <c r="E320" s="38" t="n"/>
      <c r="F320" s="38" t="n"/>
      <c r="G320" s="38" t="n"/>
      <c r="H320" s="38" t="n"/>
      <c r="I320" s="38" t="n"/>
      <c r="J320" s="38" t="n"/>
      <c r="K320" s="38" t="n"/>
      <c r="L320" s="38" t="n"/>
      <c r="M320" s="38" t="n"/>
    </row>
    <row r="321">
      <c r="C321" s="38" t="n"/>
      <c r="D321" s="38" t="n"/>
      <c r="E321" s="38" t="n"/>
      <c r="F321" s="38" t="n"/>
      <c r="G321" s="38" t="n"/>
      <c r="H321" s="38" t="n"/>
      <c r="I321" s="38" t="n"/>
      <c r="J321" s="38" t="n"/>
      <c r="K321" s="38" t="n"/>
      <c r="L321" s="38" t="n"/>
      <c r="M321" s="38" t="n"/>
    </row>
    <row r="322">
      <c r="C322" s="38" t="n"/>
      <c r="D322" s="38" t="n"/>
      <c r="E322" s="38" t="n"/>
      <c r="F322" s="38" t="n"/>
      <c r="G322" s="38" t="n"/>
      <c r="H322" s="38" t="n"/>
      <c r="I322" s="38" t="n"/>
      <c r="J322" s="38" t="n"/>
      <c r="K322" s="38" t="n"/>
      <c r="L322" s="38" t="n"/>
      <c r="M322" s="38" t="n"/>
    </row>
    <row r="323">
      <c r="C323" s="38" t="n"/>
      <c r="D323" s="38" t="n"/>
      <c r="E323" s="38" t="n"/>
      <c r="F323" s="38" t="n"/>
      <c r="G323" s="38" t="n"/>
      <c r="H323" s="38" t="n"/>
      <c r="I323" s="38" t="n"/>
      <c r="J323" s="38" t="n"/>
      <c r="K323" s="38" t="n"/>
      <c r="L323" s="38" t="n"/>
      <c r="M323" s="38" t="n"/>
    </row>
    <row r="324">
      <c r="C324" s="38" t="n"/>
      <c r="D324" s="38" t="n"/>
      <c r="E324" s="38" t="n"/>
      <c r="F324" s="38" t="n"/>
      <c r="G324" s="38" t="n"/>
      <c r="H324" s="38" t="n"/>
      <c r="I324" s="38" t="n"/>
      <c r="J324" s="38" t="n"/>
      <c r="K324" s="38" t="n"/>
      <c r="L324" s="38" t="n"/>
      <c r="M324" s="38" t="n"/>
    </row>
    <row r="325">
      <c r="C325" s="38" t="n"/>
      <c r="D325" s="38" t="n"/>
      <c r="E325" s="38" t="n"/>
      <c r="F325" s="38" t="n"/>
      <c r="G325" s="38" t="n"/>
      <c r="H325" s="38" t="n"/>
      <c r="I325" s="38" t="n"/>
      <c r="J325" s="38" t="n"/>
      <c r="K325" s="38" t="n"/>
      <c r="L325" s="38" t="n"/>
      <c r="M325" s="38" t="n"/>
    </row>
    <row r="326">
      <c r="C326" s="38" t="n"/>
      <c r="D326" s="38" t="n"/>
      <c r="E326" s="38" t="n"/>
      <c r="F326" s="38" t="n"/>
      <c r="G326" s="38" t="n"/>
      <c r="H326" s="38" t="n"/>
      <c r="I326" s="38" t="n"/>
      <c r="J326" s="38" t="n"/>
      <c r="K326" s="38" t="n"/>
      <c r="L326" s="38" t="n"/>
      <c r="M326" s="38" t="n"/>
    </row>
    <row r="327">
      <c r="C327" s="38" t="n"/>
      <c r="D327" s="38" t="n"/>
      <c r="E327" s="38" t="n"/>
      <c r="F327" s="38" t="n"/>
      <c r="G327" s="38" t="n"/>
      <c r="H327" s="38" t="n"/>
      <c r="I327" s="38" t="n"/>
      <c r="J327" s="38" t="n"/>
      <c r="K327" s="38" t="n"/>
      <c r="L327" s="38" t="n"/>
      <c r="M327" s="38" t="n"/>
    </row>
    <row r="328">
      <c r="C328" s="38" t="n"/>
      <c r="D328" s="38" t="n"/>
      <c r="E328" s="38" t="n"/>
      <c r="F328" s="38" t="n"/>
      <c r="G328" s="38" t="n"/>
      <c r="H328" s="38" t="n"/>
      <c r="I328" s="38" t="n"/>
      <c r="J328" s="38" t="n"/>
      <c r="K328" s="38" t="n"/>
      <c r="L328" s="38" t="n"/>
      <c r="M328" s="38" t="n"/>
    </row>
    <row r="329">
      <c r="C329" s="38" t="n"/>
      <c r="D329" s="38" t="n"/>
      <c r="E329" s="38" t="n"/>
      <c r="F329" s="38" t="n"/>
      <c r="G329" s="38" t="n"/>
      <c r="H329" s="38" t="n"/>
      <c r="I329" s="38" t="n"/>
      <c r="J329" s="38" t="n"/>
      <c r="K329" s="38" t="n"/>
      <c r="L329" s="38" t="n"/>
      <c r="M329" s="38" t="n"/>
    </row>
    <row r="330">
      <c r="C330" s="38" t="n"/>
      <c r="D330" s="38" t="n"/>
      <c r="E330" s="38" t="n"/>
      <c r="F330" s="38" t="n"/>
      <c r="G330" s="38" t="n"/>
      <c r="H330" s="38" t="n"/>
      <c r="I330" s="38" t="n"/>
      <c r="J330" s="38" t="n"/>
      <c r="K330" s="38" t="n"/>
      <c r="L330" s="38" t="n"/>
      <c r="M330" s="38" t="n"/>
    </row>
    <row r="331">
      <c r="C331" s="38" t="n"/>
      <c r="D331" s="38" t="n"/>
      <c r="E331" s="38" t="n"/>
      <c r="F331" s="38" t="n"/>
      <c r="G331" s="38" t="n"/>
      <c r="H331" s="38" t="n"/>
      <c r="I331" s="38" t="n"/>
      <c r="J331" s="38" t="n"/>
      <c r="K331" s="38" t="n"/>
      <c r="L331" s="38" t="n"/>
      <c r="M331" s="38" t="n"/>
    </row>
    <row r="332">
      <c r="C332" s="38" t="n"/>
      <c r="D332" s="38" t="n"/>
      <c r="E332" s="38" t="n"/>
      <c r="F332" s="38" t="n"/>
      <c r="G332" s="38" t="n"/>
      <c r="H332" s="38" t="n"/>
      <c r="I332" s="38" t="n"/>
      <c r="J332" s="38" t="n"/>
      <c r="K332" s="38" t="n"/>
      <c r="L332" s="38" t="n"/>
      <c r="M332" s="38" t="n"/>
    </row>
    <row r="333">
      <c r="C333" s="38" t="n"/>
      <c r="D333" s="38" t="n"/>
      <c r="E333" s="38" t="n"/>
      <c r="F333" s="38" t="n"/>
      <c r="G333" s="38" t="n"/>
      <c r="H333" s="38" t="n"/>
      <c r="I333" s="38" t="n"/>
      <c r="J333" s="38" t="n"/>
      <c r="K333" s="38" t="n"/>
      <c r="L333" s="38" t="n"/>
      <c r="M333" s="38" t="n"/>
    </row>
    <row r="334">
      <c r="C334" s="38" t="n"/>
      <c r="D334" s="38" t="n"/>
      <c r="E334" s="38" t="n"/>
      <c r="F334" s="38" t="n"/>
      <c r="G334" s="38" t="n"/>
      <c r="H334" s="38" t="n"/>
      <c r="I334" s="38" t="n"/>
      <c r="J334" s="38" t="n"/>
      <c r="K334" s="38" t="n"/>
      <c r="L334" s="38" t="n"/>
      <c r="M334" s="38" t="n"/>
    </row>
    <row r="335">
      <c r="C335" s="38" t="n"/>
      <c r="D335" s="38" t="n"/>
      <c r="E335" s="38" t="n"/>
      <c r="F335" s="38" t="n"/>
      <c r="G335" s="38" t="n"/>
      <c r="H335" s="38" t="n"/>
      <c r="I335" s="38" t="n"/>
      <c r="J335" s="38" t="n"/>
      <c r="K335" s="38" t="n"/>
      <c r="L335" s="38" t="n"/>
      <c r="M335" s="38" t="n"/>
    </row>
    <row r="336">
      <c r="C336" s="38" t="n"/>
      <c r="D336" s="38" t="n"/>
      <c r="E336" s="38" t="n"/>
      <c r="F336" s="38" t="n"/>
      <c r="G336" s="38" t="n"/>
      <c r="H336" s="38" t="n"/>
      <c r="I336" s="38" t="n"/>
      <c r="J336" s="38" t="n"/>
      <c r="K336" s="38" t="n"/>
      <c r="L336" s="38" t="n"/>
      <c r="M336" s="38" t="n"/>
    </row>
    <row r="337">
      <c r="C337" s="38" t="n"/>
      <c r="D337" s="38" t="n"/>
      <c r="E337" s="38" t="n"/>
      <c r="F337" s="38" t="n"/>
      <c r="G337" s="38" t="n"/>
      <c r="H337" s="38" t="n"/>
      <c r="I337" s="38" t="n"/>
      <c r="J337" s="38" t="n"/>
      <c r="K337" s="38" t="n"/>
      <c r="L337" s="38" t="n"/>
      <c r="M337" s="38" t="n"/>
    </row>
    <row r="338">
      <c r="C338" s="38" t="n"/>
      <c r="D338" s="38" t="n"/>
      <c r="E338" s="38" t="n"/>
      <c r="F338" s="38" t="n"/>
      <c r="G338" s="38" t="n"/>
      <c r="H338" s="38" t="n"/>
      <c r="I338" s="38" t="n"/>
      <c r="J338" s="38" t="n"/>
      <c r="K338" s="38" t="n"/>
      <c r="L338" s="38" t="n"/>
      <c r="M338" s="38" t="n"/>
    </row>
    <row r="339">
      <c r="C339" s="38" t="n"/>
      <c r="D339" s="38" t="n"/>
      <c r="E339" s="38" t="n"/>
      <c r="F339" s="38" t="n"/>
      <c r="G339" s="38" t="n"/>
      <c r="H339" s="38" t="n"/>
      <c r="I339" s="38" t="n"/>
      <c r="J339" s="38" t="n"/>
      <c r="K339" s="38" t="n"/>
      <c r="L339" s="38" t="n"/>
      <c r="M339" s="38" t="n"/>
    </row>
    <row r="340">
      <c r="C340" s="38" t="n"/>
      <c r="D340" s="38" t="n"/>
      <c r="E340" s="38" t="n"/>
      <c r="F340" s="38" t="n"/>
      <c r="G340" s="38" t="n"/>
      <c r="H340" s="38" t="n"/>
      <c r="I340" s="38" t="n"/>
      <c r="J340" s="38" t="n"/>
      <c r="K340" s="38" t="n"/>
      <c r="L340" s="38" t="n"/>
      <c r="M340" s="38" t="n"/>
    </row>
    <row r="341">
      <c r="C341" s="38" t="n"/>
      <c r="D341" s="38" t="n"/>
      <c r="E341" s="38" t="n"/>
      <c r="F341" s="38" t="n"/>
      <c r="G341" s="38" t="n"/>
      <c r="H341" s="38" t="n"/>
      <c r="I341" s="38" t="n"/>
      <c r="J341" s="38" t="n"/>
      <c r="K341" s="38" t="n"/>
      <c r="L341" s="38" t="n"/>
      <c r="M341" s="38" t="n"/>
    </row>
    <row r="342">
      <c r="C342" s="38" t="n"/>
      <c r="D342" s="38" t="n"/>
      <c r="E342" s="38" t="n"/>
      <c r="F342" s="38" t="n"/>
      <c r="G342" s="38" t="n"/>
      <c r="H342" s="38" t="n"/>
      <c r="I342" s="38" t="n"/>
      <c r="J342" s="38" t="n"/>
      <c r="K342" s="38" t="n"/>
      <c r="L342" s="38" t="n"/>
      <c r="M342" s="38" t="n"/>
    </row>
    <row r="343">
      <c r="C343" s="38" t="n"/>
      <c r="D343" s="38" t="n"/>
      <c r="E343" s="38" t="n"/>
      <c r="F343" s="38" t="n"/>
      <c r="G343" s="38" t="n"/>
      <c r="H343" s="38" t="n"/>
      <c r="I343" s="38" t="n"/>
      <c r="J343" s="38" t="n"/>
      <c r="K343" s="38" t="n"/>
      <c r="L343" s="38" t="n"/>
      <c r="M343" s="38" t="n"/>
    </row>
    <row r="344">
      <c r="C344" s="38" t="n"/>
      <c r="D344" s="38" t="n"/>
      <c r="E344" s="38" t="n"/>
      <c r="F344" s="38" t="n"/>
      <c r="G344" s="38" t="n"/>
      <c r="H344" s="38" t="n"/>
      <c r="I344" s="38" t="n"/>
      <c r="J344" s="38" t="n"/>
      <c r="K344" s="38" t="n"/>
      <c r="L344" s="38" t="n"/>
      <c r="M344" s="38" t="n"/>
    </row>
    <row r="345">
      <c r="C345" s="38" t="n"/>
      <c r="D345" s="38" t="n"/>
      <c r="E345" s="38" t="n"/>
      <c r="F345" s="38" t="n"/>
      <c r="G345" s="38" t="n"/>
      <c r="H345" s="38" t="n"/>
      <c r="I345" s="38" t="n"/>
      <c r="J345" s="38" t="n"/>
      <c r="K345" s="38" t="n"/>
      <c r="L345" s="38" t="n"/>
      <c r="M345" s="38" t="n"/>
    </row>
    <row r="346">
      <c r="C346" s="38" t="n"/>
      <c r="D346" s="38" t="n"/>
      <c r="E346" s="38" t="n"/>
      <c r="F346" s="38" t="n"/>
      <c r="G346" s="38" t="n"/>
      <c r="H346" s="38" t="n"/>
      <c r="I346" s="38" t="n"/>
      <c r="J346" s="38" t="n"/>
      <c r="K346" s="38" t="n"/>
      <c r="L346" s="38" t="n"/>
      <c r="M346" s="38" t="n"/>
    </row>
    <row r="347">
      <c r="C347" s="38" t="n"/>
      <c r="D347" s="38" t="n"/>
      <c r="E347" s="38" t="n"/>
      <c r="F347" s="38" t="n"/>
      <c r="G347" s="38" t="n"/>
      <c r="H347" s="38" t="n"/>
      <c r="I347" s="38" t="n"/>
      <c r="J347" s="38" t="n"/>
      <c r="K347" s="38" t="n"/>
      <c r="L347" s="38" t="n"/>
      <c r="M347" s="38" t="n"/>
    </row>
    <row r="348">
      <c r="C348" s="38" t="n"/>
      <c r="D348" s="38" t="n"/>
      <c r="E348" s="38" t="n"/>
      <c r="F348" s="38" t="n"/>
      <c r="G348" s="38" t="n"/>
      <c r="H348" s="38" t="n"/>
      <c r="I348" s="38" t="n"/>
      <c r="J348" s="38" t="n"/>
      <c r="K348" s="38" t="n"/>
      <c r="L348" s="38" t="n"/>
      <c r="M348" s="38" t="n"/>
    </row>
    <row r="349">
      <c r="C349" s="38" t="n"/>
      <c r="D349" s="38" t="n"/>
      <c r="E349" s="38" t="n"/>
      <c r="F349" s="38" t="n"/>
      <c r="G349" s="38" t="n"/>
      <c r="H349" s="38" t="n"/>
      <c r="I349" s="38" t="n"/>
      <c r="J349" s="38" t="n"/>
      <c r="K349" s="38" t="n"/>
      <c r="L349" s="38" t="n"/>
      <c r="M349" s="38" t="n"/>
    </row>
    <row r="350">
      <c r="C350" s="38" t="n"/>
      <c r="D350" s="38" t="n"/>
      <c r="E350" s="38" t="n"/>
      <c r="F350" s="38" t="n"/>
      <c r="G350" s="38" t="n"/>
      <c r="H350" s="38" t="n"/>
      <c r="I350" s="38" t="n"/>
      <c r="J350" s="38" t="n"/>
      <c r="K350" s="38" t="n"/>
      <c r="L350" s="38" t="n"/>
      <c r="M350" s="38" t="n"/>
    </row>
    <row r="351">
      <c r="C351" s="38" t="n"/>
      <c r="D351" s="38" t="n"/>
      <c r="E351" s="38" t="n"/>
      <c r="F351" s="38" t="n"/>
      <c r="G351" s="38" t="n"/>
      <c r="H351" s="38" t="n"/>
      <c r="I351" s="38" t="n"/>
      <c r="J351" s="38" t="n"/>
      <c r="K351" s="38" t="n"/>
      <c r="L351" s="38" t="n"/>
      <c r="M351" s="38" t="n"/>
    </row>
    <row r="352">
      <c r="C352" s="38" t="n"/>
      <c r="D352" s="38" t="n"/>
      <c r="E352" s="38" t="n"/>
      <c r="F352" s="38" t="n"/>
      <c r="G352" s="38" t="n"/>
      <c r="H352" s="38" t="n"/>
      <c r="I352" s="38" t="n"/>
      <c r="J352" s="38" t="n"/>
      <c r="K352" s="38" t="n"/>
      <c r="L352" s="38" t="n"/>
      <c r="M352" s="38" t="n"/>
    </row>
    <row r="353">
      <c r="C353" s="38" t="n"/>
      <c r="D353" s="38" t="n"/>
      <c r="E353" s="38" t="n"/>
      <c r="F353" s="38" t="n"/>
      <c r="G353" s="38" t="n"/>
      <c r="H353" s="38" t="n"/>
      <c r="I353" s="38" t="n"/>
      <c r="J353" s="38" t="n"/>
      <c r="K353" s="38" t="n"/>
      <c r="L353" s="38" t="n"/>
      <c r="M353" s="38" t="n"/>
    </row>
    <row r="354">
      <c r="C354" s="38" t="n"/>
      <c r="D354" s="38" t="n"/>
      <c r="E354" s="38" t="n"/>
      <c r="F354" s="38" t="n"/>
      <c r="G354" s="38" t="n"/>
      <c r="H354" s="38" t="n"/>
      <c r="I354" s="38" t="n"/>
      <c r="J354" s="38" t="n"/>
      <c r="K354" s="38" t="n"/>
      <c r="L354" s="38" t="n"/>
      <c r="M354" s="38" t="n"/>
    </row>
    <row r="355">
      <c r="C355" s="38" t="n"/>
      <c r="D355" s="38" t="n"/>
      <c r="E355" s="38" t="n"/>
      <c r="F355" s="38" t="n"/>
      <c r="G355" s="38" t="n"/>
      <c r="H355" s="38" t="n"/>
      <c r="I355" s="38" t="n"/>
      <c r="J355" s="38" t="n"/>
      <c r="K355" s="38" t="n"/>
      <c r="L355" s="38" t="n"/>
      <c r="M355" s="38" t="n"/>
    </row>
    <row r="356">
      <c r="C356" s="38" t="n"/>
      <c r="D356" s="38" t="n"/>
      <c r="E356" s="38" t="n"/>
      <c r="F356" s="38" t="n"/>
      <c r="G356" s="38" t="n"/>
      <c r="H356" s="38" t="n"/>
      <c r="I356" s="38" t="n"/>
      <c r="J356" s="38" t="n"/>
      <c r="K356" s="38" t="n"/>
      <c r="L356" s="38" t="n"/>
      <c r="M356" s="38" t="n"/>
    </row>
    <row r="357">
      <c r="C357" s="38" t="n"/>
      <c r="D357" s="38" t="n"/>
      <c r="E357" s="38" t="n"/>
      <c r="F357" s="38" t="n"/>
      <c r="G357" s="38" t="n"/>
      <c r="H357" s="38" t="n"/>
      <c r="I357" s="38" t="n"/>
      <c r="J357" s="38" t="n"/>
      <c r="K357" s="38" t="n"/>
      <c r="L357" s="38" t="n"/>
      <c r="M357" s="38" t="n"/>
    </row>
    <row r="358">
      <c r="C358" s="38" t="n"/>
      <c r="D358" s="38" t="n"/>
      <c r="E358" s="38" t="n"/>
      <c r="F358" s="38" t="n"/>
      <c r="G358" s="38" t="n"/>
      <c r="H358" s="38" t="n"/>
      <c r="I358" s="38" t="n"/>
      <c r="J358" s="38" t="n"/>
      <c r="K358" s="38" t="n"/>
      <c r="L358" s="38" t="n"/>
      <c r="M358" s="38" t="n"/>
    </row>
    <row r="359">
      <c r="C359" s="38" t="n"/>
      <c r="D359" s="38" t="n"/>
      <c r="E359" s="38" t="n"/>
      <c r="F359" s="38" t="n"/>
      <c r="G359" s="38" t="n"/>
      <c r="H359" s="38" t="n"/>
      <c r="I359" s="38" t="n"/>
      <c r="J359" s="38" t="n"/>
      <c r="K359" s="38" t="n"/>
      <c r="L359" s="38" t="n"/>
      <c r="M359" s="38" t="n"/>
    </row>
    <row r="360">
      <c r="C360" s="38" t="n"/>
      <c r="D360" s="38" t="n"/>
      <c r="E360" s="38" t="n"/>
      <c r="F360" s="38" t="n"/>
      <c r="G360" s="38" t="n"/>
      <c r="H360" s="38" t="n"/>
      <c r="I360" s="38" t="n"/>
      <c r="J360" s="38" t="n"/>
      <c r="K360" s="38" t="n"/>
      <c r="L360" s="38" t="n"/>
      <c r="M360" s="38" t="n"/>
    </row>
    <row r="361">
      <c r="C361" s="38" t="n"/>
      <c r="D361" s="38" t="n"/>
      <c r="E361" s="38" t="n"/>
      <c r="F361" s="38" t="n"/>
      <c r="G361" s="38" t="n"/>
      <c r="H361" s="38" t="n"/>
      <c r="I361" s="38" t="n"/>
      <c r="J361" s="38" t="n"/>
      <c r="K361" s="38" t="n"/>
      <c r="L361" s="38" t="n"/>
      <c r="M361" s="38" t="n"/>
    </row>
    <row r="362">
      <c r="C362" s="38" t="n"/>
      <c r="D362" s="38" t="n"/>
      <c r="E362" s="38" t="n"/>
      <c r="F362" s="38" t="n"/>
      <c r="G362" s="38" t="n"/>
      <c r="H362" s="38" t="n"/>
      <c r="I362" s="38" t="n"/>
      <c r="J362" s="38" t="n"/>
      <c r="K362" s="38" t="n"/>
      <c r="L362" s="38" t="n"/>
      <c r="M362" s="38" t="n"/>
    </row>
    <row r="363">
      <c r="C363" s="38" t="n"/>
      <c r="D363" s="38" t="n"/>
      <c r="E363" s="38" t="n"/>
      <c r="F363" s="38" t="n"/>
      <c r="G363" s="38" t="n"/>
      <c r="H363" s="38" t="n"/>
      <c r="I363" s="38" t="n"/>
      <c r="J363" s="38" t="n"/>
      <c r="K363" s="38" t="n"/>
      <c r="L363" s="38" t="n"/>
      <c r="M363" s="38" t="n"/>
    </row>
    <row r="364">
      <c r="C364" s="38" t="n"/>
      <c r="D364" s="38" t="n"/>
      <c r="E364" s="38" t="n"/>
      <c r="F364" s="38" t="n"/>
      <c r="G364" s="38" t="n"/>
      <c r="H364" s="38" t="n"/>
      <c r="I364" s="38" t="n"/>
      <c r="J364" s="38" t="n"/>
      <c r="K364" s="38" t="n"/>
      <c r="L364" s="38" t="n"/>
      <c r="M364" s="38" t="n"/>
    </row>
    <row r="365">
      <c r="C365" s="38" t="n"/>
      <c r="D365" s="38" t="n"/>
      <c r="E365" s="38" t="n"/>
      <c r="F365" s="38" t="n"/>
      <c r="G365" s="38" t="n"/>
      <c r="H365" s="38" t="n"/>
      <c r="I365" s="38" t="n"/>
      <c r="J365" s="38" t="n"/>
      <c r="K365" s="38" t="n"/>
      <c r="L365" s="38" t="n"/>
      <c r="M365" s="38" t="n"/>
    </row>
    <row r="366">
      <c r="C366" s="38" t="n"/>
      <c r="D366" s="38" t="n"/>
      <c r="E366" s="38" t="n"/>
      <c r="F366" s="38" t="n"/>
      <c r="G366" s="38" t="n"/>
      <c r="H366" s="38" t="n"/>
      <c r="I366" s="38" t="n"/>
      <c r="J366" s="38" t="n"/>
      <c r="K366" s="38" t="n"/>
      <c r="L366" s="38" t="n"/>
      <c r="M366" s="38" t="n"/>
    </row>
    <row r="367">
      <c r="C367" s="38" t="n"/>
      <c r="D367" s="38" t="n"/>
      <c r="E367" s="38" t="n"/>
      <c r="F367" s="38" t="n"/>
      <c r="G367" s="38" t="n"/>
      <c r="H367" s="38" t="n"/>
      <c r="I367" s="38" t="n"/>
      <c r="J367" s="38" t="n"/>
      <c r="K367" s="38" t="n"/>
      <c r="L367" s="38" t="n"/>
      <c r="M367" s="38" t="n"/>
    </row>
    <row r="368">
      <c r="C368" s="38" t="n"/>
      <c r="D368" s="38" t="n"/>
      <c r="E368" s="38" t="n"/>
      <c r="F368" s="38" t="n"/>
      <c r="G368" s="38" t="n"/>
      <c r="H368" s="38" t="n"/>
      <c r="I368" s="38" t="n"/>
      <c r="J368" s="38" t="n"/>
      <c r="K368" s="38" t="n"/>
      <c r="L368" s="38" t="n"/>
      <c r="M368" s="38" t="n"/>
    </row>
    <row r="369">
      <c r="C369" s="38" t="n"/>
      <c r="D369" s="38" t="n"/>
      <c r="E369" s="38" t="n"/>
      <c r="F369" s="38" t="n"/>
      <c r="G369" s="38" t="n"/>
      <c r="H369" s="38" t="n"/>
      <c r="I369" s="38" t="n"/>
      <c r="J369" s="38" t="n"/>
      <c r="K369" s="38" t="n"/>
      <c r="L369" s="38" t="n"/>
      <c r="M369" s="38" t="n"/>
    </row>
    <row r="370">
      <c r="C370" s="38" t="n"/>
      <c r="D370" s="38" t="n"/>
      <c r="E370" s="38" t="n"/>
      <c r="F370" s="38" t="n"/>
      <c r="G370" s="38" t="n"/>
      <c r="H370" s="38" t="n"/>
      <c r="I370" s="38" t="n"/>
      <c r="J370" s="38" t="n"/>
      <c r="K370" s="38" t="n"/>
      <c r="L370" s="38" t="n"/>
      <c r="M370" s="38" t="n"/>
    </row>
    <row r="371">
      <c r="C371" s="38" t="n"/>
      <c r="D371" s="38" t="n"/>
      <c r="E371" s="38" t="n"/>
      <c r="F371" s="38" t="n"/>
      <c r="G371" s="38" t="n"/>
      <c r="H371" s="38" t="n"/>
      <c r="I371" s="38" t="n"/>
      <c r="J371" s="38" t="n"/>
      <c r="K371" s="38" t="n"/>
      <c r="L371" s="38" t="n"/>
      <c r="M371" s="38" t="n"/>
    </row>
    <row r="372">
      <c r="C372" s="38" t="n"/>
      <c r="D372" s="38" t="n"/>
      <c r="E372" s="38" t="n"/>
      <c r="F372" s="38" t="n"/>
      <c r="G372" s="38" t="n"/>
      <c r="H372" s="38" t="n"/>
      <c r="I372" s="38" t="n"/>
      <c r="J372" s="38" t="n"/>
      <c r="K372" s="38" t="n"/>
      <c r="L372" s="38" t="n"/>
      <c r="M372" s="38" t="n"/>
    </row>
    <row r="373">
      <c r="C373" s="38" t="n"/>
      <c r="D373" s="38" t="n"/>
      <c r="E373" s="38" t="n"/>
      <c r="F373" s="38" t="n"/>
      <c r="G373" s="38" t="n"/>
      <c r="H373" s="38" t="n"/>
      <c r="I373" s="38" t="n"/>
      <c r="J373" s="38" t="n"/>
      <c r="K373" s="38" t="n"/>
      <c r="L373" s="38" t="n"/>
      <c r="M373" s="38" t="n"/>
    </row>
    <row r="374">
      <c r="C374" s="38" t="n"/>
      <c r="D374" s="38" t="n"/>
      <c r="E374" s="38" t="n"/>
      <c r="F374" s="38" t="n"/>
      <c r="G374" s="38" t="n"/>
      <c r="H374" s="38" t="n"/>
      <c r="I374" s="38" t="n"/>
      <c r="J374" s="38" t="n"/>
      <c r="K374" s="38" t="n"/>
      <c r="L374" s="38" t="n"/>
      <c r="M374" s="38" t="n"/>
    </row>
    <row r="375">
      <c r="C375" s="38" t="n"/>
      <c r="D375" s="38" t="n"/>
      <c r="E375" s="38" t="n"/>
      <c r="F375" s="38" t="n"/>
      <c r="G375" s="38" t="n"/>
      <c r="H375" s="38" t="n"/>
      <c r="I375" s="38" t="n"/>
      <c r="J375" s="38" t="n"/>
      <c r="K375" s="38" t="n"/>
      <c r="L375" s="38" t="n"/>
      <c r="M375" s="38" t="n"/>
    </row>
    <row r="376">
      <c r="C376" s="38" t="n"/>
      <c r="D376" s="38" t="n"/>
      <c r="E376" s="38" t="n"/>
      <c r="F376" s="38" t="n"/>
      <c r="G376" s="38" t="n"/>
      <c r="H376" s="38" t="n"/>
      <c r="I376" s="38" t="n"/>
      <c r="J376" s="38" t="n"/>
      <c r="K376" s="38" t="n"/>
      <c r="L376" s="38" t="n"/>
      <c r="M376" s="38" t="n"/>
    </row>
    <row r="377">
      <c r="C377" s="38" t="n"/>
      <c r="D377" s="38" t="n"/>
      <c r="E377" s="38" t="n"/>
      <c r="F377" s="38" t="n"/>
      <c r="G377" s="38" t="n"/>
      <c r="H377" s="38" t="n"/>
      <c r="I377" s="38" t="n"/>
      <c r="J377" s="38" t="n"/>
      <c r="K377" s="38" t="n"/>
      <c r="L377" s="38" t="n"/>
      <c r="M377" s="38" t="n"/>
    </row>
    <row r="378">
      <c r="C378" s="38" t="n"/>
      <c r="D378" s="38" t="n"/>
      <c r="E378" s="38" t="n"/>
      <c r="F378" s="38" t="n"/>
      <c r="G378" s="38" t="n"/>
      <c r="H378" s="38" t="n"/>
      <c r="I378" s="38" t="n"/>
      <c r="J378" s="38" t="n"/>
      <c r="K378" s="38" t="n"/>
      <c r="L378" s="38" t="n"/>
      <c r="M378" s="38" t="n"/>
    </row>
    <row r="379">
      <c r="C379" s="38" t="n"/>
      <c r="D379" s="38" t="n"/>
      <c r="E379" s="38" t="n"/>
      <c r="F379" s="38" t="n"/>
      <c r="G379" s="38" t="n"/>
      <c r="H379" s="38" t="n"/>
      <c r="I379" s="38" t="n"/>
      <c r="J379" s="38" t="n"/>
      <c r="K379" s="38" t="n"/>
      <c r="L379" s="38" t="n"/>
      <c r="M379" s="38" t="n"/>
    </row>
    <row r="380">
      <c r="C380" s="38" t="n"/>
      <c r="D380" s="38" t="n"/>
      <c r="E380" s="38" t="n"/>
      <c r="F380" s="38" t="n"/>
      <c r="G380" s="38" t="n"/>
      <c r="H380" s="38" t="n"/>
      <c r="I380" s="38" t="n"/>
      <c r="J380" s="38" t="n"/>
      <c r="K380" s="38" t="n"/>
      <c r="L380" s="38" t="n"/>
      <c r="M380" s="38" t="n"/>
    </row>
    <row r="381">
      <c r="C381" s="38" t="n"/>
      <c r="D381" s="38" t="n"/>
      <c r="E381" s="38" t="n"/>
      <c r="F381" s="38" t="n"/>
      <c r="G381" s="38" t="n"/>
      <c r="H381" s="38" t="n"/>
      <c r="I381" s="38" t="n"/>
      <c r="J381" s="38" t="n"/>
      <c r="K381" s="38" t="n"/>
      <c r="L381" s="38" t="n"/>
      <c r="M381" s="38" t="n"/>
    </row>
    <row r="382">
      <c r="C382" s="38" t="n"/>
      <c r="D382" s="38" t="n"/>
      <c r="E382" s="38" t="n"/>
      <c r="F382" s="38" t="n"/>
      <c r="G382" s="38" t="n"/>
      <c r="H382" s="38" t="n"/>
      <c r="I382" s="38" t="n"/>
      <c r="J382" s="38" t="n"/>
      <c r="K382" s="38" t="n"/>
      <c r="L382" s="38" t="n"/>
      <c r="M382" s="38" t="n"/>
    </row>
    <row r="383">
      <c r="C383" s="38" t="n"/>
      <c r="D383" s="38" t="n"/>
      <c r="E383" s="38" t="n"/>
      <c r="F383" s="38" t="n"/>
      <c r="G383" s="38" t="n"/>
      <c r="H383" s="38" t="n"/>
      <c r="I383" s="38" t="n"/>
      <c r="J383" s="38" t="n"/>
      <c r="K383" s="38" t="n"/>
      <c r="L383" s="38" t="n"/>
      <c r="M383" s="38" t="n"/>
    </row>
    <row r="384">
      <c r="C384" s="38" t="n"/>
      <c r="D384" s="38" t="n"/>
      <c r="E384" s="38" t="n"/>
      <c r="F384" s="38" t="n"/>
      <c r="G384" s="38" t="n"/>
      <c r="H384" s="38" t="n"/>
      <c r="I384" s="38" t="n"/>
      <c r="J384" s="38" t="n"/>
      <c r="K384" s="38" t="n"/>
      <c r="L384" s="38" t="n"/>
      <c r="M384" s="38" t="n"/>
    </row>
    <row r="385">
      <c r="C385" s="38" t="n"/>
      <c r="D385" s="38" t="n"/>
      <c r="E385" s="38" t="n"/>
      <c r="F385" s="38" t="n"/>
      <c r="G385" s="38" t="n"/>
      <c r="H385" s="38" t="n"/>
      <c r="I385" s="38" t="n"/>
      <c r="J385" s="38" t="n"/>
      <c r="K385" s="38" t="n"/>
      <c r="L385" s="38" t="n"/>
      <c r="M385" s="38" t="n"/>
    </row>
    <row r="386">
      <c r="C386" s="38" t="n"/>
      <c r="D386" s="38" t="n"/>
      <c r="E386" s="38" t="n"/>
      <c r="F386" s="38" t="n"/>
      <c r="G386" s="38" t="n"/>
      <c r="H386" s="38" t="n"/>
      <c r="I386" s="38" t="n"/>
      <c r="J386" s="38" t="n"/>
      <c r="K386" s="38" t="n"/>
      <c r="L386" s="38" t="n"/>
      <c r="M386" s="38" t="n"/>
    </row>
    <row r="387">
      <c r="C387" s="38" t="n"/>
      <c r="D387" s="38" t="n"/>
      <c r="E387" s="38" t="n"/>
      <c r="F387" s="38" t="n"/>
      <c r="G387" s="38" t="n"/>
      <c r="H387" s="38" t="n"/>
      <c r="I387" s="38" t="n"/>
      <c r="J387" s="38" t="n"/>
      <c r="K387" s="38" t="n"/>
      <c r="L387" s="38" t="n"/>
      <c r="M387" s="38" t="n"/>
    </row>
    <row r="388">
      <c r="C388" s="38" t="n"/>
      <c r="D388" s="38" t="n"/>
      <c r="E388" s="38" t="n"/>
      <c r="F388" s="38" t="n"/>
      <c r="G388" s="38" t="n"/>
      <c r="H388" s="38" t="n"/>
      <c r="I388" s="38" t="n"/>
      <c r="J388" s="38" t="n"/>
      <c r="K388" s="38" t="n"/>
      <c r="L388" s="38" t="n"/>
      <c r="M388" s="38" t="n"/>
    </row>
    <row r="389">
      <c r="C389" s="38" t="n"/>
      <c r="D389" s="38" t="n"/>
      <c r="E389" s="38" t="n"/>
      <c r="F389" s="38" t="n"/>
      <c r="G389" s="38" t="n"/>
      <c r="H389" s="38" t="n"/>
      <c r="I389" s="38" t="n"/>
      <c r="J389" s="38" t="n"/>
      <c r="K389" s="38" t="n"/>
      <c r="L389" s="38" t="n"/>
      <c r="M389" s="38" t="n"/>
    </row>
    <row r="390">
      <c r="C390" s="38" t="n"/>
      <c r="D390" s="38" t="n"/>
      <c r="E390" s="38" t="n"/>
      <c r="F390" s="38" t="n"/>
      <c r="G390" s="38" t="n"/>
      <c r="H390" s="38" t="n"/>
      <c r="I390" s="38" t="n"/>
      <c r="J390" s="38" t="n"/>
      <c r="K390" s="38" t="n"/>
      <c r="L390" s="38" t="n"/>
      <c r="M390" s="38" t="n"/>
    </row>
    <row r="391">
      <c r="C391" s="38" t="n"/>
      <c r="D391" s="38" t="n"/>
      <c r="E391" s="38" t="n"/>
      <c r="F391" s="38" t="n"/>
      <c r="G391" s="38" t="n"/>
      <c r="H391" s="38" t="n"/>
      <c r="I391" s="38" t="n"/>
      <c r="J391" s="38" t="n"/>
      <c r="K391" s="38" t="n"/>
      <c r="L391" s="38" t="n"/>
      <c r="M391" s="38" t="n"/>
    </row>
    <row r="392">
      <c r="C392" s="38" t="n"/>
      <c r="D392" s="38" t="n"/>
      <c r="E392" s="38" t="n"/>
      <c r="F392" s="38" t="n"/>
      <c r="G392" s="38" t="n"/>
      <c r="H392" s="38" t="n"/>
      <c r="I392" s="38" t="n"/>
      <c r="J392" s="38" t="n"/>
      <c r="K392" s="38" t="n"/>
      <c r="L392" s="38" t="n"/>
      <c r="M392" s="38" t="n"/>
    </row>
    <row r="393">
      <c r="C393" s="38" t="n"/>
      <c r="D393" s="38" t="n"/>
      <c r="E393" s="38" t="n"/>
      <c r="F393" s="38" t="n"/>
      <c r="G393" s="38" t="n"/>
      <c r="H393" s="38" t="n"/>
      <c r="I393" s="38" t="n"/>
      <c r="J393" s="38" t="n"/>
      <c r="K393" s="38" t="n"/>
      <c r="L393" s="38" t="n"/>
      <c r="M393" s="38" t="n"/>
    </row>
    <row r="394">
      <c r="C394" s="38" t="n"/>
      <c r="D394" s="38" t="n"/>
      <c r="E394" s="38" t="n"/>
      <c r="F394" s="38" t="n"/>
      <c r="G394" s="38" t="n"/>
      <c r="H394" s="38" t="n"/>
      <c r="I394" s="38" t="n"/>
      <c r="J394" s="38" t="n"/>
      <c r="K394" s="38" t="n"/>
      <c r="L394" s="38" t="n"/>
      <c r="M394" s="38" t="n"/>
    </row>
    <row r="395">
      <c r="C395" s="38" t="n"/>
      <c r="D395" s="38" t="n"/>
      <c r="E395" s="38" t="n"/>
      <c r="F395" s="38" t="n"/>
      <c r="G395" s="38" t="n"/>
      <c r="H395" s="38" t="n"/>
      <c r="I395" s="38" t="n"/>
      <c r="J395" s="38" t="n"/>
      <c r="K395" s="38" t="n"/>
      <c r="L395" s="38" t="n"/>
      <c r="M395" s="38" t="n"/>
    </row>
    <row r="396">
      <c r="C396" s="38" t="n"/>
      <c r="D396" s="38" t="n"/>
      <c r="E396" s="38" t="n"/>
      <c r="F396" s="38" t="n"/>
      <c r="G396" s="38" t="n"/>
      <c r="H396" s="38" t="n"/>
      <c r="I396" s="38" t="n"/>
      <c r="J396" s="38" t="n"/>
      <c r="K396" s="38" t="n"/>
      <c r="L396" s="38" t="n"/>
      <c r="M396" s="38" t="n"/>
    </row>
    <row r="397">
      <c r="C397" s="38" t="n"/>
      <c r="D397" s="38" t="n"/>
      <c r="E397" s="38" t="n"/>
      <c r="F397" s="38" t="n"/>
      <c r="G397" s="38" t="n"/>
      <c r="H397" s="38" t="n"/>
      <c r="I397" s="38" t="n"/>
      <c r="J397" s="38" t="n"/>
      <c r="K397" s="38" t="n"/>
      <c r="L397" s="38" t="n"/>
      <c r="M397" s="38" t="n"/>
    </row>
    <row r="398">
      <c r="C398" s="38" t="n"/>
      <c r="D398" s="38" t="n"/>
      <c r="E398" s="38" t="n"/>
      <c r="F398" s="38" t="n"/>
      <c r="G398" s="38" t="n"/>
      <c r="H398" s="38" t="n"/>
      <c r="I398" s="38" t="n"/>
      <c r="J398" s="38" t="n"/>
      <c r="K398" s="38" t="n"/>
      <c r="L398" s="38" t="n"/>
      <c r="M398" s="38" t="n"/>
    </row>
    <row r="399">
      <c r="C399" s="38" t="n"/>
      <c r="D399" s="38" t="n"/>
      <c r="E399" s="38" t="n"/>
      <c r="F399" s="38" t="n"/>
      <c r="G399" s="38" t="n"/>
      <c r="H399" s="38" t="n"/>
      <c r="I399" s="38" t="n"/>
      <c r="J399" s="38" t="n"/>
      <c r="K399" s="38" t="n"/>
      <c r="L399" s="38" t="n"/>
      <c r="M399" s="38" t="n"/>
    </row>
    <row r="400">
      <c r="C400" s="38" t="n"/>
      <c r="D400" s="38" t="n"/>
      <c r="E400" s="38" t="n"/>
      <c r="F400" s="38" t="n"/>
      <c r="G400" s="38" t="n"/>
      <c r="H400" s="38" t="n"/>
      <c r="I400" s="38" t="n"/>
      <c r="J400" s="38" t="n"/>
      <c r="K400" s="38" t="n"/>
      <c r="L400" s="38" t="n"/>
      <c r="M400" s="38" t="n"/>
    </row>
    <row r="401">
      <c r="C401" s="38" t="n"/>
      <c r="D401" s="38" t="n"/>
      <c r="E401" s="38" t="n"/>
      <c r="F401" s="38" t="n"/>
      <c r="G401" s="38" t="n"/>
      <c r="H401" s="38" t="n"/>
      <c r="I401" s="38" t="n"/>
      <c r="J401" s="38" t="n"/>
      <c r="K401" s="38" t="n"/>
      <c r="L401" s="38" t="n"/>
      <c r="M401" s="38" t="n"/>
    </row>
    <row r="402">
      <c r="C402" s="38" t="n"/>
      <c r="D402" s="38" t="n"/>
      <c r="E402" s="38" t="n"/>
      <c r="F402" s="38" t="n"/>
      <c r="G402" s="38" t="n"/>
      <c r="H402" s="38" t="n"/>
      <c r="I402" s="38" t="n"/>
      <c r="J402" s="38" t="n"/>
      <c r="K402" s="38" t="n"/>
      <c r="L402" s="38" t="n"/>
      <c r="M402" s="38" t="n"/>
    </row>
    <row r="403">
      <c r="C403" s="38" t="n"/>
      <c r="D403" s="38" t="n"/>
      <c r="E403" s="38" t="n"/>
      <c r="F403" s="38" t="n"/>
      <c r="G403" s="38" t="n"/>
      <c r="H403" s="38" t="n"/>
      <c r="I403" s="38" t="n"/>
      <c r="J403" s="38" t="n"/>
      <c r="K403" s="38" t="n"/>
      <c r="L403" s="38" t="n"/>
      <c r="M403" s="38" t="n"/>
    </row>
    <row r="404">
      <c r="C404" s="38" t="n"/>
      <c r="D404" s="38" t="n"/>
      <c r="E404" s="38" t="n"/>
      <c r="F404" s="38" t="n"/>
      <c r="G404" s="38" t="n"/>
      <c r="H404" s="38" t="n"/>
      <c r="I404" s="38" t="n"/>
      <c r="J404" s="38" t="n"/>
      <c r="K404" s="38" t="n"/>
      <c r="L404" s="38" t="n"/>
      <c r="M404" s="38" t="n"/>
    </row>
    <row r="405">
      <c r="C405" s="38" t="n"/>
      <c r="D405" s="38" t="n"/>
      <c r="E405" s="38" t="n"/>
      <c r="F405" s="38" t="n"/>
      <c r="G405" s="38" t="n"/>
      <c r="H405" s="38" t="n"/>
      <c r="I405" s="38" t="n"/>
      <c r="J405" s="38" t="n"/>
      <c r="K405" s="38" t="n"/>
      <c r="L405" s="38" t="n"/>
      <c r="M405" s="38" t="n"/>
    </row>
    <row r="406">
      <c r="C406" s="38" t="n"/>
      <c r="D406" s="38" t="n"/>
      <c r="E406" s="38" t="n"/>
      <c r="F406" s="38" t="n"/>
      <c r="G406" s="38" t="n"/>
      <c r="H406" s="38" t="n"/>
      <c r="I406" s="38" t="n"/>
      <c r="J406" s="38" t="n"/>
      <c r="K406" s="38" t="n"/>
      <c r="L406" s="38" t="n"/>
      <c r="M406" s="38" t="n"/>
    </row>
    <row r="407">
      <c r="C407" s="38" t="n"/>
      <c r="D407" s="38" t="n"/>
      <c r="E407" s="38" t="n"/>
      <c r="F407" s="38" t="n"/>
      <c r="G407" s="38" t="n"/>
      <c r="H407" s="38" t="n"/>
      <c r="I407" s="38" t="n"/>
      <c r="J407" s="38" t="n"/>
      <c r="K407" s="38" t="n"/>
      <c r="L407" s="38" t="n"/>
      <c r="M407" s="38" t="n"/>
    </row>
    <row r="408">
      <c r="C408" s="38" t="n"/>
      <c r="D408" s="38" t="n"/>
      <c r="E408" s="38" t="n"/>
      <c r="F408" s="38" t="n"/>
      <c r="G408" s="38" t="n"/>
      <c r="H408" s="38" t="n"/>
      <c r="I408" s="38" t="n"/>
      <c r="J408" s="38" t="n"/>
      <c r="K408" s="38" t="n"/>
      <c r="L408" s="38" t="n"/>
      <c r="M408" s="38" t="n"/>
    </row>
    <row r="409">
      <c r="C409" s="38" t="n"/>
      <c r="D409" s="38" t="n"/>
      <c r="E409" s="38" t="n"/>
      <c r="F409" s="38" t="n"/>
      <c r="G409" s="38" t="n"/>
      <c r="H409" s="38" t="n"/>
      <c r="I409" s="38" t="n"/>
      <c r="J409" s="38" t="n"/>
      <c r="K409" s="38" t="n"/>
      <c r="L409" s="38" t="n"/>
      <c r="M409" s="38" t="n"/>
    </row>
    <row r="410">
      <c r="C410" s="38" t="n"/>
      <c r="D410" s="38" t="n"/>
      <c r="E410" s="38" t="n"/>
      <c r="F410" s="38" t="n"/>
      <c r="G410" s="38" t="n"/>
      <c r="H410" s="38" t="n"/>
      <c r="I410" s="38" t="n"/>
      <c r="J410" s="38" t="n"/>
      <c r="K410" s="38" t="n"/>
      <c r="L410" s="38" t="n"/>
      <c r="M410" s="38" t="n"/>
    </row>
    <row r="411">
      <c r="C411" s="38" t="n"/>
      <c r="D411" s="38" t="n"/>
      <c r="E411" s="38" t="n"/>
      <c r="F411" s="38" t="n"/>
      <c r="G411" s="38" t="n"/>
      <c r="H411" s="38" t="n"/>
      <c r="I411" s="38" t="n"/>
      <c r="J411" s="38" t="n"/>
      <c r="K411" s="38" t="n"/>
      <c r="L411" s="38" t="n"/>
      <c r="M411" s="38" t="n"/>
    </row>
    <row r="412">
      <c r="C412" s="38" t="n"/>
      <c r="D412" s="38" t="n"/>
      <c r="E412" s="38" t="n"/>
      <c r="F412" s="38" t="n"/>
      <c r="G412" s="38" t="n"/>
      <c r="H412" s="38" t="n"/>
      <c r="I412" s="38" t="n"/>
      <c r="J412" s="38" t="n"/>
      <c r="K412" s="38" t="n"/>
      <c r="L412" s="38" t="n"/>
      <c r="M412" s="38" t="n"/>
    </row>
    <row r="413">
      <c r="C413" s="38" t="n"/>
      <c r="D413" s="38" t="n"/>
      <c r="E413" s="38" t="n"/>
      <c r="F413" s="38" t="n"/>
      <c r="G413" s="38" t="n"/>
      <c r="H413" s="38" t="n"/>
      <c r="I413" s="38" t="n"/>
      <c r="J413" s="38" t="n"/>
      <c r="K413" s="38" t="n"/>
      <c r="L413" s="38" t="n"/>
      <c r="M413" s="38" t="n"/>
    </row>
    <row r="414">
      <c r="C414" s="38" t="n"/>
      <c r="D414" s="38" t="n"/>
      <c r="E414" s="38" t="n"/>
      <c r="F414" s="38" t="n"/>
      <c r="G414" s="38" t="n"/>
      <c r="H414" s="38" t="n"/>
      <c r="I414" s="38" t="n"/>
      <c r="J414" s="38" t="n"/>
      <c r="K414" s="38" t="n"/>
      <c r="L414" s="38" t="n"/>
      <c r="M414" s="38" t="n"/>
    </row>
    <row r="415">
      <c r="C415" s="38" t="n"/>
      <c r="D415" s="38" t="n"/>
      <c r="E415" s="38" t="n"/>
      <c r="F415" s="38" t="n"/>
      <c r="G415" s="38" t="n"/>
      <c r="H415" s="38" t="n"/>
      <c r="I415" s="38" t="n"/>
      <c r="J415" s="38" t="n"/>
      <c r="K415" s="38" t="n"/>
      <c r="L415" s="38" t="n"/>
      <c r="M415" s="38" t="n"/>
    </row>
    <row r="416">
      <c r="C416" s="38" t="n"/>
      <c r="D416" s="38" t="n"/>
      <c r="E416" s="38" t="n"/>
      <c r="F416" s="38" t="n"/>
      <c r="G416" s="38" t="n"/>
      <c r="H416" s="38" t="n"/>
      <c r="I416" s="38" t="n"/>
      <c r="J416" s="38" t="n"/>
      <c r="K416" s="38" t="n"/>
      <c r="L416" s="38" t="n"/>
      <c r="M416" s="38" t="n"/>
    </row>
    <row r="417">
      <c r="C417" s="38" t="n"/>
      <c r="D417" s="38" t="n"/>
      <c r="E417" s="38" t="n"/>
      <c r="F417" s="38" t="n"/>
      <c r="G417" s="38" t="n"/>
      <c r="H417" s="38" t="n"/>
      <c r="I417" s="38" t="n"/>
      <c r="J417" s="38" t="n"/>
      <c r="K417" s="38" t="n"/>
      <c r="L417" s="38" t="n"/>
      <c r="M417" s="38" t="n"/>
    </row>
    <row r="418">
      <c r="C418" s="38" t="n"/>
      <c r="D418" s="38" t="n"/>
      <c r="E418" s="38" t="n"/>
      <c r="F418" s="38" t="n"/>
      <c r="G418" s="38" t="n"/>
      <c r="H418" s="38" t="n"/>
      <c r="I418" s="38" t="n"/>
      <c r="J418" s="38" t="n"/>
      <c r="K418" s="38" t="n"/>
      <c r="L418" s="38" t="n"/>
      <c r="M418" s="38" t="n"/>
    </row>
    <row r="419">
      <c r="C419" s="38" t="n"/>
      <c r="D419" s="38" t="n"/>
      <c r="E419" s="38" t="n"/>
      <c r="F419" s="38" t="n"/>
      <c r="G419" s="38" t="n"/>
      <c r="H419" s="38" t="n"/>
      <c r="I419" s="38" t="n"/>
      <c r="J419" s="38" t="n"/>
      <c r="K419" s="38" t="n"/>
      <c r="L419" s="38" t="n"/>
      <c r="M419" s="38" t="n"/>
    </row>
    <row r="420">
      <c r="C420" s="38" t="n"/>
      <c r="D420" s="38" t="n"/>
      <c r="E420" s="38" t="n"/>
      <c r="F420" s="38" t="n"/>
      <c r="G420" s="38" t="n"/>
      <c r="H420" s="38" t="n"/>
      <c r="I420" s="38" t="n"/>
      <c r="J420" s="38" t="n"/>
      <c r="K420" s="38" t="n"/>
      <c r="L420" s="38" t="n"/>
      <c r="M420" s="38" t="n"/>
    </row>
    <row r="421">
      <c r="C421" s="38" t="n"/>
      <c r="D421" s="38" t="n"/>
      <c r="E421" s="38" t="n"/>
      <c r="F421" s="38" t="n"/>
      <c r="G421" s="38" t="n"/>
      <c r="H421" s="38" t="n"/>
      <c r="I421" s="38" t="n"/>
      <c r="J421" s="38" t="n"/>
      <c r="K421" s="38" t="n"/>
      <c r="L421" s="38" t="n"/>
      <c r="M421" s="38" t="n"/>
    </row>
    <row r="422">
      <c r="C422" s="38" t="n"/>
      <c r="D422" s="38" t="n"/>
      <c r="E422" s="38" t="n"/>
      <c r="F422" s="38" t="n"/>
      <c r="G422" s="38" t="n"/>
      <c r="H422" s="38" t="n"/>
      <c r="I422" s="38" t="n"/>
      <c r="J422" s="38" t="n"/>
      <c r="K422" s="38" t="n"/>
      <c r="L422" s="38" t="n"/>
      <c r="M422" s="38" t="n"/>
    </row>
    <row r="423">
      <c r="C423" s="38" t="n"/>
      <c r="D423" s="38" t="n"/>
      <c r="E423" s="38" t="n"/>
      <c r="F423" s="38" t="n"/>
      <c r="G423" s="38" t="n"/>
      <c r="H423" s="38" t="n"/>
      <c r="I423" s="38" t="n"/>
      <c r="J423" s="38" t="n"/>
      <c r="K423" s="38" t="n"/>
      <c r="L423" s="38" t="n"/>
      <c r="M423" s="38" t="n"/>
    </row>
    <row r="424">
      <c r="C424" s="38" t="n"/>
      <c r="D424" s="38" t="n"/>
      <c r="E424" s="38" t="n"/>
      <c r="F424" s="38" t="n"/>
      <c r="G424" s="38" t="n"/>
      <c r="H424" s="38" t="n"/>
      <c r="I424" s="38" t="n"/>
      <c r="J424" s="38" t="n"/>
      <c r="K424" s="38" t="n"/>
      <c r="L424" s="38" t="n"/>
      <c r="M424" s="38" t="n"/>
    </row>
    <row r="425">
      <c r="C425" s="38" t="n"/>
      <c r="D425" s="38" t="n"/>
      <c r="E425" s="38" t="n"/>
      <c r="F425" s="38" t="n"/>
      <c r="G425" s="38" t="n"/>
      <c r="H425" s="38" t="n"/>
      <c r="I425" s="38" t="n"/>
      <c r="J425" s="38" t="n"/>
      <c r="K425" s="38" t="n"/>
      <c r="L425" s="38" t="n"/>
      <c r="M425" s="38" t="n"/>
    </row>
    <row r="426">
      <c r="C426" s="38" t="n"/>
      <c r="D426" s="38" t="n"/>
      <c r="E426" s="38" t="n"/>
      <c r="F426" s="38" t="n"/>
      <c r="G426" s="38" t="n"/>
      <c r="H426" s="38" t="n"/>
      <c r="I426" s="38" t="n"/>
      <c r="J426" s="38" t="n"/>
      <c r="K426" s="38" t="n"/>
      <c r="L426" s="38" t="n"/>
      <c r="M426" s="38" t="n"/>
    </row>
    <row r="427">
      <c r="C427" s="38" t="n"/>
      <c r="D427" s="38" t="n"/>
      <c r="E427" s="38" t="n"/>
      <c r="F427" s="38" t="n"/>
      <c r="G427" s="38" t="n"/>
      <c r="H427" s="38" t="n"/>
      <c r="I427" s="38" t="n"/>
      <c r="J427" s="38" t="n"/>
      <c r="K427" s="38" t="n"/>
      <c r="L427" s="38" t="n"/>
      <c r="M427" s="38" t="n"/>
    </row>
    <row r="428">
      <c r="C428" s="38" t="n"/>
      <c r="D428" s="38" t="n"/>
      <c r="E428" s="38" t="n"/>
      <c r="F428" s="38" t="n"/>
      <c r="G428" s="38" t="n"/>
      <c r="H428" s="38" t="n"/>
      <c r="I428" s="38" t="n"/>
      <c r="J428" s="38" t="n"/>
      <c r="K428" s="38" t="n"/>
      <c r="L428" s="38" t="n"/>
      <c r="M428" s="38" t="n"/>
    </row>
    <row r="429">
      <c r="C429" s="38" t="n"/>
      <c r="D429" s="38" t="n"/>
      <c r="E429" s="38" t="n"/>
      <c r="F429" s="38" t="n"/>
      <c r="G429" s="38" t="n"/>
      <c r="H429" s="38" t="n"/>
      <c r="I429" s="38" t="n"/>
      <c r="J429" s="38" t="n"/>
      <c r="K429" s="38" t="n"/>
      <c r="L429" s="38" t="n"/>
      <c r="M429" s="38" t="n"/>
    </row>
    <row r="430">
      <c r="C430" s="38" t="n"/>
      <c r="D430" s="38" t="n"/>
      <c r="E430" s="38" t="n"/>
      <c r="F430" s="38" t="n"/>
      <c r="G430" s="38" t="n"/>
      <c r="H430" s="38" t="n"/>
      <c r="I430" s="38" t="n"/>
      <c r="J430" s="38" t="n"/>
      <c r="K430" s="38" t="n"/>
      <c r="L430" s="38" t="n"/>
      <c r="M430" s="38" t="n"/>
    </row>
    <row r="431">
      <c r="C431" s="38" t="n"/>
      <c r="D431" s="38" t="n"/>
      <c r="E431" s="38" t="n"/>
      <c r="F431" s="38" t="n"/>
      <c r="G431" s="38" t="n"/>
      <c r="H431" s="38" t="n"/>
      <c r="I431" s="38" t="n"/>
      <c r="J431" s="38" t="n"/>
      <c r="K431" s="38" t="n"/>
      <c r="L431" s="38" t="n"/>
      <c r="M431" s="38" t="n"/>
    </row>
    <row r="432">
      <c r="C432" s="38" t="n"/>
      <c r="D432" s="38" t="n"/>
      <c r="E432" s="38" t="n"/>
      <c r="F432" s="38" t="n"/>
      <c r="G432" s="38" t="n"/>
      <c r="H432" s="38" t="n"/>
      <c r="I432" s="38" t="n"/>
      <c r="J432" s="38" t="n"/>
      <c r="K432" s="38" t="n"/>
      <c r="L432" s="38" t="n"/>
      <c r="M432" s="38" t="n"/>
    </row>
    <row r="433">
      <c r="C433" s="38" t="n"/>
      <c r="D433" s="38" t="n"/>
      <c r="E433" s="38" t="n"/>
      <c r="F433" s="38" t="n"/>
      <c r="G433" s="38" t="n"/>
      <c r="H433" s="38" t="n"/>
      <c r="I433" s="38" t="n"/>
      <c r="J433" s="38" t="n"/>
      <c r="K433" s="38" t="n"/>
      <c r="L433" s="38" t="n"/>
      <c r="M433" s="38" t="n"/>
    </row>
    <row r="434">
      <c r="C434" s="38" t="n"/>
      <c r="D434" s="38" t="n"/>
      <c r="E434" s="38" t="n"/>
      <c r="F434" s="38" t="n"/>
      <c r="G434" s="38" t="n"/>
      <c r="H434" s="38" t="n"/>
      <c r="I434" s="38" t="n"/>
      <c r="J434" s="38" t="n"/>
      <c r="K434" s="38" t="n"/>
      <c r="L434" s="38" t="n"/>
      <c r="M434" s="38" t="n"/>
    </row>
    <row r="435">
      <c r="C435" s="38" t="n"/>
      <c r="D435" s="38" t="n"/>
      <c r="E435" s="38" t="n"/>
      <c r="F435" s="38" t="n"/>
      <c r="G435" s="38" t="n"/>
      <c r="H435" s="38" t="n"/>
      <c r="I435" s="38" t="n"/>
      <c r="J435" s="38" t="n"/>
      <c r="K435" s="38" t="n"/>
      <c r="L435" s="38" t="n"/>
      <c r="M435" s="38" t="n"/>
    </row>
    <row r="436">
      <c r="C436" s="38" t="n"/>
      <c r="D436" s="38" t="n"/>
      <c r="E436" s="38" t="n"/>
      <c r="F436" s="38" t="n"/>
      <c r="G436" s="38" t="n"/>
      <c r="H436" s="38" t="n"/>
      <c r="I436" s="38" t="n"/>
      <c r="J436" s="38" t="n"/>
      <c r="K436" s="38" t="n"/>
      <c r="L436" s="38" t="n"/>
      <c r="M436" s="38" t="n"/>
    </row>
    <row r="437">
      <c r="C437" s="38" t="n"/>
      <c r="D437" s="38" t="n"/>
      <c r="E437" s="38" t="n"/>
      <c r="F437" s="38" t="n"/>
      <c r="G437" s="38" t="n"/>
      <c r="H437" s="38" t="n"/>
      <c r="I437" s="38" t="n"/>
      <c r="J437" s="38" t="n"/>
      <c r="K437" s="38" t="n"/>
      <c r="L437" s="38" t="n"/>
      <c r="M437" s="38" t="n"/>
    </row>
    <row r="438">
      <c r="C438" s="38" t="n"/>
      <c r="D438" s="38" t="n"/>
      <c r="E438" s="38" t="n"/>
      <c r="F438" s="38" t="n"/>
      <c r="G438" s="38" t="n"/>
      <c r="H438" s="38" t="n"/>
      <c r="I438" s="38" t="n"/>
      <c r="J438" s="38" t="n"/>
      <c r="K438" s="38" t="n"/>
      <c r="L438" s="38" t="n"/>
      <c r="M438" s="38" t="n"/>
    </row>
    <row r="439">
      <c r="C439" s="38" t="n"/>
      <c r="D439" s="38" t="n"/>
      <c r="E439" s="38" t="n"/>
      <c r="F439" s="38" t="n"/>
      <c r="G439" s="38" t="n"/>
      <c r="H439" s="38" t="n"/>
      <c r="I439" s="38" t="n"/>
      <c r="J439" s="38" t="n"/>
      <c r="K439" s="38" t="n"/>
      <c r="L439" s="38" t="n"/>
      <c r="M439" s="38" t="n"/>
    </row>
    <row r="440">
      <c r="C440" s="38" t="n"/>
      <c r="D440" s="38" t="n"/>
      <c r="E440" s="38" t="n"/>
      <c r="F440" s="38" t="n"/>
      <c r="G440" s="38" t="n"/>
      <c r="H440" s="38" t="n"/>
      <c r="I440" s="38" t="n"/>
      <c r="J440" s="38" t="n"/>
      <c r="K440" s="38" t="n"/>
      <c r="L440" s="38" t="n"/>
      <c r="M440" s="38" t="n"/>
    </row>
    <row r="441">
      <c r="C441" s="38" t="n"/>
      <c r="D441" s="38" t="n"/>
      <c r="E441" s="38" t="n"/>
      <c r="F441" s="38" t="n"/>
      <c r="G441" s="38" t="n"/>
      <c r="H441" s="38" t="n"/>
      <c r="I441" s="38" t="n"/>
      <c r="J441" s="38" t="n"/>
      <c r="K441" s="38" t="n"/>
      <c r="L441" s="38" t="n"/>
      <c r="M441" s="38" t="n"/>
    </row>
    <row r="442">
      <c r="C442" s="38" t="n"/>
      <c r="D442" s="38" t="n"/>
      <c r="E442" s="38" t="n"/>
      <c r="F442" s="38" t="n"/>
      <c r="G442" s="38" t="n"/>
      <c r="H442" s="38" t="n"/>
      <c r="I442" s="38" t="n"/>
      <c r="J442" s="38" t="n"/>
      <c r="K442" s="38" t="n"/>
      <c r="L442" s="38" t="n"/>
      <c r="M442" s="38" t="n"/>
    </row>
  </sheetData>
  <mergeCells count="14">
    <mergeCell ref="B6:C6"/>
    <mergeCell ref="I4:J4"/>
    <mergeCell ref="I6:J6"/>
    <mergeCell ref="B7:C7"/>
    <mergeCell ref="B2:F2"/>
    <mergeCell ref="B3:C3"/>
    <mergeCell ref="B5:C5"/>
    <mergeCell ref="I2:J2"/>
    <mergeCell ref="I7:J7"/>
    <mergeCell ref="I5:J5"/>
    <mergeCell ref="I8:J8"/>
    <mergeCell ref="B8:C8"/>
    <mergeCell ref="B4:C4"/>
    <mergeCell ref="I3:J3"/>
  </mergeCells>
  <conditionalFormatting sqref="D4">
    <cfRule type="cellIs" priority="125" operator="lessThan" dxfId="10" stopIfTrue="1">
      <formula>1</formula>
    </cfRule>
  </conditionalFormatting>
  <conditionalFormatting sqref="D4:D8">
    <cfRule type="cellIs" priority="117" operator="greaterThan" dxfId="9" stopIfTrue="1">
      <formula>0</formula>
    </cfRule>
    <cfRule type="cellIs" priority="118" operator="greaterThan" dxfId="9" stopIfTrue="1">
      <formula>1</formula>
    </cfRule>
    <cfRule type="cellIs" priority="119" operator="greaterThan" dxfId="10" stopIfTrue="1">
      <formula>0</formula>
    </cfRule>
    <cfRule type="cellIs" priority="120" operator="greaterThan" dxfId="10" stopIfTrue="1">
      <formula>1</formula>
    </cfRule>
  </conditionalFormatting>
  <conditionalFormatting sqref="D5:D8">
    <cfRule type="cellIs" priority="75" operator="lessThan" dxfId="10" stopIfTrue="1">
      <formula>1</formula>
    </cfRule>
  </conditionalFormatting>
  <conditionalFormatting sqref="E4">
    <cfRule type="cellIs" priority="112" operator="equal" dxfId="9" stopIfTrue="1">
      <formula>1</formula>
    </cfRule>
    <cfRule type="cellIs" priority="113" operator="lessThan" dxfId="10" stopIfTrue="1">
      <formula>1</formula>
    </cfRule>
  </conditionalFormatting>
  <conditionalFormatting sqref="E5">
    <cfRule type="cellIs" priority="108" operator="greaterThan" dxfId="10" stopIfTrue="1">
      <formula>0</formula>
    </cfRule>
  </conditionalFormatting>
  <conditionalFormatting sqref="E5:E8">
    <cfRule type="cellIs" priority="109" operator="equal" dxfId="9" stopIfTrue="1">
      <formula>0</formula>
    </cfRule>
  </conditionalFormatting>
  <conditionalFormatting sqref="E6:E8">
    <cfRule type="cellIs" priority="122" operator="greaterThan" dxfId="22" stopIfTrue="1">
      <formula>0</formula>
    </cfRule>
    <cfRule type="cellIs" priority="123" operator="greaterThan" dxfId="10" stopIfTrue="1">
      <formula>0</formula>
    </cfRule>
    <cfRule type="cellIs" priority="124" operator="equal" dxfId="9" stopIfTrue="1">
      <formula>0</formula>
    </cfRule>
  </conditionalFormatting>
  <conditionalFormatting sqref="E4:F4">
    <cfRule type="cellIs" priority="104" operator="equal" dxfId="9" stopIfTrue="1">
      <formula>1</formula>
    </cfRule>
    <cfRule type="cellIs" priority="105" operator="lessThan" dxfId="10" stopIfTrue="1">
      <formula>1</formula>
    </cfRule>
  </conditionalFormatting>
  <conditionalFormatting sqref="E5:F5">
    <cfRule type="cellIs" priority="100" operator="greaterThan" dxfId="10" stopIfTrue="1">
      <formula>0</formula>
    </cfRule>
    <cfRule type="cellIs" priority="101" operator="equal" dxfId="9" stopIfTrue="1">
      <formula>0</formula>
    </cfRule>
  </conditionalFormatting>
  <conditionalFormatting sqref="F4">
    <cfRule type="cellIs" priority="102" operator="equal" dxfId="9" stopIfTrue="1">
      <formula>1</formula>
    </cfRule>
    <cfRule type="cellIs" priority="103" operator="lessThan" dxfId="10" stopIfTrue="1">
      <formula>1</formula>
    </cfRule>
  </conditionalFormatting>
  <conditionalFormatting sqref="F5">
    <cfRule type="cellIs" priority="98" operator="greaterThan" dxfId="10" stopIfTrue="1">
      <formula>0</formula>
    </cfRule>
    <cfRule type="cellIs" priority="99" operator="equal" dxfId="9" stopIfTrue="1">
      <formula>0</formula>
    </cfRule>
  </conditionalFormatting>
  <conditionalFormatting sqref="F6">
    <cfRule type="cellIs" priority="96" operator="equal" dxfId="9" stopIfTrue="1">
      <formula>0</formula>
    </cfRule>
    <cfRule type="cellIs" priority="97" operator="greaterThan" dxfId="22" stopIfTrue="1">
      <formula>0</formula>
    </cfRule>
  </conditionalFormatting>
  <conditionalFormatting sqref="F6:F7">
    <cfRule type="cellIs" priority="92" operator="equal" dxfId="9" stopIfTrue="1">
      <formula>0</formula>
    </cfRule>
    <cfRule type="cellIs" priority="93" operator="greaterThan" dxfId="22" stopIfTrue="1">
      <formula>0</formula>
    </cfRule>
  </conditionalFormatting>
  <conditionalFormatting sqref="F7:F8">
    <cfRule type="cellIs" priority="88" operator="equal" dxfId="9" stopIfTrue="1">
      <formula>0</formula>
    </cfRule>
    <cfRule type="cellIs" priority="89" operator="greaterThan" dxfId="22" stopIfTrue="1">
      <formula>0</formula>
    </cfRule>
  </conditionalFormatting>
  <conditionalFormatting sqref="F8">
    <cfRule type="cellIs" priority="86" operator="equal" dxfId="9" stopIfTrue="1">
      <formula>0</formula>
    </cfRule>
    <cfRule type="cellIs" priority="87" operator="greaterThan" dxfId="22" stopIfTrue="1">
      <formula>0</formula>
    </cfRule>
  </conditionalFormatting>
  <conditionalFormatting sqref="G5:G8">
    <cfRule type="cellIs" priority="55" operator="lessThan" dxfId="10" stopIfTrue="1">
      <formula>1</formula>
    </cfRule>
    <cfRule type="cellIs" priority="56" operator="greaterThan" dxfId="9" stopIfTrue="1">
      <formula>0</formula>
    </cfRule>
    <cfRule type="cellIs" priority="57" operator="greaterThan" dxfId="9" stopIfTrue="1">
      <formula>1</formula>
    </cfRule>
    <cfRule type="cellIs" priority="58" operator="greaterThan" dxfId="10" stopIfTrue="1">
      <formula>0</formula>
    </cfRule>
    <cfRule type="cellIs" priority="59" operator="greaterThan" dxfId="10" stopIfTrue="1">
      <formula>1</formula>
    </cfRule>
    <cfRule type="cellIs" priority="60" operator="equal" dxfId="9" stopIfTrue="1">
      <formula>$C$3</formula>
    </cfRule>
  </conditionalFormatting>
  <conditionalFormatting sqref="K11:M16">
    <cfRule type="cellIs" priority="30" operator="equal" dxfId="6" stopIfTrue="1">
      <formula>"NA"</formula>
    </cfRule>
    <cfRule type="cellIs" priority="31" operator="equal" dxfId="5" stopIfTrue="1">
      <formula>"Blocked"</formula>
    </cfRule>
    <cfRule type="cellIs" priority="32" operator="equal" dxfId="4" stopIfTrue="1">
      <formula>"Pending"</formula>
    </cfRule>
    <cfRule type="cellIs" priority="33" operator="equal" dxfId="0" stopIfTrue="1">
      <formula>"Passed"</formula>
    </cfRule>
    <cfRule type="cellIs" priority="34" operator="equal" dxfId="1" stopIfTrue="1">
      <formula>"Failed"</formula>
    </cfRule>
    <cfRule type="cellIs" priority="35" operator="equal" dxfId="1" stopIfTrue="1">
      <formula>"Fail"</formula>
    </cfRule>
    <cfRule type="cellIs" priority="36" operator="equal" dxfId="0" stopIfTrue="1">
      <formula>"Pass"</formula>
    </cfRule>
  </conditionalFormatting>
  <conditionalFormatting sqref="K18:M91">
    <cfRule type="cellIs" priority="21" operator="equal" dxfId="6" stopIfTrue="1">
      <formula>"NA"</formula>
    </cfRule>
    <cfRule type="cellIs" priority="22" operator="equal" dxfId="5" stopIfTrue="1">
      <formula>"Blocked"</formula>
    </cfRule>
    <cfRule type="cellIs" priority="23" operator="equal" dxfId="4" stopIfTrue="1">
      <formula>"Pending"</formula>
    </cfRule>
    <cfRule type="cellIs" priority="24" operator="equal" dxfId="0" stopIfTrue="1">
      <formula>"Passed"</formula>
    </cfRule>
    <cfRule type="cellIs" priority="25" operator="equal" dxfId="1" stopIfTrue="1">
      <formula>"Failed"</formula>
    </cfRule>
    <cfRule type="cellIs" priority="26" operator="equal" dxfId="1" stopIfTrue="1">
      <formula>"Fail"</formula>
    </cfRule>
    <cfRule type="cellIs" priority="27" operator="equal" dxfId="0" stopIfTrue="1">
      <formula>"Pass"</formula>
    </cfRule>
  </conditionalFormatting>
  <conditionalFormatting sqref="K93:M197">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conditionalFormatting sqref="L11:L16">
    <cfRule type="cellIs" priority="28" operator="equal" dxfId="0">
      <formula>"Done"</formula>
    </cfRule>
    <cfRule type="cellIs" priority="29" operator="equal" dxfId="7">
      <formula>"Pending"</formula>
    </cfRule>
  </conditionalFormatting>
  <conditionalFormatting sqref="L18:L91">
    <cfRule type="cellIs" priority="19" operator="equal" dxfId="0">
      <formula>"Done"</formula>
    </cfRule>
    <cfRule type="cellIs" priority="20" operator="equal" dxfId="7">
      <formula>"Pending"</formula>
    </cfRule>
  </conditionalFormatting>
  <conditionalFormatting sqref="L93:L197">
    <cfRule type="cellIs" priority="1" operator="equal" dxfId="0">
      <formula>"Done"</formula>
    </cfRule>
    <cfRule type="cellIs" priority="2" operator="equal" dxfId="7">
      <formula>"Pending"</formula>
    </cfRule>
  </conditionalFormatting>
  <dataValidations count="2">
    <dataValidation sqref="K11:K16 K18:K91 K93:K197 K65541:M65546 K65548:M65551 K65553:M65626 K65628:M65649 K65652:M65723 K65726:M65733 K131077:M131082 K131084:M131087 K131089:M131162 K131164:M131185 K131188:M131259 K131262:M131269 K196613:M196618 K196620:M196623 K196625:M196698 K196700:M196721 K196724:M196795 K196798:M196805 K262149:M262154 K262156:M262159 K262161:M262234 K262236:M262257 K262260:M262331 K262334:M262341 K327685:M327690 K327692:M327695 K327697:M327770 K327772:M327793 K327796:M327867 K327870:M327877 K393221:M393226 K393228:M393231 K393233:M393306 K393308:M393329 K393332:M393403 K393406:M393413 K458757:M458762 K458764:M458767 K458769:M458842 K458844:M458865 K458868:M458939 K458942:M458949 K524293:M524298 K524300:M524303 K524305:M524378 K524380:M524401 K524404:M524475 K524478:M524485 K589829:M589834 K589836:M589839 K589841:M589914 K589916:M589937 K589940:M590011 K590014:M590021 K655365:M655370 K655372:M655375 K655377:M655450 K655452:M655473 K655476:M655547 K655550:M655557 K720901:M720906 K720908:M720911 K720913:M720986 K720988:M721009 K721012:M721083 K721086:M721093 K786437:M786442 K786444:M786447 K786449:M786522 K786524:M786545 K786548:M786619 K786622:M786629 K851973:M851978 K851980:M851983 K851985:M852058 K852060:M852081 K852084:M852155 K852158:M852165 K917509:M917514 K917516:M917519 K917521:M917594 K917596:M917617 K917620:M917691 K917694:M917701 K983045:M983050 K983052:M983055 K983057:M983130 K983132:M983153 K983156:M983227 K983230:M983237 M11:M16 M18:M91 M93:M197 JI11:JI16 JI18:JI91 JI93:JI114 JI117:JI188 JI190:JI197 JI65541:JI65546 JI65548:JI65551 JI65553:JI65626 JI65628:JI65649 JI65652:JI65723 JI65726:JI65733 JI131077:JI131082 JI131084:JI131087 JI131089:JI131162 JI131164:JI131185 JI131188:JI131259 JI131262:JI131269 JI196613:JI196618 JI196620:JI196623 JI196625:JI196698 JI196700:JI196721 JI196724:JI196795 JI196798:JI196805 JI262149:JI262154 JI262156:JI262159 JI262161:JI262234 JI262236:JI262257 JI262260:JI262331 JI262334:JI262341 JI327685:JI327690 JI327692:JI327695 JI327697:JI327770 JI327772:JI327793 JI327796:JI327867 JI327870:JI327877 JI393221:JI393226 JI393228:JI393231 JI393233:JI393306 JI393308:JI393329 JI393332:JI393403 JI393406:JI393413 JI458757:JI458762 JI458764:JI458767 JI458769:JI458842 JI458844:JI458865 JI458868:JI458939 JI458942:JI458949 JI524293:JI524298 JI524300:JI524303 JI524305:JI524378 JI524380:JI524401 JI524404:JI524475 JI524478:JI524485 JI589829:JI589834 JI589836:JI589839 JI589841:JI589914 JI589916:JI589937 JI589940:JI590011 JI590014:JI590021 JI655365:JI655370 JI655372:JI655375 JI655377:JI655450 JI655452:JI655473 JI655476:JI655547 JI655550:JI655557 JI720901:JI720906 JI720908:JI720911 JI720913:JI720986 JI720988:JI721009 JI721012:JI721083 JI721086:JI721093 JI786437:JI786442 JI786444:JI786447 JI786449:JI786522 JI786524:JI786545 JI786548:JI786619 JI786622:JI786629 JI851973:JI851978 JI851980:JI851983 JI851985:JI852058 JI852060:JI852081 JI852084:JI852155 JI852158:JI852165 JI917509:JI917514 JI917516:JI917519 JI917521:JI917594 JI917596:JI917617 JI917620:JI917691 JI917694:JI917701 JI983045:JI983050 JI983052:JI983055 JI983057:JI983130 JI983132:JI983153 JI983156:JI983227 JI983230:JI983237 TE11:TE16 TE18:TE91 TE93:TE114 TE117:TE188 TE190:TE197 TE65541:TE65546 TE65548:TE65551 TE65553:TE65626 TE65628:TE65649 TE65652:TE65723 TE65726:TE65733 TE131077:TE131082 TE131084:TE131087 TE131089:TE131162 TE131164:TE131185 TE131188:TE131259 TE131262:TE131269 TE196613:TE196618 TE196620:TE196623 TE196625:TE196698 TE196700:TE196721 TE196724:TE196795 TE196798:TE196805 TE262149:TE262154 TE262156:TE262159 TE262161:TE262234 TE262236:TE262257 TE262260:TE262331 TE262334:TE262341 TE327685:TE327690 TE327692:TE327695 TE327697:TE327770 TE327772:TE327793 TE327796:TE327867 TE327870:TE327877 TE393221:TE393226 TE393228:TE393231 TE393233:TE393306 TE393308:TE393329 TE393332:TE393403 TE393406:TE393413 TE458757:TE458762 TE458764:TE458767 TE458769:TE458842 TE458844:TE458865 TE458868:TE458939 TE458942:TE458949 TE524293:TE524298 TE524300:TE524303 TE524305:TE524378 TE524380:TE524401 TE524404:TE524475 TE524478:TE524485 TE589829:TE589834 TE589836:TE589839 TE589841:TE589914 TE589916:TE589937 TE589940:TE590011 TE590014:TE590021 TE655365:TE655370 TE655372:TE655375 TE655377:TE655450 TE655452:TE655473 TE655476:TE655547 TE655550:TE655557 TE720901:TE720906 TE720908:TE720911 TE720913:TE720986 TE720988:TE721009 TE721012:TE721083 TE721086:TE721093 TE786437:TE786442 TE786444:TE786447 TE786449:TE786522 TE786524:TE786545 TE786548:TE786619 TE786622:TE786629 TE851973:TE851978 TE851980:TE851983 TE851985:TE852058 TE852060:TE852081 TE852084:TE852155 TE852158:TE852165 TE917509:TE917514 TE917516:TE917519 TE917521:TE917594 TE917596:TE917617 TE917620:TE917691 TE917694:TE917701 TE983045:TE983050 TE983052:TE983055 TE983057:TE983130 TE983132:TE983153 TE983156:TE983227 TE983230:TE983237 ADA11:ADA16 ADA18:ADA91 ADA93:ADA114 ADA117:ADA188 ADA190:ADA197 ADA65541:ADA65546 ADA65548:ADA65551 ADA65553:ADA65626 ADA65628:ADA65649 ADA65652:ADA65723 ADA65726:ADA65733 ADA131077:ADA131082 ADA131084:ADA131087 ADA131089:ADA131162 ADA131164:ADA131185 ADA131188:ADA131259 ADA131262:ADA131269 ADA196613:ADA196618 ADA196620:ADA196623 ADA196625:ADA196698 ADA196700:ADA196721 ADA196724:ADA196795 ADA196798:ADA196805 ADA262149:ADA262154 ADA262156:ADA262159 ADA262161:ADA262234 ADA262236:ADA262257 ADA262260:ADA262331 ADA262334:ADA262341 ADA327685:ADA327690 ADA327692:ADA327695 ADA327697:ADA327770 ADA327772:ADA327793 ADA327796:ADA327867 ADA327870:ADA327877 ADA393221:ADA393226 ADA393228:ADA393231 ADA393233:ADA393306 ADA393308:ADA393329 ADA393332:ADA393403 ADA393406:ADA393413 ADA458757:ADA458762 ADA458764:ADA458767 ADA458769:ADA458842 ADA458844:ADA458865 ADA458868:ADA458939 ADA458942:ADA458949 ADA524293:ADA524298 ADA524300:ADA524303 ADA524305:ADA524378 ADA524380:ADA524401 ADA524404:ADA524475 ADA524478:ADA524485 ADA589829:ADA589834 ADA589836:ADA589839 ADA589841:ADA589914 ADA589916:ADA589937 ADA589940:ADA590011 ADA590014:ADA590021 ADA655365:ADA655370 ADA655372:ADA655375 ADA655377:ADA655450 ADA655452:ADA655473 ADA655476:ADA655547 ADA655550:ADA655557 ADA720901:ADA720906 ADA720908:ADA720911 ADA720913:ADA720986 ADA720988:ADA721009 ADA721012:ADA721083 ADA721086:ADA721093 ADA786437:ADA786442 ADA786444:ADA786447 ADA786449:ADA786522 ADA786524:ADA786545 ADA786548:ADA786619 ADA786622:ADA786629 ADA851973:ADA851978 ADA851980:ADA851983 ADA851985:ADA852058 ADA852060:ADA852081 ADA852084:ADA852155 ADA852158:ADA852165 ADA917509:ADA917514 ADA917516:ADA917519 ADA917521:ADA917594 ADA917596:ADA917617 ADA917620:ADA917691 ADA917694:ADA917701 ADA983045:ADA983050 ADA983052:ADA983055 ADA983057:ADA983130 ADA983132:ADA983153 ADA983156:ADA983227 ADA983230:ADA983237 AMW11:AMW16 AMW18:AMW91 AMW93:AMW114 AMW117:AMW188 AMW190:AMW197 AMW65541:AMW65546 AMW65548:AMW65551 AMW65553:AMW65626 AMW65628:AMW65649 AMW65652:AMW65723 AMW65726:AMW65733 AMW131077:AMW131082 AMW131084:AMW131087 AMW131089:AMW131162 AMW131164:AMW131185 AMW131188:AMW131259 AMW131262:AMW131269 AMW196613:AMW196618 AMW196620:AMW196623 AMW196625:AMW196698 AMW196700:AMW196721 AMW196724:AMW196795 AMW196798:AMW196805 AMW262149:AMW262154 AMW262156:AMW262159 AMW262161:AMW262234 AMW262236:AMW262257 AMW262260:AMW262331 AMW262334:AMW262341 AMW327685:AMW327690 AMW327692:AMW327695 AMW327697:AMW327770 AMW327772:AMW327793 AMW327796:AMW327867 AMW327870:AMW327877 AMW393221:AMW393226 AMW393228:AMW393231 AMW393233:AMW393306 AMW393308:AMW393329 AMW393332:AMW393403 AMW393406:AMW393413 AMW458757:AMW458762 AMW458764:AMW458767 AMW458769:AMW458842 AMW458844:AMW458865 AMW458868:AMW458939 AMW458942:AMW458949 AMW524293:AMW524298 AMW524300:AMW524303 AMW524305:AMW524378 AMW524380:AMW524401 AMW524404:AMW524475 AMW524478:AMW524485 AMW589829:AMW589834 AMW589836:AMW589839 AMW589841:AMW589914 AMW589916:AMW589937 AMW589940:AMW590011 AMW590014:AMW590021 AMW655365:AMW655370 AMW655372:AMW655375 AMW655377:AMW655450 AMW655452:AMW655473 AMW655476:AMW655547 AMW655550:AMW655557 AMW720901:AMW720906 AMW720908:AMW720911 AMW720913:AMW720986 AMW720988:AMW721009 AMW721012:AMW721083 AMW721086:AMW721093 AMW786437:AMW786442 AMW786444:AMW786447 AMW786449:AMW786522 AMW786524:AMW786545 AMW786548:AMW786619 AMW786622:AMW786629 AMW851973:AMW851978 AMW851980:AMW851983 AMW851985:AMW852058 AMW852060:AMW852081 AMW852084:AMW852155 AMW852158:AMW852165 AMW917509:AMW917514 AMW917516:AMW917519 AMW917521:AMW917594 AMW917596:AMW917617 AMW917620:AMW917691 AMW917694:AMW917701 AMW983045:AMW983050 AMW983052:AMW983055 AMW983057:AMW983130 AMW983132:AMW983153 AMW983156:AMW983227 AMW983230:AMW983237 AWS11:AWS16 AWS18:AWS91 AWS93:AWS114 AWS117:AWS188 AWS190:AWS197 AWS65541:AWS65546 AWS65548:AWS65551 AWS65553:AWS65626 AWS65628:AWS65649 AWS65652:AWS65723 AWS65726:AWS65733 AWS131077:AWS131082 AWS131084:AWS131087 AWS131089:AWS131162 AWS131164:AWS131185 AWS131188:AWS131259 AWS131262:AWS131269 AWS196613:AWS196618 AWS196620:AWS196623 AWS196625:AWS196698 AWS196700:AWS196721 AWS196724:AWS196795 AWS196798:AWS196805 AWS262149:AWS262154 AWS262156:AWS262159 AWS262161:AWS262234 AWS262236:AWS262257 AWS262260:AWS262331 AWS262334:AWS262341 AWS327685:AWS327690 AWS327692:AWS327695 AWS327697:AWS327770 AWS327772:AWS327793 AWS327796:AWS327867 AWS327870:AWS327877 AWS393221:AWS393226 AWS393228:AWS393231 AWS393233:AWS393306 AWS393308:AWS393329 AWS393332:AWS393403 AWS393406:AWS393413 AWS458757:AWS458762 AWS458764:AWS458767 AWS458769:AWS458842 AWS458844:AWS458865 AWS458868:AWS458939 AWS458942:AWS458949 AWS524293:AWS524298 AWS524300:AWS524303 AWS524305:AWS524378 AWS524380:AWS524401 AWS524404:AWS524475 AWS524478:AWS524485 AWS589829:AWS589834 AWS589836:AWS589839 AWS589841:AWS589914 AWS589916:AWS589937 AWS589940:AWS590011 AWS590014:AWS590021 AWS655365:AWS655370 AWS655372:AWS655375 AWS655377:AWS655450 AWS655452:AWS655473 AWS655476:AWS655547 AWS655550:AWS655557 AWS720901:AWS720906 AWS720908:AWS720911 AWS720913:AWS720986 AWS720988:AWS721009 AWS721012:AWS721083 AWS721086:AWS721093 AWS786437:AWS786442 AWS786444:AWS786447 AWS786449:AWS786522 AWS786524:AWS786545 AWS786548:AWS786619 AWS786622:AWS786629 AWS851973:AWS851978 AWS851980:AWS851983 AWS851985:AWS852058 AWS852060:AWS852081 AWS852084:AWS852155 AWS852158:AWS852165 AWS917509:AWS917514 AWS917516:AWS917519 AWS917521:AWS917594 AWS917596:AWS917617 AWS917620:AWS917691 AWS917694:AWS917701 AWS983045:AWS983050 AWS983052:AWS983055 AWS983057:AWS983130 AWS983132:AWS983153 AWS983156:AWS983227 AWS983230:AWS983237 BGO11:BGO16 BGO18:BGO91 BGO93:BGO114 BGO117:BGO188 BGO190:BGO197 BGO65541:BGO65546 BGO65548:BGO65551 BGO65553:BGO65626 BGO65628:BGO65649 BGO65652:BGO65723 BGO65726:BGO65733 BGO131077:BGO131082 BGO131084:BGO131087 BGO131089:BGO131162 BGO131164:BGO131185 BGO131188:BGO131259 BGO131262:BGO131269 BGO196613:BGO196618 BGO196620:BGO196623 BGO196625:BGO196698 BGO196700:BGO196721 BGO196724:BGO196795 BGO196798:BGO196805 BGO262149:BGO262154 BGO262156:BGO262159 BGO262161:BGO262234 BGO262236:BGO262257 BGO262260:BGO262331 BGO262334:BGO262341 BGO327685:BGO327690 BGO327692:BGO327695 BGO327697:BGO327770 BGO327772:BGO327793 BGO327796:BGO327867 BGO327870:BGO327877 BGO393221:BGO393226 BGO393228:BGO393231 BGO393233:BGO393306 BGO393308:BGO393329 BGO393332:BGO393403 BGO393406:BGO393413 BGO458757:BGO458762 BGO458764:BGO458767 BGO458769:BGO458842 BGO458844:BGO458865 BGO458868:BGO458939 BGO458942:BGO458949 BGO524293:BGO524298 BGO524300:BGO524303 BGO524305:BGO524378 BGO524380:BGO524401 BGO524404:BGO524475 BGO524478:BGO524485 BGO589829:BGO589834 BGO589836:BGO589839 BGO589841:BGO589914 BGO589916:BGO589937 BGO589940:BGO590011 BGO590014:BGO590021 BGO655365:BGO655370 BGO655372:BGO655375 BGO655377:BGO655450 BGO655452:BGO655473 BGO655476:BGO655547 BGO655550:BGO655557 BGO720901:BGO720906 BGO720908:BGO720911 BGO720913:BGO720986 BGO720988:BGO721009 BGO721012:BGO721083 BGO721086:BGO721093 BGO786437:BGO786442 BGO786444:BGO786447 BGO786449:BGO786522 BGO786524:BGO786545 BGO786548:BGO786619 BGO786622:BGO786629 BGO851973:BGO851978 BGO851980:BGO851983 BGO851985:BGO852058 BGO852060:BGO852081 BGO852084:BGO852155 BGO852158:BGO852165 BGO917509:BGO917514 BGO917516:BGO917519 BGO917521:BGO917594 BGO917596:BGO917617 BGO917620:BGO917691 BGO917694:BGO917701 BGO983045:BGO983050 BGO983052:BGO983055 BGO983057:BGO983130 BGO983132:BGO983153 BGO983156:BGO983227 BGO983230:BGO983237 BQK11:BQK16 BQK18:BQK91 BQK93:BQK114 BQK117:BQK188 BQK190:BQK197 BQK65541:BQK65546 BQK65548:BQK65551 BQK65553:BQK65626 BQK65628:BQK65649 BQK65652:BQK65723 BQK65726:BQK65733 BQK131077:BQK131082 BQK131084:BQK131087 BQK131089:BQK131162 BQK131164:BQK131185 BQK131188:BQK131259 BQK131262:BQK131269 BQK196613:BQK196618 BQK196620:BQK196623 BQK196625:BQK196698 BQK196700:BQK196721 BQK196724:BQK196795 BQK196798:BQK196805 BQK262149:BQK262154 BQK262156:BQK262159 BQK262161:BQK262234 BQK262236:BQK262257 BQK262260:BQK262331 BQK262334:BQK262341 BQK327685:BQK327690 BQK327692:BQK327695 BQK327697:BQK327770 BQK327772:BQK327793 BQK327796:BQK327867 BQK327870:BQK327877 BQK393221:BQK393226 BQK393228:BQK393231 BQK393233:BQK393306 BQK393308:BQK393329 BQK393332:BQK393403 BQK393406:BQK393413 BQK458757:BQK458762 BQK458764:BQK458767 BQK458769:BQK458842 BQK458844:BQK458865 BQK458868:BQK458939 BQK458942:BQK458949 BQK524293:BQK524298 BQK524300:BQK524303 BQK524305:BQK524378 BQK524380:BQK524401 BQK524404:BQK524475 BQK524478:BQK524485 BQK589829:BQK589834 BQK589836:BQK589839 BQK589841:BQK589914 BQK589916:BQK589937 BQK589940:BQK590011 BQK590014:BQK590021 BQK655365:BQK655370 BQK655372:BQK655375 BQK655377:BQK655450 BQK655452:BQK655473 BQK655476:BQK655547 BQK655550:BQK655557 BQK720901:BQK720906 BQK720908:BQK720911 BQK720913:BQK720986 BQK720988:BQK721009 BQK721012:BQK721083 BQK721086:BQK721093 BQK786437:BQK786442 BQK786444:BQK786447 BQK786449:BQK786522 BQK786524:BQK786545 BQK786548:BQK786619 BQK786622:BQK786629 BQK851973:BQK851978 BQK851980:BQK851983 BQK851985:BQK852058 BQK852060:BQK852081 BQK852084:BQK852155 BQK852158:BQK852165 BQK917509:BQK917514 BQK917516:BQK917519 BQK917521:BQK917594 BQK917596:BQK917617 BQK917620:BQK917691 BQK917694:BQK917701 BQK983045:BQK983050 BQK983052:BQK983055 BQK983057:BQK983130 BQK983132:BQK983153 BQK983156:BQK983227 BQK983230:BQK983237 CAG11:CAG16 CAG18:CAG91 CAG93:CAG114 CAG117:CAG188 CAG190:CAG197 CAG65541:CAG65546 CAG65548:CAG65551 CAG65553:CAG65626 CAG65628:CAG65649 CAG65652:CAG65723 CAG65726:CAG65733 CAG131077:CAG131082 CAG131084:CAG131087 CAG131089:CAG131162 CAG131164:CAG131185 CAG131188:CAG131259 CAG131262:CAG131269 CAG196613:CAG196618 CAG196620:CAG196623 CAG196625:CAG196698 CAG196700:CAG196721 CAG196724:CAG196795 CAG196798:CAG196805 CAG262149:CAG262154 CAG262156:CAG262159 CAG262161:CAG262234 CAG262236:CAG262257 CAG262260:CAG262331 CAG262334:CAG262341 CAG327685:CAG327690 CAG327692:CAG327695 CAG327697:CAG327770 CAG327772:CAG327793 CAG327796:CAG327867 CAG327870:CAG327877 CAG393221:CAG393226 CAG393228:CAG393231 CAG393233:CAG393306 CAG393308:CAG393329 CAG393332:CAG393403 CAG393406:CAG393413 CAG458757:CAG458762 CAG458764:CAG458767 CAG458769:CAG458842 CAG458844:CAG458865 CAG458868:CAG458939 CAG458942:CAG458949 CAG524293:CAG524298 CAG524300:CAG524303 CAG524305:CAG524378 CAG524380:CAG524401 CAG524404:CAG524475 CAG524478:CAG524485 CAG589829:CAG589834 CAG589836:CAG589839 CAG589841:CAG589914 CAG589916:CAG589937 CAG589940:CAG590011 CAG590014:CAG590021 CAG655365:CAG655370 CAG655372:CAG655375 CAG655377:CAG655450 CAG655452:CAG655473 CAG655476:CAG655547 CAG655550:CAG655557 CAG720901:CAG720906 CAG720908:CAG720911 CAG720913:CAG720986 CAG720988:CAG721009 CAG721012:CAG721083 CAG721086:CAG721093 CAG786437:CAG786442 CAG786444:CAG786447 CAG786449:CAG786522 CAG786524:CAG786545 CAG786548:CAG786619 CAG786622:CAG786629 CAG851973:CAG851978 CAG851980:CAG851983 CAG851985:CAG852058 CAG852060:CAG852081 CAG852084:CAG852155 CAG852158:CAG852165 CAG917509:CAG917514 CAG917516:CAG917519 CAG917521:CAG917594 CAG917596:CAG917617 CAG917620:CAG917691 CAG917694:CAG917701 CAG983045:CAG983050 CAG983052:CAG983055 CAG983057:CAG983130 CAG983132:CAG983153 CAG983156:CAG983227 CAG983230:CAG983237 CKC11:CKC16 CKC18:CKC91 CKC93:CKC114 CKC117:CKC188 CKC190:CKC197 CKC65541:CKC65546 CKC65548:CKC65551 CKC65553:CKC65626 CKC65628:CKC65649 CKC65652:CKC65723 CKC65726:CKC65733 CKC131077:CKC131082 CKC131084:CKC131087 CKC131089:CKC131162 CKC131164:CKC131185 CKC131188:CKC131259 CKC131262:CKC131269 CKC196613:CKC196618 CKC196620:CKC196623 CKC196625:CKC196698 CKC196700:CKC196721 CKC196724:CKC196795 CKC196798:CKC196805 CKC262149:CKC262154 CKC262156:CKC262159 CKC262161:CKC262234 CKC262236:CKC262257 CKC262260:CKC262331 CKC262334:CKC262341 CKC327685:CKC327690 CKC327692:CKC327695 CKC327697:CKC327770 CKC327772:CKC327793 CKC327796:CKC327867 CKC327870:CKC327877 CKC393221:CKC393226 CKC393228:CKC393231 CKC393233:CKC393306 CKC393308:CKC393329 CKC393332:CKC393403 CKC393406:CKC393413 CKC458757:CKC458762 CKC458764:CKC458767 CKC458769:CKC458842 CKC458844:CKC458865 CKC458868:CKC458939 CKC458942:CKC458949 CKC524293:CKC524298 CKC524300:CKC524303 CKC524305:CKC524378 CKC524380:CKC524401 CKC524404:CKC524475 CKC524478:CKC524485 CKC589829:CKC589834 CKC589836:CKC589839 CKC589841:CKC589914 CKC589916:CKC589937 CKC589940:CKC590011 CKC590014:CKC590021 CKC655365:CKC655370 CKC655372:CKC655375 CKC655377:CKC655450 CKC655452:CKC655473 CKC655476:CKC655547 CKC655550:CKC655557 CKC720901:CKC720906 CKC720908:CKC720911 CKC720913:CKC720986 CKC720988:CKC721009 CKC721012:CKC721083 CKC721086:CKC721093 CKC786437:CKC786442 CKC786444:CKC786447 CKC786449:CKC786522 CKC786524:CKC786545 CKC786548:CKC786619 CKC786622:CKC786629 CKC851973:CKC851978 CKC851980:CKC851983 CKC851985:CKC852058 CKC852060:CKC852081 CKC852084:CKC852155 CKC852158:CKC852165 CKC917509:CKC917514 CKC917516:CKC917519 CKC917521:CKC917594 CKC917596:CKC917617 CKC917620:CKC917691 CKC917694:CKC917701 CKC983045:CKC983050 CKC983052:CKC983055 CKC983057:CKC983130 CKC983132:CKC983153 CKC983156:CKC983227 CKC983230:CKC983237 CTY11:CTY16 CTY18:CTY91 CTY93:CTY114 CTY117:CTY188 CTY190:CTY197 CTY65541:CTY65546 CTY65548:CTY65551 CTY65553:CTY65626 CTY65628:CTY65649 CTY65652:CTY65723 CTY65726:CTY65733 CTY131077:CTY131082 CTY131084:CTY131087 CTY131089:CTY131162 CTY131164:CTY131185 CTY131188:CTY131259 CTY131262:CTY131269 CTY196613:CTY196618 CTY196620:CTY196623 CTY196625:CTY196698 CTY196700:CTY196721 CTY196724:CTY196795 CTY196798:CTY196805 CTY262149:CTY262154 CTY262156:CTY262159 CTY262161:CTY262234 CTY262236:CTY262257 CTY262260:CTY262331 CTY262334:CTY262341 CTY327685:CTY327690 CTY327692:CTY327695 CTY327697:CTY327770 CTY327772:CTY327793 CTY327796:CTY327867 CTY327870:CTY327877 CTY393221:CTY393226 CTY393228:CTY393231 CTY393233:CTY393306 CTY393308:CTY393329 CTY393332:CTY393403 CTY393406:CTY393413 CTY458757:CTY458762 CTY458764:CTY458767 CTY458769:CTY458842 CTY458844:CTY458865 CTY458868:CTY458939 CTY458942:CTY458949 CTY524293:CTY524298 CTY524300:CTY524303 CTY524305:CTY524378 CTY524380:CTY524401 CTY524404:CTY524475 CTY524478:CTY524485 CTY589829:CTY589834 CTY589836:CTY589839 CTY589841:CTY589914 CTY589916:CTY589937 CTY589940:CTY590011 CTY590014:CTY590021 CTY655365:CTY655370 CTY655372:CTY655375 CTY655377:CTY655450 CTY655452:CTY655473 CTY655476:CTY655547 CTY655550:CTY655557 CTY720901:CTY720906 CTY720908:CTY720911 CTY720913:CTY720986 CTY720988:CTY721009 CTY721012:CTY721083 CTY721086:CTY721093 CTY786437:CTY786442 CTY786444:CTY786447 CTY786449:CTY786522 CTY786524:CTY786545 CTY786548:CTY786619 CTY786622:CTY786629 CTY851973:CTY851978 CTY851980:CTY851983 CTY851985:CTY852058 CTY852060:CTY852081 CTY852084:CTY852155 CTY852158:CTY852165 CTY917509:CTY917514 CTY917516:CTY917519 CTY917521:CTY917594 CTY917596:CTY917617 CTY917620:CTY917691 CTY917694:CTY917701 CTY983045:CTY983050 CTY983052:CTY983055 CTY983057:CTY983130 CTY983132:CTY983153 CTY983156:CTY983227 CTY983230:CTY983237 DDU11:DDU16 DDU18:DDU91 DDU93:DDU114 DDU117:DDU188 DDU190:DDU197 DDU65541:DDU65546 DDU65548:DDU65551 DDU65553:DDU65626 DDU65628:DDU65649 DDU65652:DDU65723 DDU65726:DDU65733 DDU131077:DDU131082 DDU131084:DDU131087 DDU131089:DDU131162 DDU131164:DDU131185 DDU131188:DDU131259 DDU131262:DDU131269 DDU196613:DDU196618 DDU196620:DDU196623 DDU196625:DDU196698 DDU196700:DDU196721 DDU196724:DDU196795 DDU196798:DDU196805 DDU262149:DDU262154 DDU262156:DDU262159 DDU262161:DDU262234 DDU262236:DDU262257 DDU262260:DDU262331 DDU262334:DDU262341 DDU327685:DDU327690 DDU327692:DDU327695 DDU327697:DDU327770 DDU327772:DDU327793 DDU327796:DDU327867 DDU327870:DDU327877 DDU393221:DDU393226 DDU393228:DDU393231 DDU393233:DDU393306 DDU393308:DDU393329 DDU393332:DDU393403 DDU393406:DDU393413 DDU458757:DDU458762 DDU458764:DDU458767 DDU458769:DDU458842 DDU458844:DDU458865 DDU458868:DDU458939 DDU458942:DDU458949 DDU524293:DDU524298 DDU524300:DDU524303 DDU524305:DDU524378 DDU524380:DDU524401 DDU524404:DDU524475 DDU524478:DDU524485 DDU589829:DDU589834 DDU589836:DDU589839 DDU589841:DDU589914 DDU589916:DDU589937 DDU589940:DDU590011 DDU590014:DDU590021 DDU655365:DDU655370 DDU655372:DDU655375 DDU655377:DDU655450 DDU655452:DDU655473 DDU655476:DDU655547 DDU655550:DDU655557 DDU720901:DDU720906 DDU720908:DDU720911 DDU720913:DDU720986 DDU720988:DDU721009 DDU721012:DDU721083 DDU721086:DDU721093 DDU786437:DDU786442 DDU786444:DDU786447 DDU786449:DDU786522 DDU786524:DDU786545 DDU786548:DDU786619 DDU786622:DDU786629 DDU851973:DDU851978 DDU851980:DDU851983 DDU851985:DDU852058 DDU852060:DDU852081 DDU852084:DDU852155 DDU852158:DDU852165 DDU917509:DDU917514 DDU917516:DDU917519 DDU917521:DDU917594 DDU917596:DDU917617 DDU917620:DDU917691 DDU917694:DDU917701 DDU983045:DDU983050 DDU983052:DDU983055 DDU983057:DDU983130 DDU983132:DDU983153 DDU983156:DDU983227 DDU983230:DDU983237 DNQ11:DNQ16 DNQ18:DNQ91 DNQ93:DNQ114 DNQ117:DNQ188 DNQ190:DNQ197 DNQ65541:DNQ65546 DNQ65548:DNQ65551 DNQ65553:DNQ65626 DNQ65628:DNQ65649 DNQ65652:DNQ65723 DNQ65726:DNQ65733 DNQ131077:DNQ131082 DNQ131084:DNQ131087 DNQ131089:DNQ131162 DNQ131164:DNQ131185 DNQ131188:DNQ131259 DNQ131262:DNQ131269 DNQ196613:DNQ196618 DNQ196620:DNQ196623 DNQ196625:DNQ196698 DNQ196700:DNQ196721 DNQ196724:DNQ196795 DNQ196798:DNQ196805 DNQ262149:DNQ262154 DNQ262156:DNQ262159 DNQ262161:DNQ262234 DNQ262236:DNQ262257 DNQ262260:DNQ262331 DNQ262334:DNQ262341 DNQ327685:DNQ327690 DNQ327692:DNQ327695 DNQ327697:DNQ327770 DNQ327772:DNQ327793 DNQ327796:DNQ327867 DNQ327870:DNQ327877 DNQ393221:DNQ393226 DNQ393228:DNQ393231 DNQ393233:DNQ393306 DNQ393308:DNQ393329 DNQ393332:DNQ393403 DNQ393406:DNQ393413 DNQ458757:DNQ458762 DNQ458764:DNQ458767 DNQ458769:DNQ458842 DNQ458844:DNQ458865 DNQ458868:DNQ458939 DNQ458942:DNQ458949 DNQ524293:DNQ524298 DNQ524300:DNQ524303 DNQ524305:DNQ524378 DNQ524380:DNQ524401 DNQ524404:DNQ524475 DNQ524478:DNQ524485 DNQ589829:DNQ589834 DNQ589836:DNQ589839 DNQ589841:DNQ589914 DNQ589916:DNQ589937 DNQ589940:DNQ590011 DNQ590014:DNQ590021 DNQ655365:DNQ655370 DNQ655372:DNQ655375 DNQ655377:DNQ655450 DNQ655452:DNQ655473 DNQ655476:DNQ655547 DNQ655550:DNQ655557 DNQ720901:DNQ720906 DNQ720908:DNQ720911 DNQ720913:DNQ720986 DNQ720988:DNQ721009 DNQ721012:DNQ721083 DNQ721086:DNQ721093 DNQ786437:DNQ786442 DNQ786444:DNQ786447 DNQ786449:DNQ786522 DNQ786524:DNQ786545 DNQ786548:DNQ786619 DNQ786622:DNQ786629 DNQ851973:DNQ851978 DNQ851980:DNQ851983 DNQ851985:DNQ852058 DNQ852060:DNQ852081 DNQ852084:DNQ852155 DNQ852158:DNQ852165 DNQ917509:DNQ917514 DNQ917516:DNQ917519 DNQ917521:DNQ917594 DNQ917596:DNQ917617 DNQ917620:DNQ917691 DNQ917694:DNQ917701 DNQ983045:DNQ983050 DNQ983052:DNQ983055 DNQ983057:DNQ983130 DNQ983132:DNQ983153 DNQ983156:DNQ983227 DNQ983230:DNQ983237 DXM11:DXM16 DXM18:DXM91 DXM93:DXM114 DXM117:DXM188 DXM190:DXM197 DXM65541:DXM65546 DXM65548:DXM65551 DXM65553:DXM65626 DXM65628:DXM65649 DXM65652:DXM65723 DXM65726:DXM65733 DXM131077:DXM131082 DXM131084:DXM131087 DXM131089:DXM131162 DXM131164:DXM131185 DXM131188:DXM131259 DXM131262:DXM131269 DXM196613:DXM196618 DXM196620:DXM196623 DXM196625:DXM196698 DXM196700:DXM196721 DXM196724:DXM196795 DXM196798:DXM196805 DXM262149:DXM262154 DXM262156:DXM262159 DXM262161:DXM262234 DXM262236:DXM262257 DXM262260:DXM262331 DXM262334:DXM262341 DXM327685:DXM327690 DXM327692:DXM327695 DXM327697:DXM327770 DXM327772:DXM327793 DXM327796:DXM327867 DXM327870:DXM327877 DXM393221:DXM393226 DXM393228:DXM393231 DXM393233:DXM393306 DXM393308:DXM393329 DXM393332:DXM393403 DXM393406:DXM393413 DXM458757:DXM458762 DXM458764:DXM458767 DXM458769:DXM458842 DXM458844:DXM458865 DXM458868:DXM458939 DXM458942:DXM458949 DXM524293:DXM524298 DXM524300:DXM524303 DXM524305:DXM524378 DXM524380:DXM524401 DXM524404:DXM524475 DXM524478:DXM524485 DXM589829:DXM589834 DXM589836:DXM589839 DXM589841:DXM589914 DXM589916:DXM589937 DXM589940:DXM590011 DXM590014:DXM590021 DXM655365:DXM655370 DXM655372:DXM655375 DXM655377:DXM655450 DXM655452:DXM655473 DXM655476:DXM655547 DXM655550:DXM655557 DXM720901:DXM720906 DXM720908:DXM720911 DXM720913:DXM720986 DXM720988:DXM721009 DXM721012:DXM721083 DXM721086:DXM721093 DXM786437:DXM786442 DXM786444:DXM786447 DXM786449:DXM786522 DXM786524:DXM786545 DXM786548:DXM786619 DXM786622:DXM786629 DXM851973:DXM851978 DXM851980:DXM851983 DXM851985:DXM852058 DXM852060:DXM852081 DXM852084:DXM852155 DXM852158:DXM852165 DXM917509:DXM917514 DXM917516:DXM917519 DXM917521:DXM917594 DXM917596:DXM917617 DXM917620:DXM917691 DXM917694:DXM917701 DXM983045:DXM983050 DXM983052:DXM983055 DXM983057:DXM983130 DXM983132:DXM983153 DXM983156:DXM983227 DXM983230:DXM983237 EHI11:EHI16 EHI18:EHI91 EHI93:EHI114 EHI117:EHI188 EHI190:EHI197 EHI65541:EHI65546 EHI65548:EHI65551 EHI65553:EHI65626 EHI65628:EHI65649 EHI65652:EHI65723 EHI65726:EHI65733 EHI131077:EHI131082 EHI131084:EHI131087 EHI131089:EHI131162 EHI131164:EHI131185 EHI131188:EHI131259 EHI131262:EHI131269 EHI196613:EHI196618 EHI196620:EHI196623 EHI196625:EHI196698 EHI196700:EHI196721 EHI196724:EHI196795 EHI196798:EHI196805 EHI262149:EHI262154 EHI262156:EHI262159 EHI262161:EHI262234 EHI262236:EHI262257 EHI262260:EHI262331 EHI262334:EHI262341 EHI327685:EHI327690 EHI327692:EHI327695 EHI327697:EHI327770 EHI327772:EHI327793 EHI327796:EHI327867 EHI327870:EHI327877 EHI393221:EHI393226 EHI393228:EHI393231 EHI393233:EHI393306 EHI393308:EHI393329 EHI393332:EHI393403 EHI393406:EHI393413 EHI458757:EHI458762 EHI458764:EHI458767 EHI458769:EHI458842 EHI458844:EHI458865 EHI458868:EHI458939 EHI458942:EHI458949 EHI524293:EHI524298 EHI524300:EHI524303 EHI524305:EHI524378 EHI524380:EHI524401 EHI524404:EHI524475 EHI524478:EHI524485 EHI589829:EHI589834 EHI589836:EHI589839 EHI589841:EHI589914 EHI589916:EHI589937 EHI589940:EHI590011 EHI590014:EHI590021 EHI655365:EHI655370 EHI655372:EHI655375 EHI655377:EHI655450 EHI655452:EHI655473 EHI655476:EHI655547 EHI655550:EHI655557 EHI720901:EHI720906 EHI720908:EHI720911 EHI720913:EHI720986 EHI720988:EHI721009 EHI721012:EHI721083 EHI721086:EHI721093 EHI786437:EHI786442 EHI786444:EHI786447 EHI786449:EHI786522 EHI786524:EHI786545 EHI786548:EHI786619 EHI786622:EHI786629 EHI851973:EHI851978 EHI851980:EHI851983 EHI851985:EHI852058 EHI852060:EHI852081 EHI852084:EHI852155 EHI852158:EHI852165 EHI917509:EHI917514 EHI917516:EHI917519 EHI917521:EHI917594 EHI917596:EHI917617 EHI917620:EHI917691 EHI917694:EHI917701 EHI983045:EHI983050 EHI983052:EHI983055 EHI983057:EHI983130 EHI983132:EHI983153 EHI983156:EHI983227 EHI983230:EHI983237 ERE11:ERE16 ERE18:ERE91 ERE93:ERE114 ERE117:ERE188 ERE190:ERE197 ERE65541:ERE65546 ERE65548:ERE65551 ERE65553:ERE65626 ERE65628:ERE65649 ERE65652:ERE65723 ERE65726:ERE65733 ERE131077:ERE131082 ERE131084:ERE131087 ERE131089:ERE131162 ERE131164:ERE131185 ERE131188:ERE131259 ERE131262:ERE131269 ERE196613:ERE196618 ERE196620:ERE196623 ERE196625:ERE196698 ERE196700:ERE196721 ERE196724:ERE196795 ERE196798:ERE196805 ERE262149:ERE262154 ERE262156:ERE262159 ERE262161:ERE262234 ERE262236:ERE262257 ERE262260:ERE262331 ERE262334:ERE262341 ERE327685:ERE327690 ERE327692:ERE327695 ERE327697:ERE327770 ERE327772:ERE327793 ERE327796:ERE327867 ERE327870:ERE327877 ERE393221:ERE393226 ERE393228:ERE393231 ERE393233:ERE393306 ERE393308:ERE393329 ERE393332:ERE393403 ERE393406:ERE393413 ERE458757:ERE458762 ERE458764:ERE458767 ERE458769:ERE458842 ERE458844:ERE458865 ERE458868:ERE458939 ERE458942:ERE458949 ERE524293:ERE524298 ERE524300:ERE524303 ERE524305:ERE524378 ERE524380:ERE524401 ERE524404:ERE524475 ERE524478:ERE524485 ERE589829:ERE589834 ERE589836:ERE589839 ERE589841:ERE589914 ERE589916:ERE589937 ERE589940:ERE590011 ERE590014:ERE590021 ERE655365:ERE655370 ERE655372:ERE655375 ERE655377:ERE655450 ERE655452:ERE655473 ERE655476:ERE655547 ERE655550:ERE655557 ERE720901:ERE720906 ERE720908:ERE720911 ERE720913:ERE720986 ERE720988:ERE721009 ERE721012:ERE721083 ERE721086:ERE721093 ERE786437:ERE786442 ERE786444:ERE786447 ERE786449:ERE786522 ERE786524:ERE786545 ERE786548:ERE786619 ERE786622:ERE786629 ERE851973:ERE851978 ERE851980:ERE851983 ERE851985:ERE852058 ERE852060:ERE852081 ERE852084:ERE852155 ERE852158:ERE852165 ERE917509:ERE917514 ERE917516:ERE917519 ERE917521:ERE917594 ERE917596:ERE917617 ERE917620:ERE917691 ERE917694:ERE917701 ERE983045:ERE983050 ERE983052:ERE983055 ERE983057:ERE983130 ERE983132:ERE983153 ERE983156:ERE983227 ERE983230:ERE983237 FBA11:FBA16 FBA18:FBA91 FBA93:FBA114 FBA117:FBA188 FBA190:FBA197 FBA65541:FBA65546 FBA65548:FBA65551 FBA65553:FBA65626 FBA65628:FBA65649 FBA65652:FBA65723 FBA65726:FBA65733 FBA131077:FBA131082 FBA131084:FBA131087 FBA131089:FBA131162 FBA131164:FBA131185 FBA131188:FBA131259 FBA131262:FBA131269 FBA196613:FBA196618 FBA196620:FBA196623 FBA196625:FBA196698 FBA196700:FBA196721 FBA196724:FBA196795 FBA196798:FBA196805 FBA262149:FBA262154 FBA262156:FBA262159 FBA262161:FBA262234 FBA262236:FBA262257 FBA262260:FBA262331 FBA262334:FBA262341 FBA327685:FBA327690 FBA327692:FBA327695 FBA327697:FBA327770 FBA327772:FBA327793 FBA327796:FBA327867 FBA327870:FBA327877 FBA393221:FBA393226 FBA393228:FBA393231 FBA393233:FBA393306 FBA393308:FBA393329 FBA393332:FBA393403 FBA393406:FBA393413 FBA458757:FBA458762 FBA458764:FBA458767 FBA458769:FBA458842 FBA458844:FBA458865 FBA458868:FBA458939 FBA458942:FBA458949 FBA524293:FBA524298 FBA524300:FBA524303 FBA524305:FBA524378 FBA524380:FBA524401 FBA524404:FBA524475 FBA524478:FBA524485 FBA589829:FBA589834 FBA589836:FBA589839 FBA589841:FBA589914 FBA589916:FBA589937 FBA589940:FBA590011 FBA590014:FBA590021 FBA655365:FBA655370 FBA655372:FBA655375 FBA655377:FBA655450 FBA655452:FBA655473 FBA655476:FBA655547 FBA655550:FBA655557 FBA720901:FBA720906 FBA720908:FBA720911 FBA720913:FBA720986 FBA720988:FBA721009 FBA721012:FBA721083 FBA721086:FBA721093 FBA786437:FBA786442 FBA786444:FBA786447 FBA786449:FBA786522 FBA786524:FBA786545 FBA786548:FBA786619 FBA786622:FBA786629 FBA851973:FBA851978 FBA851980:FBA851983 FBA851985:FBA852058 FBA852060:FBA852081 FBA852084:FBA852155 FBA852158:FBA852165 FBA917509:FBA917514 FBA917516:FBA917519 FBA917521:FBA917594 FBA917596:FBA917617 FBA917620:FBA917691 FBA917694:FBA917701 FBA983045:FBA983050 FBA983052:FBA983055 FBA983057:FBA983130 FBA983132:FBA983153 FBA983156:FBA983227 FBA983230:FBA983237 FKW11:FKW16 FKW18:FKW91 FKW93:FKW114 FKW117:FKW188 FKW190:FKW197 FKW65541:FKW65546 FKW65548:FKW65551 FKW65553:FKW65626 FKW65628:FKW65649 FKW65652:FKW65723 FKW65726:FKW65733 FKW131077:FKW131082 FKW131084:FKW131087 FKW131089:FKW131162 FKW131164:FKW131185 FKW131188:FKW131259 FKW131262:FKW131269 FKW196613:FKW196618 FKW196620:FKW196623 FKW196625:FKW196698 FKW196700:FKW196721 FKW196724:FKW196795 FKW196798:FKW196805 FKW262149:FKW262154 FKW262156:FKW262159 FKW262161:FKW262234 FKW262236:FKW262257 FKW262260:FKW262331 FKW262334:FKW262341 FKW327685:FKW327690 FKW327692:FKW327695 FKW327697:FKW327770 FKW327772:FKW327793 FKW327796:FKW327867 FKW327870:FKW327877 FKW393221:FKW393226 FKW393228:FKW393231 FKW393233:FKW393306 FKW393308:FKW393329 FKW393332:FKW393403 FKW393406:FKW393413 FKW458757:FKW458762 FKW458764:FKW458767 FKW458769:FKW458842 FKW458844:FKW458865 FKW458868:FKW458939 FKW458942:FKW458949 FKW524293:FKW524298 FKW524300:FKW524303 FKW524305:FKW524378 FKW524380:FKW524401 FKW524404:FKW524475 FKW524478:FKW524485 FKW589829:FKW589834 FKW589836:FKW589839 FKW589841:FKW589914 FKW589916:FKW589937 FKW589940:FKW590011 FKW590014:FKW590021 FKW655365:FKW655370 FKW655372:FKW655375 FKW655377:FKW655450 FKW655452:FKW655473 FKW655476:FKW655547 FKW655550:FKW655557 FKW720901:FKW720906 FKW720908:FKW720911 FKW720913:FKW720986 FKW720988:FKW721009 FKW721012:FKW721083 FKW721086:FKW721093 FKW786437:FKW786442 FKW786444:FKW786447 FKW786449:FKW786522 FKW786524:FKW786545 FKW786548:FKW786619 FKW786622:FKW786629 FKW851973:FKW851978 FKW851980:FKW851983 FKW851985:FKW852058 FKW852060:FKW852081 FKW852084:FKW852155 FKW852158:FKW852165 FKW917509:FKW917514 FKW917516:FKW917519 FKW917521:FKW917594 FKW917596:FKW917617 FKW917620:FKW917691 FKW917694:FKW917701 FKW983045:FKW983050 FKW983052:FKW983055 FKW983057:FKW983130 FKW983132:FKW983153 FKW983156:FKW983227 FKW983230:FKW983237 FUS11:FUS16 FUS18:FUS91 FUS93:FUS114 FUS117:FUS188 FUS190:FUS197 FUS65541:FUS65546 FUS65548:FUS65551 FUS65553:FUS65626 FUS65628:FUS65649 FUS65652:FUS65723 FUS65726:FUS65733 FUS131077:FUS131082 FUS131084:FUS131087 FUS131089:FUS131162 FUS131164:FUS131185 FUS131188:FUS131259 FUS131262:FUS131269 FUS196613:FUS196618 FUS196620:FUS196623 FUS196625:FUS196698 FUS196700:FUS196721 FUS196724:FUS196795 FUS196798:FUS196805 FUS262149:FUS262154 FUS262156:FUS262159 FUS262161:FUS262234 FUS262236:FUS262257 FUS262260:FUS262331 FUS262334:FUS262341 FUS327685:FUS327690 FUS327692:FUS327695 FUS327697:FUS327770 FUS327772:FUS327793 FUS327796:FUS327867 FUS327870:FUS327877 FUS393221:FUS393226 FUS393228:FUS393231 FUS393233:FUS393306 FUS393308:FUS393329 FUS393332:FUS393403 FUS393406:FUS393413 FUS458757:FUS458762 FUS458764:FUS458767 FUS458769:FUS458842 FUS458844:FUS458865 FUS458868:FUS458939 FUS458942:FUS458949 FUS524293:FUS524298 FUS524300:FUS524303 FUS524305:FUS524378 FUS524380:FUS524401 FUS524404:FUS524475 FUS524478:FUS524485 FUS589829:FUS589834 FUS589836:FUS589839 FUS589841:FUS589914 FUS589916:FUS589937 FUS589940:FUS590011 FUS590014:FUS590021 FUS655365:FUS655370 FUS655372:FUS655375 FUS655377:FUS655450 FUS655452:FUS655473 FUS655476:FUS655547 FUS655550:FUS655557 FUS720901:FUS720906 FUS720908:FUS720911 FUS720913:FUS720986 FUS720988:FUS721009 FUS721012:FUS721083 FUS721086:FUS721093 FUS786437:FUS786442 FUS786444:FUS786447 FUS786449:FUS786522 FUS786524:FUS786545 FUS786548:FUS786619 FUS786622:FUS786629 FUS851973:FUS851978 FUS851980:FUS851983 FUS851985:FUS852058 FUS852060:FUS852081 FUS852084:FUS852155 FUS852158:FUS852165 FUS917509:FUS917514 FUS917516:FUS917519 FUS917521:FUS917594 FUS917596:FUS917617 FUS917620:FUS917691 FUS917694:FUS917701 FUS983045:FUS983050 FUS983052:FUS983055 FUS983057:FUS983130 FUS983132:FUS983153 FUS983156:FUS983227 FUS983230:FUS983237 GEO11:GEO16 GEO18:GEO91 GEO93:GEO114 GEO117:GEO188 GEO190:GEO197 GEO65541:GEO65546 GEO65548:GEO65551 GEO65553:GEO65626 GEO65628:GEO65649 GEO65652:GEO65723 GEO65726:GEO65733 GEO131077:GEO131082 GEO131084:GEO131087 GEO131089:GEO131162 GEO131164:GEO131185 GEO131188:GEO131259 GEO131262:GEO131269 GEO196613:GEO196618 GEO196620:GEO196623 GEO196625:GEO196698 GEO196700:GEO196721 GEO196724:GEO196795 GEO196798:GEO196805 GEO262149:GEO262154 GEO262156:GEO262159 GEO262161:GEO262234 GEO262236:GEO262257 GEO262260:GEO262331 GEO262334:GEO262341 GEO327685:GEO327690 GEO327692:GEO327695 GEO327697:GEO327770 GEO327772:GEO327793 GEO327796:GEO327867 GEO327870:GEO327877 GEO393221:GEO393226 GEO393228:GEO393231 GEO393233:GEO393306 GEO393308:GEO393329 GEO393332:GEO393403 GEO393406:GEO393413 GEO458757:GEO458762 GEO458764:GEO458767 GEO458769:GEO458842 GEO458844:GEO458865 GEO458868:GEO458939 GEO458942:GEO458949 GEO524293:GEO524298 GEO524300:GEO524303 GEO524305:GEO524378 GEO524380:GEO524401 GEO524404:GEO524475 GEO524478:GEO524485 GEO589829:GEO589834 GEO589836:GEO589839 GEO589841:GEO589914 GEO589916:GEO589937 GEO589940:GEO590011 GEO590014:GEO590021 GEO655365:GEO655370 GEO655372:GEO655375 GEO655377:GEO655450 GEO655452:GEO655473 GEO655476:GEO655547 GEO655550:GEO655557 GEO720901:GEO720906 GEO720908:GEO720911 GEO720913:GEO720986 GEO720988:GEO721009 GEO721012:GEO721083 GEO721086:GEO721093 GEO786437:GEO786442 GEO786444:GEO786447 GEO786449:GEO786522 GEO786524:GEO786545 GEO786548:GEO786619 GEO786622:GEO786629 GEO851973:GEO851978 GEO851980:GEO851983 GEO851985:GEO852058 GEO852060:GEO852081 GEO852084:GEO852155 GEO852158:GEO852165 GEO917509:GEO917514 GEO917516:GEO917519 GEO917521:GEO917594 GEO917596:GEO917617 GEO917620:GEO917691 GEO917694:GEO917701 GEO983045:GEO983050 GEO983052:GEO983055 GEO983057:GEO983130 GEO983132:GEO983153 GEO983156:GEO983227 GEO983230:GEO983237 GOK11:GOK16 GOK18:GOK91 GOK93:GOK114 GOK117:GOK188 GOK190:GOK197 GOK65541:GOK65546 GOK65548:GOK65551 GOK65553:GOK65626 GOK65628:GOK65649 GOK65652:GOK65723 GOK65726:GOK65733 GOK131077:GOK131082 GOK131084:GOK131087 GOK131089:GOK131162 GOK131164:GOK131185 GOK131188:GOK131259 GOK131262:GOK131269 GOK196613:GOK196618 GOK196620:GOK196623 GOK196625:GOK196698 GOK196700:GOK196721 GOK196724:GOK196795 GOK196798:GOK196805 GOK262149:GOK262154 GOK262156:GOK262159 GOK262161:GOK262234 GOK262236:GOK262257 GOK262260:GOK262331 GOK262334:GOK262341 GOK327685:GOK327690 GOK327692:GOK327695 GOK327697:GOK327770 GOK327772:GOK327793 GOK327796:GOK327867 GOK327870:GOK327877 GOK393221:GOK393226 GOK393228:GOK393231 GOK393233:GOK393306 GOK393308:GOK393329 GOK393332:GOK393403 GOK393406:GOK393413 GOK458757:GOK458762 GOK458764:GOK458767 GOK458769:GOK458842 GOK458844:GOK458865 GOK458868:GOK458939 GOK458942:GOK458949 GOK524293:GOK524298 GOK524300:GOK524303 GOK524305:GOK524378 GOK524380:GOK524401 GOK524404:GOK524475 GOK524478:GOK524485 GOK589829:GOK589834 GOK589836:GOK589839 GOK589841:GOK589914 GOK589916:GOK589937 GOK589940:GOK590011 GOK590014:GOK590021 GOK655365:GOK655370 GOK655372:GOK655375 GOK655377:GOK655450 GOK655452:GOK655473 GOK655476:GOK655547 GOK655550:GOK655557 GOK720901:GOK720906 GOK720908:GOK720911 GOK720913:GOK720986 GOK720988:GOK721009 GOK721012:GOK721083 GOK721086:GOK721093 GOK786437:GOK786442 GOK786444:GOK786447 GOK786449:GOK786522 GOK786524:GOK786545 GOK786548:GOK786619 GOK786622:GOK786629 GOK851973:GOK851978 GOK851980:GOK851983 GOK851985:GOK852058 GOK852060:GOK852081 GOK852084:GOK852155 GOK852158:GOK852165 GOK917509:GOK917514 GOK917516:GOK917519 GOK917521:GOK917594 GOK917596:GOK917617 GOK917620:GOK917691 GOK917694:GOK917701 GOK983045:GOK983050 GOK983052:GOK983055 GOK983057:GOK983130 GOK983132:GOK983153 GOK983156:GOK983227 GOK983230:GOK983237 GYG11:GYG16 GYG18:GYG91 GYG93:GYG114 GYG117:GYG188 GYG190:GYG197 GYG65541:GYG65546 GYG65548:GYG65551 GYG65553:GYG65626 GYG65628:GYG65649 GYG65652:GYG65723 GYG65726:GYG65733 GYG131077:GYG131082 GYG131084:GYG131087 GYG131089:GYG131162 GYG131164:GYG131185 GYG131188:GYG131259 GYG131262:GYG131269 GYG196613:GYG196618 GYG196620:GYG196623 GYG196625:GYG196698 GYG196700:GYG196721 GYG196724:GYG196795 GYG196798:GYG196805 GYG262149:GYG262154 GYG262156:GYG262159 GYG262161:GYG262234 GYG262236:GYG262257 GYG262260:GYG262331 GYG262334:GYG262341 GYG327685:GYG327690 GYG327692:GYG327695 GYG327697:GYG327770 GYG327772:GYG327793 GYG327796:GYG327867 GYG327870:GYG327877 GYG393221:GYG393226 GYG393228:GYG393231 GYG393233:GYG393306 GYG393308:GYG393329 GYG393332:GYG393403 GYG393406:GYG393413 GYG458757:GYG458762 GYG458764:GYG458767 GYG458769:GYG458842 GYG458844:GYG458865 GYG458868:GYG458939 GYG458942:GYG458949 GYG524293:GYG524298 GYG524300:GYG524303 GYG524305:GYG524378 GYG524380:GYG524401 GYG524404:GYG524475 GYG524478:GYG524485 GYG589829:GYG589834 GYG589836:GYG589839 GYG589841:GYG589914 GYG589916:GYG589937 GYG589940:GYG590011 GYG590014:GYG590021 GYG655365:GYG655370 GYG655372:GYG655375 GYG655377:GYG655450 GYG655452:GYG655473 GYG655476:GYG655547 GYG655550:GYG655557 GYG720901:GYG720906 GYG720908:GYG720911 GYG720913:GYG720986 GYG720988:GYG721009 GYG721012:GYG721083 GYG721086:GYG721093 GYG786437:GYG786442 GYG786444:GYG786447 GYG786449:GYG786522 GYG786524:GYG786545 GYG786548:GYG786619 GYG786622:GYG786629 GYG851973:GYG851978 GYG851980:GYG851983 GYG851985:GYG852058 GYG852060:GYG852081 GYG852084:GYG852155 GYG852158:GYG852165 GYG917509:GYG917514 GYG917516:GYG917519 GYG917521:GYG917594 GYG917596:GYG917617 GYG917620:GYG917691 GYG917694:GYG917701 GYG983045:GYG983050 GYG983052:GYG983055 GYG983057:GYG983130 GYG983132:GYG983153 GYG983156:GYG983227 GYG983230:GYG983237 HIC11:HIC16 HIC18:HIC91 HIC93:HIC114 HIC117:HIC188 HIC190:HIC197 HIC65541:HIC65546 HIC65548:HIC65551 HIC65553:HIC65626 HIC65628:HIC65649 HIC65652:HIC65723 HIC65726:HIC65733 HIC131077:HIC131082 HIC131084:HIC131087 HIC131089:HIC131162 HIC131164:HIC131185 HIC131188:HIC131259 HIC131262:HIC131269 HIC196613:HIC196618 HIC196620:HIC196623 HIC196625:HIC196698 HIC196700:HIC196721 HIC196724:HIC196795 HIC196798:HIC196805 HIC262149:HIC262154 HIC262156:HIC262159 HIC262161:HIC262234 HIC262236:HIC262257 HIC262260:HIC262331 HIC262334:HIC262341 HIC327685:HIC327690 HIC327692:HIC327695 HIC327697:HIC327770 HIC327772:HIC327793 HIC327796:HIC327867 HIC327870:HIC327877 HIC393221:HIC393226 HIC393228:HIC393231 HIC393233:HIC393306 HIC393308:HIC393329 HIC393332:HIC393403 HIC393406:HIC393413 HIC458757:HIC458762 HIC458764:HIC458767 HIC458769:HIC458842 HIC458844:HIC458865 HIC458868:HIC458939 HIC458942:HIC458949 HIC524293:HIC524298 HIC524300:HIC524303 HIC524305:HIC524378 HIC524380:HIC524401 HIC524404:HIC524475 HIC524478:HIC524485 HIC589829:HIC589834 HIC589836:HIC589839 HIC589841:HIC589914 HIC589916:HIC589937 HIC589940:HIC590011 HIC590014:HIC590021 HIC655365:HIC655370 HIC655372:HIC655375 HIC655377:HIC655450 HIC655452:HIC655473 HIC655476:HIC655547 HIC655550:HIC655557 HIC720901:HIC720906 HIC720908:HIC720911 HIC720913:HIC720986 HIC720988:HIC721009 HIC721012:HIC721083 HIC721086:HIC721093 HIC786437:HIC786442 HIC786444:HIC786447 HIC786449:HIC786522 HIC786524:HIC786545 HIC786548:HIC786619 HIC786622:HIC786629 HIC851973:HIC851978 HIC851980:HIC851983 HIC851985:HIC852058 HIC852060:HIC852081 HIC852084:HIC852155 HIC852158:HIC852165 HIC917509:HIC917514 HIC917516:HIC917519 HIC917521:HIC917594 HIC917596:HIC917617 HIC917620:HIC917691 HIC917694:HIC917701 HIC983045:HIC983050 HIC983052:HIC983055 HIC983057:HIC983130 HIC983132:HIC983153 HIC983156:HIC983227 HIC983230:HIC983237 HRY11:HRY16 HRY18:HRY91 HRY93:HRY114 HRY117:HRY188 HRY190:HRY197 HRY65541:HRY65546 HRY65548:HRY65551 HRY65553:HRY65626 HRY65628:HRY65649 HRY65652:HRY65723 HRY65726:HRY65733 HRY131077:HRY131082 HRY131084:HRY131087 HRY131089:HRY131162 HRY131164:HRY131185 HRY131188:HRY131259 HRY131262:HRY131269 HRY196613:HRY196618 HRY196620:HRY196623 HRY196625:HRY196698 HRY196700:HRY196721 HRY196724:HRY196795 HRY196798:HRY196805 HRY262149:HRY262154 HRY262156:HRY262159 HRY262161:HRY262234 HRY262236:HRY262257 HRY262260:HRY262331 HRY262334:HRY262341 HRY327685:HRY327690 HRY327692:HRY327695 HRY327697:HRY327770 HRY327772:HRY327793 HRY327796:HRY327867 HRY327870:HRY327877 HRY393221:HRY393226 HRY393228:HRY393231 HRY393233:HRY393306 HRY393308:HRY393329 HRY393332:HRY393403 HRY393406:HRY393413 HRY458757:HRY458762 HRY458764:HRY458767 HRY458769:HRY458842 HRY458844:HRY458865 HRY458868:HRY458939 HRY458942:HRY458949 HRY524293:HRY524298 HRY524300:HRY524303 HRY524305:HRY524378 HRY524380:HRY524401 HRY524404:HRY524475 HRY524478:HRY524485 HRY589829:HRY589834 HRY589836:HRY589839 HRY589841:HRY589914 HRY589916:HRY589937 HRY589940:HRY590011 HRY590014:HRY590021 HRY655365:HRY655370 HRY655372:HRY655375 HRY655377:HRY655450 HRY655452:HRY655473 HRY655476:HRY655547 HRY655550:HRY655557 HRY720901:HRY720906 HRY720908:HRY720911 HRY720913:HRY720986 HRY720988:HRY721009 HRY721012:HRY721083 HRY721086:HRY721093 HRY786437:HRY786442 HRY786444:HRY786447 HRY786449:HRY786522 HRY786524:HRY786545 HRY786548:HRY786619 HRY786622:HRY786629 HRY851973:HRY851978 HRY851980:HRY851983 HRY851985:HRY852058 HRY852060:HRY852081 HRY852084:HRY852155 HRY852158:HRY852165 HRY917509:HRY917514 HRY917516:HRY917519 HRY917521:HRY917594 HRY917596:HRY917617 HRY917620:HRY917691 HRY917694:HRY917701 HRY983045:HRY983050 HRY983052:HRY983055 HRY983057:HRY983130 HRY983132:HRY983153 HRY983156:HRY983227 HRY983230:HRY983237 IBU11:IBU16 IBU18:IBU91 IBU93:IBU114 IBU117:IBU188 IBU190:IBU197 IBU65541:IBU65546 IBU65548:IBU65551 IBU65553:IBU65626 IBU65628:IBU65649 IBU65652:IBU65723 IBU65726:IBU65733 IBU131077:IBU131082 IBU131084:IBU131087 IBU131089:IBU131162 IBU131164:IBU131185 IBU131188:IBU131259 IBU131262:IBU131269 IBU196613:IBU196618 IBU196620:IBU196623 IBU196625:IBU196698 IBU196700:IBU196721 IBU196724:IBU196795 IBU196798:IBU196805 IBU262149:IBU262154 IBU262156:IBU262159 IBU262161:IBU262234 IBU262236:IBU262257 IBU262260:IBU262331 IBU262334:IBU262341 IBU327685:IBU327690 IBU327692:IBU327695 IBU327697:IBU327770 IBU327772:IBU327793 IBU327796:IBU327867 IBU327870:IBU327877 IBU393221:IBU393226 IBU393228:IBU393231 IBU393233:IBU393306 IBU393308:IBU393329 IBU393332:IBU393403 IBU393406:IBU393413 IBU458757:IBU458762 IBU458764:IBU458767 IBU458769:IBU458842 IBU458844:IBU458865 IBU458868:IBU458939 IBU458942:IBU458949 IBU524293:IBU524298 IBU524300:IBU524303 IBU524305:IBU524378 IBU524380:IBU524401 IBU524404:IBU524475 IBU524478:IBU524485 IBU589829:IBU589834 IBU589836:IBU589839 IBU589841:IBU589914 IBU589916:IBU589937 IBU589940:IBU590011 IBU590014:IBU590021 IBU655365:IBU655370 IBU655372:IBU655375 IBU655377:IBU655450 IBU655452:IBU655473 IBU655476:IBU655547 IBU655550:IBU655557 IBU720901:IBU720906 IBU720908:IBU720911 IBU720913:IBU720986 IBU720988:IBU721009 IBU721012:IBU721083 IBU721086:IBU721093 IBU786437:IBU786442 IBU786444:IBU786447 IBU786449:IBU786522 IBU786524:IBU786545 IBU786548:IBU786619 IBU786622:IBU786629 IBU851973:IBU851978 IBU851980:IBU851983 IBU851985:IBU852058 IBU852060:IBU852081 IBU852084:IBU852155 IBU852158:IBU852165 IBU917509:IBU917514 IBU917516:IBU917519 IBU917521:IBU917594 IBU917596:IBU917617 IBU917620:IBU917691 IBU917694:IBU917701 IBU983045:IBU983050 IBU983052:IBU983055 IBU983057:IBU983130 IBU983132:IBU983153 IBU983156:IBU983227 IBU983230:IBU983237 ILQ11:ILQ16 ILQ18:ILQ91 ILQ93:ILQ114 ILQ117:ILQ188 ILQ190:ILQ197 ILQ65541:ILQ65546 ILQ65548:ILQ65551 ILQ65553:ILQ65626 ILQ65628:ILQ65649 ILQ65652:ILQ65723 ILQ65726:ILQ65733 ILQ131077:ILQ131082 ILQ131084:ILQ131087 ILQ131089:ILQ131162 ILQ131164:ILQ131185 ILQ131188:ILQ131259 ILQ131262:ILQ131269 ILQ196613:ILQ196618 ILQ196620:ILQ196623 ILQ196625:ILQ196698 ILQ196700:ILQ196721 ILQ196724:ILQ196795 ILQ196798:ILQ196805 ILQ262149:ILQ262154 ILQ262156:ILQ262159 ILQ262161:ILQ262234 ILQ262236:ILQ262257 ILQ262260:ILQ262331 ILQ262334:ILQ262341 ILQ327685:ILQ327690 ILQ327692:ILQ327695 ILQ327697:ILQ327770 ILQ327772:ILQ327793 ILQ327796:ILQ327867 ILQ327870:ILQ327877 ILQ393221:ILQ393226 ILQ393228:ILQ393231 ILQ393233:ILQ393306 ILQ393308:ILQ393329 ILQ393332:ILQ393403 ILQ393406:ILQ393413 ILQ458757:ILQ458762 ILQ458764:ILQ458767 ILQ458769:ILQ458842 ILQ458844:ILQ458865 ILQ458868:ILQ458939 ILQ458942:ILQ458949 ILQ524293:ILQ524298 ILQ524300:ILQ524303 ILQ524305:ILQ524378 ILQ524380:ILQ524401 ILQ524404:ILQ524475 ILQ524478:ILQ524485 ILQ589829:ILQ589834 ILQ589836:ILQ589839 ILQ589841:ILQ589914 ILQ589916:ILQ589937 ILQ589940:ILQ590011 ILQ590014:ILQ590021 ILQ655365:ILQ655370 ILQ655372:ILQ655375 ILQ655377:ILQ655450 ILQ655452:ILQ655473 ILQ655476:ILQ655547 ILQ655550:ILQ655557 ILQ720901:ILQ720906 ILQ720908:ILQ720911 ILQ720913:ILQ720986 ILQ720988:ILQ721009 ILQ721012:ILQ721083 ILQ721086:ILQ721093 ILQ786437:ILQ786442 ILQ786444:ILQ786447 ILQ786449:ILQ786522 ILQ786524:ILQ786545 ILQ786548:ILQ786619 ILQ786622:ILQ786629 ILQ851973:ILQ851978 ILQ851980:ILQ851983 ILQ851985:ILQ852058 ILQ852060:ILQ852081 ILQ852084:ILQ852155 ILQ852158:ILQ852165 ILQ917509:ILQ917514 ILQ917516:ILQ917519 ILQ917521:ILQ917594 ILQ917596:ILQ917617 ILQ917620:ILQ917691 ILQ917694:ILQ917701 ILQ983045:ILQ983050 ILQ983052:ILQ983055 ILQ983057:ILQ983130 ILQ983132:ILQ983153 ILQ983156:ILQ983227 ILQ983230:ILQ983237 IVM11:IVM16 IVM18:IVM91 IVM93:IVM114 IVM117:IVM188 IVM190:IVM197 IVM65541:IVM65546 IVM65548:IVM65551 IVM65553:IVM65626 IVM65628:IVM65649 IVM65652:IVM65723 IVM65726:IVM65733 IVM131077:IVM131082 IVM131084:IVM131087 IVM131089:IVM131162 IVM131164:IVM131185 IVM131188:IVM131259 IVM131262:IVM131269 IVM196613:IVM196618 IVM196620:IVM196623 IVM196625:IVM196698 IVM196700:IVM196721 IVM196724:IVM196795 IVM196798:IVM196805 IVM262149:IVM262154 IVM262156:IVM262159 IVM262161:IVM262234 IVM262236:IVM262257 IVM262260:IVM262331 IVM262334:IVM262341 IVM327685:IVM327690 IVM327692:IVM327695 IVM327697:IVM327770 IVM327772:IVM327793 IVM327796:IVM327867 IVM327870:IVM327877 IVM393221:IVM393226 IVM393228:IVM393231 IVM393233:IVM393306 IVM393308:IVM393329 IVM393332:IVM393403 IVM393406:IVM393413 IVM458757:IVM458762 IVM458764:IVM458767 IVM458769:IVM458842 IVM458844:IVM458865 IVM458868:IVM458939 IVM458942:IVM458949 IVM524293:IVM524298 IVM524300:IVM524303 IVM524305:IVM524378 IVM524380:IVM524401 IVM524404:IVM524475 IVM524478:IVM524485 IVM589829:IVM589834 IVM589836:IVM589839 IVM589841:IVM589914 IVM589916:IVM589937 IVM589940:IVM590011 IVM590014:IVM590021 IVM655365:IVM655370 IVM655372:IVM655375 IVM655377:IVM655450 IVM655452:IVM655473 IVM655476:IVM655547 IVM655550:IVM655557 IVM720901:IVM720906 IVM720908:IVM720911 IVM720913:IVM720986 IVM720988:IVM721009 IVM721012:IVM721083 IVM721086:IVM721093 IVM786437:IVM786442 IVM786444:IVM786447 IVM786449:IVM786522 IVM786524:IVM786545 IVM786548:IVM786619 IVM786622:IVM786629 IVM851973:IVM851978 IVM851980:IVM851983 IVM851985:IVM852058 IVM852060:IVM852081 IVM852084:IVM852155 IVM852158:IVM852165 IVM917509:IVM917514 IVM917516:IVM917519 IVM917521:IVM917594 IVM917596:IVM917617 IVM917620:IVM917691 IVM917694:IVM917701 IVM983045:IVM983050 IVM983052:IVM983055 IVM983057:IVM983130 IVM983132:IVM983153 IVM983156:IVM983227 IVM983230:IVM983237 JFI11:JFI16 JFI18:JFI91 JFI93:JFI114 JFI117:JFI188 JFI190:JFI197 JFI65541:JFI65546 JFI65548:JFI65551 JFI65553:JFI65626 JFI65628:JFI65649 JFI65652:JFI65723 JFI65726:JFI65733 JFI131077:JFI131082 JFI131084:JFI131087 JFI131089:JFI131162 JFI131164:JFI131185 JFI131188:JFI131259 JFI131262:JFI131269 JFI196613:JFI196618 JFI196620:JFI196623 JFI196625:JFI196698 JFI196700:JFI196721 JFI196724:JFI196795 JFI196798:JFI196805 JFI262149:JFI262154 JFI262156:JFI262159 JFI262161:JFI262234 JFI262236:JFI262257 JFI262260:JFI262331 JFI262334:JFI262341 JFI327685:JFI327690 JFI327692:JFI327695 JFI327697:JFI327770 JFI327772:JFI327793 JFI327796:JFI327867 JFI327870:JFI327877 JFI393221:JFI393226 JFI393228:JFI393231 JFI393233:JFI393306 JFI393308:JFI393329 JFI393332:JFI393403 JFI393406:JFI393413 JFI458757:JFI458762 JFI458764:JFI458767 JFI458769:JFI458842 JFI458844:JFI458865 JFI458868:JFI458939 JFI458942:JFI458949 JFI524293:JFI524298 JFI524300:JFI524303 JFI524305:JFI524378 JFI524380:JFI524401 JFI524404:JFI524475 JFI524478:JFI524485 JFI589829:JFI589834 JFI589836:JFI589839 JFI589841:JFI589914 JFI589916:JFI589937 JFI589940:JFI590011 JFI590014:JFI590021 JFI655365:JFI655370 JFI655372:JFI655375 JFI655377:JFI655450 JFI655452:JFI655473 JFI655476:JFI655547 JFI655550:JFI655557 JFI720901:JFI720906 JFI720908:JFI720911 JFI720913:JFI720986 JFI720988:JFI721009 JFI721012:JFI721083 JFI721086:JFI721093 JFI786437:JFI786442 JFI786444:JFI786447 JFI786449:JFI786522 JFI786524:JFI786545 JFI786548:JFI786619 JFI786622:JFI786629 JFI851973:JFI851978 JFI851980:JFI851983 JFI851985:JFI852058 JFI852060:JFI852081 JFI852084:JFI852155 JFI852158:JFI852165 JFI917509:JFI917514 JFI917516:JFI917519 JFI917521:JFI917594 JFI917596:JFI917617 JFI917620:JFI917691 JFI917694:JFI917701 JFI983045:JFI983050 JFI983052:JFI983055 JFI983057:JFI983130 JFI983132:JFI983153 JFI983156:JFI983227 JFI983230:JFI983237 JPE11:JPE16 JPE18:JPE91 JPE93:JPE114 JPE117:JPE188 JPE190:JPE197 JPE65541:JPE65546 JPE65548:JPE65551 JPE65553:JPE65626 JPE65628:JPE65649 JPE65652:JPE65723 JPE65726:JPE65733 JPE131077:JPE131082 JPE131084:JPE131087 JPE131089:JPE131162 JPE131164:JPE131185 JPE131188:JPE131259 JPE131262:JPE131269 JPE196613:JPE196618 JPE196620:JPE196623 JPE196625:JPE196698 JPE196700:JPE196721 JPE196724:JPE196795 JPE196798:JPE196805 JPE262149:JPE262154 JPE262156:JPE262159 JPE262161:JPE262234 JPE262236:JPE262257 JPE262260:JPE262331 JPE262334:JPE262341 JPE327685:JPE327690 JPE327692:JPE327695 JPE327697:JPE327770 JPE327772:JPE327793 JPE327796:JPE327867 JPE327870:JPE327877 JPE393221:JPE393226 JPE393228:JPE393231 JPE393233:JPE393306 JPE393308:JPE393329 JPE393332:JPE393403 JPE393406:JPE393413 JPE458757:JPE458762 JPE458764:JPE458767 JPE458769:JPE458842 JPE458844:JPE458865 JPE458868:JPE458939 JPE458942:JPE458949 JPE524293:JPE524298 JPE524300:JPE524303 JPE524305:JPE524378 JPE524380:JPE524401 JPE524404:JPE524475 JPE524478:JPE524485 JPE589829:JPE589834 JPE589836:JPE589839 JPE589841:JPE589914 JPE589916:JPE589937 JPE589940:JPE590011 JPE590014:JPE590021 JPE655365:JPE655370 JPE655372:JPE655375 JPE655377:JPE655450 JPE655452:JPE655473 JPE655476:JPE655547 JPE655550:JPE655557 JPE720901:JPE720906 JPE720908:JPE720911 JPE720913:JPE720986 JPE720988:JPE721009 JPE721012:JPE721083 JPE721086:JPE721093 JPE786437:JPE786442 JPE786444:JPE786447 JPE786449:JPE786522 JPE786524:JPE786545 JPE786548:JPE786619 JPE786622:JPE786629 JPE851973:JPE851978 JPE851980:JPE851983 JPE851985:JPE852058 JPE852060:JPE852081 JPE852084:JPE852155 JPE852158:JPE852165 JPE917509:JPE917514 JPE917516:JPE917519 JPE917521:JPE917594 JPE917596:JPE917617 JPE917620:JPE917691 JPE917694:JPE917701 JPE983045:JPE983050 JPE983052:JPE983055 JPE983057:JPE983130 JPE983132:JPE983153 JPE983156:JPE983227 JPE983230:JPE983237 JZA11:JZA16 JZA18:JZA91 JZA93:JZA114 JZA117:JZA188 JZA190:JZA197 JZA65541:JZA65546 JZA65548:JZA65551 JZA65553:JZA65626 JZA65628:JZA65649 JZA65652:JZA65723 JZA65726:JZA65733 JZA131077:JZA131082 JZA131084:JZA131087 JZA131089:JZA131162 JZA131164:JZA131185 JZA131188:JZA131259 JZA131262:JZA131269 JZA196613:JZA196618 JZA196620:JZA196623 JZA196625:JZA196698 JZA196700:JZA196721 JZA196724:JZA196795 JZA196798:JZA196805 JZA262149:JZA262154 JZA262156:JZA262159 JZA262161:JZA262234 JZA262236:JZA262257 JZA262260:JZA262331 JZA262334:JZA262341 JZA327685:JZA327690 JZA327692:JZA327695 JZA327697:JZA327770 JZA327772:JZA327793 JZA327796:JZA327867 JZA327870:JZA327877 JZA393221:JZA393226 JZA393228:JZA393231 JZA393233:JZA393306 JZA393308:JZA393329 JZA393332:JZA393403 JZA393406:JZA393413 JZA458757:JZA458762 JZA458764:JZA458767 JZA458769:JZA458842 JZA458844:JZA458865 JZA458868:JZA458939 JZA458942:JZA458949 JZA524293:JZA524298 JZA524300:JZA524303 JZA524305:JZA524378 JZA524380:JZA524401 JZA524404:JZA524475 JZA524478:JZA524485 JZA589829:JZA589834 JZA589836:JZA589839 JZA589841:JZA589914 JZA589916:JZA589937 JZA589940:JZA590011 JZA590014:JZA590021 JZA655365:JZA655370 JZA655372:JZA655375 JZA655377:JZA655450 JZA655452:JZA655473 JZA655476:JZA655547 JZA655550:JZA655557 JZA720901:JZA720906 JZA720908:JZA720911 JZA720913:JZA720986 JZA720988:JZA721009 JZA721012:JZA721083 JZA721086:JZA721093 JZA786437:JZA786442 JZA786444:JZA786447 JZA786449:JZA786522 JZA786524:JZA786545 JZA786548:JZA786619 JZA786622:JZA786629 JZA851973:JZA851978 JZA851980:JZA851983 JZA851985:JZA852058 JZA852060:JZA852081 JZA852084:JZA852155 JZA852158:JZA852165 JZA917509:JZA917514 JZA917516:JZA917519 JZA917521:JZA917594 JZA917596:JZA917617 JZA917620:JZA917691 JZA917694:JZA917701 JZA983045:JZA983050 JZA983052:JZA983055 JZA983057:JZA983130 JZA983132:JZA983153 JZA983156:JZA983227 JZA983230:JZA983237 KIW11:KIW16 KIW18:KIW91 KIW93:KIW114 KIW117:KIW188 KIW190:KIW197 KIW65541:KIW65546 KIW65548:KIW65551 KIW65553:KIW65626 KIW65628:KIW65649 KIW65652:KIW65723 KIW65726:KIW65733 KIW131077:KIW131082 KIW131084:KIW131087 KIW131089:KIW131162 KIW131164:KIW131185 KIW131188:KIW131259 KIW131262:KIW131269 KIW196613:KIW196618 KIW196620:KIW196623 KIW196625:KIW196698 KIW196700:KIW196721 KIW196724:KIW196795 KIW196798:KIW196805 KIW262149:KIW262154 KIW262156:KIW262159 KIW262161:KIW262234 KIW262236:KIW262257 KIW262260:KIW262331 KIW262334:KIW262341 KIW327685:KIW327690 KIW327692:KIW327695 KIW327697:KIW327770 KIW327772:KIW327793 KIW327796:KIW327867 KIW327870:KIW327877 KIW393221:KIW393226 KIW393228:KIW393231 KIW393233:KIW393306 KIW393308:KIW393329 KIW393332:KIW393403 KIW393406:KIW393413 KIW458757:KIW458762 KIW458764:KIW458767 KIW458769:KIW458842 KIW458844:KIW458865 KIW458868:KIW458939 KIW458942:KIW458949 KIW524293:KIW524298 KIW524300:KIW524303 KIW524305:KIW524378 KIW524380:KIW524401 KIW524404:KIW524475 KIW524478:KIW524485 KIW589829:KIW589834 KIW589836:KIW589839 KIW589841:KIW589914 KIW589916:KIW589937 KIW589940:KIW590011 KIW590014:KIW590021 KIW655365:KIW655370 KIW655372:KIW655375 KIW655377:KIW655450 KIW655452:KIW655473 KIW655476:KIW655547 KIW655550:KIW655557 KIW720901:KIW720906 KIW720908:KIW720911 KIW720913:KIW720986 KIW720988:KIW721009 KIW721012:KIW721083 KIW721086:KIW721093 KIW786437:KIW786442 KIW786444:KIW786447 KIW786449:KIW786522 KIW786524:KIW786545 KIW786548:KIW786619 KIW786622:KIW786629 KIW851973:KIW851978 KIW851980:KIW851983 KIW851985:KIW852058 KIW852060:KIW852081 KIW852084:KIW852155 KIW852158:KIW852165 KIW917509:KIW917514 KIW917516:KIW917519 KIW917521:KIW917594 KIW917596:KIW917617 KIW917620:KIW917691 KIW917694:KIW917701 KIW983045:KIW983050 KIW983052:KIW983055 KIW983057:KIW983130 KIW983132:KIW983153 KIW983156:KIW983227 KIW983230:KIW983237 KSS11:KSS16 KSS18:KSS91 KSS93:KSS114 KSS117:KSS188 KSS190:KSS197 KSS65541:KSS65546 KSS65548:KSS65551 KSS65553:KSS65626 KSS65628:KSS65649 KSS65652:KSS65723 KSS65726:KSS65733 KSS131077:KSS131082 KSS131084:KSS131087 KSS131089:KSS131162 KSS131164:KSS131185 KSS131188:KSS131259 KSS131262:KSS131269 KSS196613:KSS196618 KSS196620:KSS196623 KSS196625:KSS196698 KSS196700:KSS196721 KSS196724:KSS196795 KSS196798:KSS196805 KSS262149:KSS262154 KSS262156:KSS262159 KSS262161:KSS262234 KSS262236:KSS262257 KSS262260:KSS262331 KSS262334:KSS262341 KSS327685:KSS327690 KSS327692:KSS327695 KSS327697:KSS327770 KSS327772:KSS327793 KSS327796:KSS327867 KSS327870:KSS327877 KSS393221:KSS393226 KSS393228:KSS393231 KSS393233:KSS393306 KSS393308:KSS393329 KSS393332:KSS393403 KSS393406:KSS393413 KSS458757:KSS458762 KSS458764:KSS458767 KSS458769:KSS458842 KSS458844:KSS458865 KSS458868:KSS458939 KSS458942:KSS458949 KSS524293:KSS524298 KSS524300:KSS524303 KSS524305:KSS524378 KSS524380:KSS524401 KSS524404:KSS524475 KSS524478:KSS524485 KSS589829:KSS589834 KSS589836:KSS589839 KSS589841:KSS589914 KSS589916:KSS589937 KSS589940:KSS590011 KSS590014:KSS590021 KSS655365:KSS655370 KSS655372:KSS655375 KSS655377:KSS655450 KSS655452:KSS655473 KSS655476:KSS655547 KSS655550:KSS655557 KSS720901:KSS720906 KSS720908:KSS720911 KSS720913:KSS720986 KSS720988:KSS721009 KSS721012:KSS721083 KSS721086:KSS721093 KSS786437:KSS786442 KSS786444:KSS786447 KSS786449:KSS786522 KSS786524:KSS786545 KSS786548:KSS786619 KSS786622:KSS786629 KSS851973:KSS851978 KSS851980:KSS851983 KSS851985:KSS852058 KSS852060:KSS852081 KSS852084:KSS852155 KSS852158:KSS852165 KSS917509:KSS917514 KSS917516:KSS917519 KSS917521:KSS917594 KSS917596:KSS917617 KSS917620:KSS917691 KSS917694:KSS917701 KSS983045:KSS983050 KSS983052:KSS983055 KSS983057:KSS983130 KSS983132:KSS983153 KSS983156:KSS983227 KSS983230:KSS983237 LCO11:LCO16 LCO18:LCO91 LCO93:LCO114 LCO117:LCO188 LCO190:LCO197 LCO65541:LCO65546 LCO65548:LCO65551 LCO65553:LCO65626 LCO65628:LCO65649 LCO65652:LCO65723 LCO65726:LCO65733 LCO131077:LCO131082 LCO131084:LCO131087 LCO131089:LCO131162 LCO131164:LCO131185 LCO131188:LCO131259 LCO131262:LCO131269 LCO196613:LCO196618 LCO196620:LCO196623 LCO196625:LCO196698 LCO196700:LCO196721 LCO196724:LCO196795 LCO196798:LCO196805 LCO262149:LCO262154 LCO262156:LCO262159 LCO262161:LCO262234 LCO262236:LCO262257 LCO262260:LCO262331 LCO262334:LCO262341 LCO327685:LCO327690 LCO327692:LCO327695 LCO327697:LCO327770 LCO327772:LCO327793 LCO327796:LCO327867 LCO327870:LCO327877 LCO393221:LCO393226 LCO393228:LCO393231 LCO393233:LCO393306 LCO393308:LCO393329 LCO393332:LCO393403 LCO393406:LCO393413 LCO458757:LCO458762 LCO458764:LCO458767 LCO458769:LCO458842 LCO458844:LCO458865 LCO458868:LCO458939 LCO458942:LCO458949 LCO524293:LCO524298 LCO524300:LCO524303 LCO524305:LCO524378 LCO524380:LCO524401 LCO524404:LCO524475 LCO524478:LCO524485 LCO589829:LCO589834 LCO589836:LCO589839 LCO589841:LCO589914 LCO589916:LCO589937 LCO589940:LCO590011 LCO590014:LCO590021 LCO655365:LCO655370 LCO655372:LCO655375 LCO655377:LCO655450 LCO655452:LCO655473 LCO655476:LCO655547 LCO655550:LCO655557 LCO720901:LCO720906 LCO720908:LCO720911 LCO720913:LCO720986 LCO720988:LCO721009 LCO721012:LCO721083 LCO721086:LCO721093 LCO786437:LCO786442 LCO786444:LCO786447 LCO786449:LCO786522 LCO786524:LCO786545 LCO786548:LCO786619 LCO786622:LCO786629 LCO851973:LCO851978 LCO851980:LCO851983 LCO851985:LCO852058 LCO852060:LCO852081 LCO852084:LCO852155 LCO852158:LCO852165 LCO917509:LCO917514 LCO917516:LCO917519 LCO917521:LCO917594 LCO917596:LCO917617 LCO917620:LCO917691 LCO917694:LCO917701 LCO983045:LCO983050 LCO983052:LCO983055 LCO983057:LCO983130 LCO983132:LCO983153 LCO983156:LCO983227 LCO983230:LCO983237 LMK11:LMK16 LMK18:LMK91 LMK93:LMK114 LMK117:LMK188 LMK190:LMK197 LMK65541:LMK65546 LMK65548:LMK65551 LMK65553:LMK65626 LMK65628:LMK65649 LMK65652:LMK65723 LMK65726:LMK65733 LMK131077:LMK131082 LMK131084:LMK131087 LMK131089:LMK131162 LMK131164:LMK131185 LMK131188:LMK131259 LMK131262:LMK131269 LMK196613:LMK196618 LMK196620:LMK196623 LMK196625:LMK196698 LMK196700:LMK196721 LMK196724:LMK196795 LMK196798:LMK196805 LMK262149:LMK262154 LMK262156:LMK262159 LMK262161:LMK262234 LMK262236:LMK262257 LMK262260:LMK262331 LMK262334:LMK262341 LMK327685:LMK327690 LMK327692:LMK327695 LMK327697:LMK327770 LMK327772:LMK327793 LMK327796:LMK327867 LMK327870:LMK327877 LMK393221:LMK393226 LMK393228:LMK393231 LMK393233:LMK393306 LMK393308:LMK393329 LMK393332:LMK393403 LMK393406:LMK393413 LMK458757:LMK458762 LMK458764:LMK458767 LMK458769:LMK458842 LMK458844:LMK458865 LMK458868:LMK458939 LMK458942:LMK458949 LMK524293:LMK524298 LMK524300:LMK524303 LMK524305:LMK524378 LMK524380:LMK524401 LMK524404:LMK524475 LMK524478:LMK524485 LMK589829:LMK589834 LMK589836:LMK589839 LMK589841:LMK589914 LMK589916:LMK589937 LMK589940:LMK590011 LMK590014:LMK590021 LMK655365:LMK655370 LMK655372:LMK655375 LMK655377:LMK655450 LMK655452:LMK655473 LMK655476:LMK655547 LMK655550:LMK655557 LMK720901:LMK720906 LMK720908:LMK720911 LMK720913:LMK720986 LMK720988:LMK721009 LMK721012:LMK721083 LMK721086:LMK721093 LMK786437:LMK786442 LMK786444:LMK786447 LMK786449:LMK786522 LMK786524:LMK786545 LMK786548:LMK786619 LMK786622:LMK786629 LMK851973:LMK851978 LMK851980:LMK851983 LMK851985:LMK852058 LMK852060:LMK852081 LMK852084:LMK852155 LMK852158:LMK852165 LMK917509:LMK917514 LMK917516:LMK917519 LMK917521:LMK917594 LMK917596:LMK917617 LMK917620:LMK917691 LMK917694:LMK917701 LMK983045:LMK983050 LMK983052:LMK983055 LMK983057:LMK983130 LMK983132:LMK983153 LMK983156:LMK983227 LMK983230:LMK983237 LWG11:LWG16 LWG18:LWG91 LWG93:LWG114 LWG117:LWG188 LWG190:LWG197 LWG65541:LWG65546 LWG65548:LWG65551 LWG65553:LWG65626 LWG65628:LWG65649 LWG65652:LWG65723 LWG65726:LWG65733 LWG131077:LWG131082 LWG131084:LWG131087 LWG131089:LWG131162 LWG131164:LWG131185 LWG131188:LWG131259 LWG131262:LWG131269 LWG196613:LWG196618 LWG196620:LWG196623 LWG196625:LWG196698 LWG196700:LWG196721 LWG196724:LWG196795 LWG196798:LWG196805 LWG262149:LWG262154 LWG262156:LWG262159 LWG262161:LWG262234 LWG262236:LWG262257 LWG262260:LWG262331 LWG262334:LWG262341 LWG327685:LWG327690 LWG327692:LWG327695 LWG327697:LWG327770 LWG327772:LWG327793 LWG327796:LWG327867 LWG327870:LWG327877 LWG393221:LWG393226 LWG393228:LWG393231 LWG393233:LWG393306 LWG393308:LWG393329 LWG393332:LWG393403 LWG393406:LWG393413 LWG458757:LWG458762 LWG458764:LWG458767 LWG458769:LWG458842 LWG458844:LWG458865 LWG458868:LWG458939 LWG458942:LWG458949 LWG524293:LWG524298 LWG524300:LWG524303 LWG524305:LWG524378 LWG524380:LWG524401 LWG524404:LWG524475 LWG524478:LWG524485 LWG589829:LWG589834 LWG589836:LWG589839 LWG589841:LWG589914 LWG589916:LWG589937 LWG589940:LWG590011 LWG590014:LWG590021 LWG655365:LWG655370 LWG655372:LWG655375 LWG655377:LWG655450 LWG655452:LWG655473 LWG655476:LWG655547 LWG655550:LWG655557 LWG720901:LWG720906 LWG720908:LWG720911 LWG720913:LWG720986 LWG720988:LWG721009 LWG721012:LWG721083 LWG721086:LWG721093 LWG786437:LWG786442 LWG786444:LWG786447 LWG786449:LWG786522 LWG786524:LWG786545 LWG786548:LWG786619 LWG786622:LWG786629 LWG851973:LWG851978 LWG851980:LWG851983 LWG851985:LWG852058 LWG852060:LWG852081 LWG852084:LWG852155 LWG852158:LWG852165 LWG917509:LWG917514 LWG917516:LWG917519 LWG917521:LWG917594 LWG917596:LWG917617 LWG917620:LWG917691 LWG917694:LWG917701 LWG983045:LWG983050 LWG983052:LWG983055 LWG983057:LWG983130 LWG983132:LWG983153 LWG983156:LWG983227 LWG983230:LWG983237 MGC11:MGC16 MGC18:MGC91 MGC93:MGC114 MGC117:MGC188 MGC190:MGC197 MGC65541:MGC65546 MGC65548:MGC65551 MGC65553:MGC65626 MGC65628:MGC65649 MGC65652:MGC65723 MGC65726:MGC65733 MGC131077:MGC131082 MGC131084:MGC131087 MGC131089:MGC131162 MGC131164:MGC131185 MGC131188:MGC131259 MGC131262:MGC131269 MGC196613:MGC196618 MGC196620:MGC196623 MGC196625:MGC196698 MGC196700:MGC196721 MGC196724:MGC196795 MGC196798:MGC196805 MGC262149:MGC262154 MGC262156:MGC262159 MGC262161:MGC262234 MGC262236:MGC262257 MGC262260:MGC262331 MGC262334:MGC262341 MGC327685:MGC327690 MGC327692:MGC327695 MGC327697:MGC327770 MGC327772:MGC327793 MGC327796:MGC327867 MGC327870:MGC327877 MGC393221:MGC393226 MGC393228:MGC393231 MGC393233:MGC393306 MGC393308:MGC393329 MGC393332:MGC393403 MGC393406:MGC393413 MGC458757:MGC458762 MGC458764:MGC458767 MGC458769:MGC458842 MGC458844:MGC458865 MGC458868:MGC458939 MGC458942:MGC458949 MGC524293:MGC524298 MGC524300:MGC524303 MGC524305:MGC524378 MGC524380:MGC524401 MGC524404:MGC524475 MGC524478:MGC524485 MGC589829:MGC589834 MGC589836:MGC589839 MGC589841:MGC589914 MGC589916:MGC589937 MGC589940:MGC590011 MGC590014:MGC590021 MGC655365:MGC655370 MGC655372:MGC655375 MGC655377:MGC655450 MGC655452:MGC655473 MGC655476:MGC655547 MGC655550:MGC655557 MGC720901:MGC720906 MGC720908:MGC720911 MGC720913:MGC720986 MGC720988:MGC721009 MGC721012:MGC721083 MGC721086:MGC721093 MGC786437:MGC786442 MGC786444:MGC786447 MGC786449:MGC786522 MGC786524:MGC786545 MGC786548:MGC786619 MGC786622:MGC786629 MGC851973:MGC851978 MGC851980:MGC851983 MGC851985:MGC852058 MGC852060:MGC852081 MGC852084:MGC852155 MGC852158:MGC852165 MGC917509:MGC917514 MGC917516:MGC917519 MGC917521:MGC917594 MGC917596:MGC917617 MGC917620:MGC917691 MGC917694:MGC917701 MGC983045:MGC983050 MGC983052:MGC983055 MGC983057:MGC983130 MGC983132:MGC983153 MGC983156:MGC983227 MGC983230:MGC983237 MPY11:MPY16 MPY18:MPY91 MPY93:MPY114 MPY117:MPY188 MPY190:MPY197 MPY65541:MPY65546 MPY65548:MPY65551 MPY65553:MPY65626 MPY65628:MPY65649 MPY65652:MPY65723 MPY65726:MPY65733 MPY131077:MPY131082 MPY131084:MPY131087 MPY131089:MPY131162 MPY131164:MPY131185 MPY131188:MPY131259 MPY131262:MPY131269 MPY196613:MPY196618 MPY196620:MPY196623 MPY196625:MPY196698 MPY196700:MPY196721 MPY196724:MPY196795 MPY196798:MPY196805 MPY262149:MPY262154 MPY262156:MPY262159 MPY262161:MPY262234 MPY262236:MPY262257 MPY262260:MPY262331 MPY262334:MPY262341 MPY327685:MPY327690 MPY327692:MPY327695 MPY327697:MPY327770 MPY327772:MPY327793 MPY327796:MPY327867 MPY327870:MPY327877 MPY393221:MPY393226 MPY393228:MPY393231 MPY393233:MPY393306 MPY393308:MPY393329 MPY393332:MPY393403 MPY393406:MPY393413 MPY458757:MPY458762 MPY458764:MPY458767 MPY458769:MPY458842 MPY458844:MPY458865 MPY458868:MPY458939 MPY458942:MPY458949 MPY524293:MPY524298 MPY524300:MPY524303 MPY524305:MPY524378 MPY524380:MPY524401 MPY524404:MPY524475 MPY524478:MPY524485 MPY589829:MPY589834 MPY589836:MPY589839 MPY589841:MPY589914 MPY589916:MPY589937 MPY589940:MPY590011 MPY590014:MPY590021 MPY655365:MPY655370 MPY655372:MPY655375 MPY655377:MPY655450 MPY655452:MPY655473 MPY655476:MPY655547 MPY655550:MPY655557 MPY720901:MPY720906 MPY720908:MPY720911 MPY720913:MPY720986 MPY720988:MPY721009 MPY721012:MPY721083 MPY721086:MPY721093 MPY786437:MPY786442 MPY786444:MPY786447 MPY786449:MPY786522 MPY786524:MPY786545 MPY786548:MPY786619 MPY786622:MPY786629 MPY851973:MPY851978 MPY851980:MPY851983 MPY851985:MPY852058 MPY852060:MPY852081 MPY852084:MPY852155 MPY852158:MPY852165 MPY917509:MPY917514 MPY917516:MPY917519 MPY917521:MPY917594 MPY917596:MPY917617 MPY917620:MPY917691 MPY917694:MPY917701 MPY983045:MPY983050 MPY983052:MPY983055 MPY983057:MPY983130 MPY983132:MPY983153 MPY983156:MPY983227 MPY983230:MPY983237 MZU11:MZU16 MZU18:MZU91 MZU93:MZU114 MZU117:MZU188 MZU190:MZU197 MZU65541:MZU65546 MZU65548:MZU65551 MZU65553:MZU65626 MZU65628:MZU65649 MZU65652:MZU65723 MZU65726:MZU65733 MZU131077:MZU131082 MZU131084:MZU131087 MZU131089:MZU131162 MZU131164:MZU131185 MZU131188:MZU131259 MZU131262:MZU131269 MZU196613:MZU196618 MZU196620:MZU196623 MZU196625:MZU196698 MZU196700:MZU196721 MZU196724:MZU196795 MZU196798:MZU196805 MZU262149:MZU262154 MZU262156:MZU262159 MZU262161:MZU262234 MZU262236:MZU262257 MZU262260:MZU262331 MZU262334:MZU262341 MZU327685:MZU327690 MZU327692:MZU327695 MZU327697:MZU327770 MZU327772:MZU327793 MZU327796:MZU327867 MZU327870:MZU327877 MZU393221:MZU393226 MZU393228:MZU393231 MZU393233:MZU393306 MZU393308:MZU393329 MZU393332:MZU393403 MZU393406:MZU393413 MZU458757:MZU458762 MZU458764:MZU458767 MZU458769:MZU458842 MZU458844:MZU458865 MZU458868:MZU458939 MZU458942:MZU458949 MZU524293:MZU524298 MZU524300:MZU524303 MZU524305:MZU524378 MZU524380:MZU524401 MZU524404:MZU524475 MZU524478:MZU524485 MZU589829:MZU589834 MZU589836:MZU589839 MZU589841:MZU589914 MZU589916:MZU589937 MZU589940:MZU590011 MZU590014:MZU590021 MZU655365:MZU655370 MZU655372:MZU655375 MZU655377:MZU655450 MZU655452:MZU655473 MZU655476:MZU655547 MZU655550:MZU655557 MZU720901:MZU720906 MZU720908:MZU720911 MZU720913:MZU720986 MZU720988:MZU721009 MZU721012:MZU721083 MZU721086:MZU721093 MZU786437:MZU786442 MZU786444:MZU786447 MZU786449:MZU786522 MZU786524:MZU786545 MZU786548:MZU786619 MZU786622:MZU786629 MZU851973:MZU851978 MZU851980:MZU851983 MZU851985:MZU852058 MZU852060:MZU852081 MZU852084:MZU852155 MZU852158:MZU852165 MZU917509:MZU917514 MZU917516:MZU917519 MZU917521:MZU917594 MZU917596:MZU917617 MZU917620:MZU917691 MZU917694:MZU917701 MZU983045:MZU983050 MZU983052:MZU983055 MZU983057:MZU983130 MZU983132:MZU983153 MZU983156:MZU983227 MZU983230:MZU983237 NJQ11:NJQ16 NJQ18:NJQ91 NJQ93:NJQ114 NJQ117:NJQ188 NJQ190:NJQ197 NJQ65541:NJQ65546 NJQ65548:NJQ65551 NJQ65553:NJQ65626 NJQ65628:NJQ65649 NJQ65652:NJQ65723 NJQ65726:NJQ65733 NJQ131077:NJQ131082 NJQ131084:NJQ131087 NJQ131089:NJQ131162 NJQ131164:NJQ131185 NJQ131188:NJQ131259 NJQ131262:NJQ131269 NJQ196613:NJQ196618 NJQ196620:NJQ196623 NJQ196625:NJQ196698 NJQ196700:NJQ196721 NJQ196724:NJQ196795 NJQ196798:NJQ196805 NJQ262149:NJQ262154 NJQ262156:NJQ262159 NJQ262161:NJQ262234 NJQ262236:NJQ262257 NJQ262260:NJQ262331 NJQ262334:NJQ262341 NJQ327685:NJQ327690 NJQ327692:NJQ327695 NJQ327697:NJQ327770 NJQ327772:NJQ327793 NJQ327796:NJQ327867 NJQ327870:NJQ327877 NJQ393221:NJQ393226 NJQ393228:NJQ393231 NJQ393233:NJQ393306 NJQ393308:NJQ393329 NJQ393332:NJQ393403 NJQ393406:NJQ393413 NJQ458757:NJQ458762 NJQ458764:NJQ458767 NJQ458769:NJQ458842 NJQ458844:NJQ458865 NJQ458868:NJQ458939 NJQ458942:NJQ458949 NJQ524293:NJQ524298 NJQ524300:NJQ524303 NJQ524305:NJQ524378 NJQ524380:NJQ524401 NJQ524404:NJQ524475 NJQ524478:NJQ524485 NJQ589829:NJQ589834 NJQ589836:NJQ589839 NJQ589841:NJQ589914 NJQ589916:NJQ589937 NJQ589940:NJQ590011 NJQ590014:NJQ590021 NJQ655365:NJQ655370 NJQ655372:NJQ655375 NJQ655377:NJQ655450 NJQ655452:NJQ655473 NJQ655476:NJQ655547 NJQ655550:NJQ655557 NJQ720901:NJQ720906 NJQ720908:NJQ720911 NJQ720913:NJQ720986 NJQ720988:NJQ721009 NJQ721012:NJQ721083 NJQ721086:NJQ721093 NJQ786437:NJQ786442 NJQ786444:NJQ786447 NJQ786449:NJQ786522 NJQ786524:NJQ786545 NJQ786548:NJQ786619 NJQ786622:NJQ786629 NJQ851973:NJQ851978 NJQ851980:NJQ851983 NJQ851985:NJQ852058 NJQ852060:NJQ852081 NJQ852084:NJQ852155 NJQ852158:NJQ852165 NJQ917509:NJQ917514 NJQ917516:NJQ917519 NJQ917521:NJQ917594 NJQ917596:NJQ917617 NJQ917620:NJQ917691 NJQ917694:NJQ917701 NJQ983045:NJQ983050 NJQ983052:NJQ983055 NJQ983057:NJQ983130 NJQ983132:NJQ983153 NJQ983156:NJQ983227 NJQ983230:NJQ983237 NTM11:NTM16 NTM18:NTM91 NTM93:NTM114 NTM117:NTM188 NTM190:NTM197 NTM65541:NTM65546 NTM65548:NTM65551 NTM65553:NTM65626 NTM65628:NTM65649 NTM65652:NTM65723 NTM65726:NTM65733 NTM131077:NTM131082 NTM131084:NTM131087 NTM131089:NTM131162 NTM131164:NTM131185 NTM131188:NTM131259 NTM131262:NTM131269 NTM196613:NTM196618 NTM196620:NTM196623 NTM196625:NTM196698 NTM196700:NTM196721 NTM196724:NTM196795 NTM196798:NTM196805 NTM262149:NTM262154 NTM262156:NTM262159 NTM262161:NTM262234 NTM262236:NTM262257 NTM262260:NTM262331 NTM262334:NTM262341 NTM327685:NTM327690 NTM327692:NTM327695 NTM327697:NTM327770 NTM327772:NTM327793 NTM327796:NTM327867 NTM327870:NTM327877 NTM393221:NTM393226 NTM393228:NTM393231 NTM393233:NTM393306 NTM393308:NTM393329 NTM393332:NTM393403 NTM393406:NTM393413 NTM458757:NTM458762 NTM458764:NTM458767 NTM458769:NTM458842 NTM458844:NTM458865 NTM458868:NTM458939 NTM458942:NTM458949 NTM524293:NTM524298 NTM524300:NTM524303 NTM524305:NTM524378 NTM524380:NTM524401 NTM524404:NTM524475 NTM524478:NTM524485 NTM589829:NTM589834 NTM589836:NTM589839 NTM589841:NTM589914 NTM589916:NTM589937 NTM589940:NTM590011 NTM590014:NTM590021 NTM655365:NTM655370 NTM655372:NTM655375 NTM655377:NTM655450 NTM655452:NTM655473 NTM655476:NTM655547 NTM655550:NTM655557 NTM720901:NTM720906 NTM720908:NTM720911 NTM720913:NTM720986 NTM720988:NTM721009 NTM721012:NTM721083 NTM721086:NTM721093 NTM786437:NTM786442 NTM786444:NTM786447 NTM786449:NTM786522 NTM786524:NTM786545 NTM786548:NTM786619 NTM786622:NTM786629 NTM851973:NTM851978 NTM851980:NTM851983 NTM851985:NTM852058 NTM852060:NTM852081 NTM852084:NTM852155 NTM852158:NTM852165 NTM917509:NTM917514 NTM917516:NTM917519 NTM917521:NTM917594 NTM917596:NTM917617 NTM917620:NTM917691 NTM917694:NTM917701 NTM983045:NTM983050 NTM983052:NTM983055 NTM983057:NTM983130 NTM983132:NTM983153 NTM983156:NTM983227 NTM983230:NTM983237 ODI11:ODI16 ODI18:ODI91 ODI93:ODI114 ODI117:ODI188 ODI190:ODI197 ODI65541:ODI65546 ODI65548:ODI65551 ODI65553:ODI65626 ODI65628:ODI65649 ODI65652:ODI65723 ODI65726:ODI65733 ODI131077:ODI131082 ODI131084:ODI131087 ODI131089:ODI131162 ODI131164:ODI131185 ODI131188:ODI131259 ODI131262:ODI131269 ODI196613:ODI196618 ODI196620:ODI196623 ODI196625:ODI196698 ODI196700:ODI196721 ODI196724:ODI196795 ODI196798:ODI196805 ODI262149:ODI262154 ODI262156:ODI262159 ODI262161:ODI262234 ODI262236:ODI262257 ODI262260:ODI262331 ODI262334:ODI262341 ODI327685:ODI327690 ODI327692:ODI327695 ODI327697:ODI327770 ODI327772:ODI327793 ODI327796:ODI327867 ODI327870:ODI327877 ODI393221:ODI393226 ODI393228:ODI393231 ODI393233:ODI393306 ODI393308:ODI393329 ODI393332:ODI393403 ODI393406:ODI393413 ODI458757:ODI458762 ODI458764:ODI458767 ODI458769:ODI458842 ODI458844:ODI458865 ODI458868:ODI458939 ODI458942:ODI458949 ODI524293:ODI524298 ODI524300:ODI524303 ODI524305:ODI524378 ODI524380:ODI524401 ODI524404:ODI524475 ODI524478:ODI524485 ODI589829:ODI589834 ODI589836:ODI589839 ODI589841:ODI589914 ODI589916:ODI589937 ODI589940:ODI590011 ODI590014:ODI590021 ODI655365:ODI655370 ODI655372:ODI655375 ODI655377:ODI655450 ODI655452:ODI655473 ODI655476:ODI655547 ODI655550:ODI655557 ODI720901:ODI720906 ODI720908:ODI720911 ODI720913:ODI720986 ODI720988:ODI721009 ODI721012:ODI721083 ODI721086:ODI721093 ODI786437:ODI786442 ODI786444:ODI786447 ODI786449:ODI786522 ODI786524:ODI786545 ODI786548:ODI786619 ODI786622:ODI786629 ODI851973:ODI851978 ODI851980:ODI851983 ODI851985:ODI852058 ODI852060:ODI852081 ODI852084:ODI852155 ODI852158:ODI852165 ODI917509:ODI917514 ODI917516:ODI917519 ODI917521:ODI917594 ODI917596:ODI917617 ODI917620:ODI917691 ODI917694:ODI917701 ODI983045:ODI983050 ODI983052:ODI983055 ODI983057:ODI983130 ODI983132:ODI983153 ODI983156:ODI983227 ODI983230:ODI983237 ONE11:ONE16 ONE18:ONE91 ONE93:ONE114 ONE117:ONE188 ONE190:ONE197 ONE65541:ONE65546 ONE65548:ONE65551 ONE65553:ONE65626 ONE65628:ONE65649 ONE65652:ONE65723 ONE65726:ONE65733 ONE131077:ONE131082 ONE131084:ONE131087 ONE131089:ONE131162 ONE131164:ONE131185 ONE131188:ONE131259 ONE131262:ONE131269 ONE196613:ONE196618 ONE196620:ONE196623 ONE196625:ONE196698 ONE196700:ONE196721 ONE196724:ONE196795 ONE196798:ONE196805 ONE262149:ONE262154 ONE262156:ONE262159 ONE262161:ONE262234 ONE262236:ONE262257 ONE262260:ONE262331 ONE262334:ONE262341 ONE327685:ONE327690 ONE327692:ONE327695 ONE327697:ONE327770 ONE327772:ONE327793 ONE327796:ONE327867 ONE327870:ONE327877 ONE393221:ONE393226 ONE393228:ONE393231 ONE393233:ONE393306 ONE393308:ONE393329 ONE393332:ONE393403 ONE393406:ONE393413 ONE458757:ONE458762 ONE458764:ONE458767 ONE458769:ONE458842 ONE458844:ONE458865 ONE458868:ONE458939 ONE458942:ONE458949 ONE524293:ONE524298 ONE524300:ONE524303 ONE524305:ONE524378 ONE524380:ONE524401 ONE524404:ONE524475 ONE524478:ONE524485 ONE589829:ONE589834 ONE589836:ONE589839 ONE589841:ONE589914 ONE589916:ONE589937 ONE589940:ONE590011 ONE590014:ONE590021 ONE655365:ONE655370 ONE655372:ONE655375 ONE655377:ONE655450 ONE655452:ONE655473 ONE655476:ONE655547 ONE655550:ONE655557 ONE720901:ONE720906 ONE720908:ONE720911 ONE720913:ONE720986 ONE720988:ONE721009 ONE721012:ONE721083 ONE721086:ONE721093 ONE786437:ONE786442 ONE786444:ONE786447 ONE786449:ONE786522 ONE786524:ONE786545 ONE786548:ONE786619 ONE786622:ONE786629 ONE851973:ONE851978 ONE851980:ONE851983 ONE851985:ONE852058 ONE852060:ONE852081 ONE852084:ONE852155 ONE852158:ONE852165 ONE917509:ONE917514 ONE917516:ONE917519 ONE917521:ONE917594 ONE917596:ONE917617 ONE917620:ONE917691 ONE917694:ONE917701 ONE983045:ONE983050 ONE983052:ONE983055 ONE983057:ONE983130 ONE983132:ONE983153 ONE983156:ONE983227 ONE983230:ONE983237 OXA11:OXA16 OXA18:OXA91 OXA93:OXA114 OXA117:OXA188 OXA190:OXA197 OXA65541:OXA65546 OXA65548:OXA65551 OXA65553:OXA65626 OXA65628:OXA65649 OXA65652:OXA65723 OXA65726:OXA65733 OXA131077:OXA131082 OXA131084:OXA131087 OXA131089:OXA131162 OXA131164:OXA131185 OXA131188:OXA131259 OXA131262:OXA131269 OXA196613:OXA196618 OXA196620:OXA196623 OXA196625:OXA196698 OXA196700:OXA196721 OXA196724:OXA196795 OXA196798:OXA196805 OXA262149:OXA262154 OXA262156:OXA262159 OXA262161:OXA262234 OXA262236:OXA262257 OXA262260:OXA262331 OXA262334:OXA262341 OXA327685:OXA327690 OXA327692:OXA327695 OXA327697:OXA327770 OXA327772:OXA327793 OXA327796:OXA327867 OXA327870:OXA327877 OXA393221:OXA393226 OXA393228:OXA393231 OXA393233:OXA393306 OXA393308:OXA393329 OXA393332:OXA393403 OXA393406:OXA393413 OXA458757:OXA458762 OXA458764:OXA458767 OXA458769:OXA458842 OXA458844:OXA458865 OXA458868:OXA458939 OXA458942:OXA458949 OXA524293:OXA524298 OXA524300:OXA524303 OXA524305:OXA524378 OXA524380:OXA524401 OXA524404:OXA524475 OXA524478:OXA524485 OXA589829:OXA589834 OXA589836:OXA589839 OXA589841:OXA589914 OXA589916:OXA589937 OXA589940:OXA590011 OXA590014:OXA590021 OXA655365:OXA655370 OXA655372:OXA655375 OXA655377:OXA655450 OXA655452:OXA655473 OXA655476:OXA655547 OXA655550:OXA655557 OXA720901:OXA720906 OXA720908:OXA720911 OXA720913:OXA720986 OXA720988:OXA721009 OXA721012:OXA721083 OXA721086:OXA721093 OXA786437:OXA786442 OXA786444:OXA786447 OXA786449:OXA786522 OXA786524:OXA786545 OXA786548:OXA786619 OXA786622:OXA786629 OXA851973:OXA851978 OXA851980:OXA851983 OXA851985:OXA852058 OXA852060:OXA852081 OXA852084:OXA852155 OXA852158:OXA852165 OXA917509:OXA917514 OXA917516:OXA917519 OXA917521:OXA917594 OXA917596:OXA917617 OXA917620:OXA917691 OXA917694:OXA917701 OXA983045:OXA983050 OXA983052:OXA983055 OXA983057:OXA983130 OXA983132:OXA983153 OXA983156:OXA983227 OXA983230:OXA983237 PGW11:PGW16 PGW18:PGW91 PGW93:PGW114 PGW117:PGW188 PGW190:PGW197 PGW65541:PGW65546 PGW65548:PGW65551 PGW65553:PGW65626 PGW65628:PGW65649 PGW65652:PGW65723 PGW65726:PGW65733 PGW131077:PGW131082 PGW131084:PGW131087 PGW131089:PGW131162 PGW131164:PGW131185 PGW131188:PGW131259 PGW131262:PGW131269 PGW196613:PGW196618 PGW196620:PGW196623 PGW196625:PGW196698 PGW196700:PGW196721 PGW196724:PGW196795 PGW196798:PGW196805 PGW262149:PGW262154 PGW262156:PGW262159 PGW262161:PGW262234 PGW262236:PGW262257 PGW262260:PGW262331 PGW262334:PGW262341 PGW327685:PGW327690 PGW327692:PGW327695 PGW327697:PGW327770 PGW327772:PGW327793 PGW327796:PGW327867 PGW327870:PGW327877 PGW393221:PGW393226 PGW393228:PGW393231 PGW393233:PGW393306 PGW393308:PGW393329 PGW393332:PGW393403 PGW393406:PGW393413 PGW458757:PGW458762 PGW458764:PGW458767 PGW458769:PGW458842 PGW458844:PGW458865 PGW458868:PGW458939 PGW458942:PGW458949 PGW524293:PGW524298 PGW524300:PGW524303 PGW524305:PGW524378 PGW524380:PGW524401 PGW524404:PGW524475 PGW524478:PGW524485 PGW589829:PGW589834 PGW589836:PGW589839 PGW589841:PGW589914 PGW589916:PGW589937 PGW589940:PGW590011 PGW590014:PGW590021 PGW655365:PGW655370 PGW655372:PGW655375 PGW655377:PGW655450 PGW655452:PGW655473 PGW655476:PGW655547 PGW655550:PGW655557 PGW720901:PGW720906 PGW720908:PGW720911 PGW720913:PGW720986 PGW720988:PGW721009 PGW721012:PGW721083 PGW721086:PGW721093 PGW786437:PGW786442 PGW786444:PGW786447 PGW786449:PGW786522 PGW786524:PGW786545 PGW786548:PGW786619 PGW786622:PGW786629 PGW851973:PGW851978 PGW851980:PGW851983 PGW851985:PGW852058 PGW852060:PGW852081 PGW852084:PGW852155 PGW852158:PGW852165 PGW917509:PGW917514 PGW917516:PGW917519 PGW917521:PGW917594 PGW917596:PGW917617 PGW917620:PGW917691 PGW917694:PGW917701 PGW983045:PGW983050 PGW983052:PGW983055 PGW983057:PGW983130 PGW983132:PGW983153 PGW983156:PGW983227 PGW983230:PGW983237 PQS11:PQS16 PQS18:PQS91 PQS93:PQS114 PQS117:PQS188 PQS190:PQS197 PQS65541:PQS65546 PQS65548:PQS65551 PQS65553:PQS65626 PQS65628:PQS65649 PQS65652:PQS65723 PQS65726:PQS65733 PQS131077:PQS131082 PQS131084:PQS131087 PQS131089:PQS131162 PQS131164:PQS131185 PQS131188:PQS131259 PQS131262:PQS131269 PQS196613:PQS196618 PQS196620:PQS196623 PQS196625:PQS196698 PQS196700:PQS196721 PQS196724:PQS196795 PQS196798:PQS196805 PQS262149:PQS262154 PQS262156:PQS262159 PQS262161:PQS262234 PQS262236:PQS262257 PQS262260:PQS262331 PQS262334:PQS262341 PQS327685:PQS327690 PQS327692:PQS327695 PQS327697:PQS327770 PQS327772:PQS327793 PQS327796:PQS327867 PQS327870:PQS327877 PQS393221:PQS393226 PQS393228:PQS393231 PQS393233:PQS393306 PQS393308:PQS393329 PQS393332:PQS393403 PQS393406:PQS393413 PQS458757:PQS458762 PQS458764:PQS458767 PQS458769:PQS458842 PQS458844:PQS458865 PQS458868:PQS458939 PQS458942:PQS458949 PQS524293:PQS524298 PQS524300:PQS524303 PQS524305:PQS524378 PQS524380:PQS524401 PQS524404:PQS524475 PQS524478:PQS524485 PQS589829:PQS589834 PQS589836:PQS589839 PQS589841:PQS589914 PQS589916:PQS589937 PQS589940:PQS590011 PQS590014:PQS590021 PQS655365:PQS655370 PQS655372:PQS655375 PQS655377:PQS655450 PQS655452:PQS655473 PQS655476:PQS655547 PQS655550:PQS655557 PQS720901:PQS720906 PQS720908:PQS720911 PQS720913:PQS720986 PQS720988:PQS721009 PQS721012:PQS721083 PQS721086:PQS721093 PQS786437:PQS786442 PQS786444:PQS786447 PQS786449:PQS786522 PQS786524:PQS786545 PQS786548:PQS786619 PQS786622:PQS786629 PQS851973:PQS851978 PQS851980:PQS851983 PQS851985:PQS852058 PQS852060:PQS852081 PQS852084:PQS852155 PQS852158:PQS852165 PQS917509:PQS917514 PQS917516:PQS917519 PQS917521:PQS917594 PQS917596:PQS917617 PQS917620:PQS917691 PQS917694:PQS917701 PQS983045:PQS983050 PQS983052:PQS983055 PQS983057:PQS983130 PQS983132:PQS983153 PQS983156:PQS983227 PQS983230:PQS983237 QAO11:QAO16 QAO18:QAO91 QAO93:QAO114 QAO117:QAO188 QAO190:QAO197 QAO65541:QAO65546 QAO65548:QAO65551 QAO65553:QAO65626 QAO65628:QAO65649 QAO65652:QAO65723 QAO65726:QAO65733 QAO131077:QAO131082 QAO131084:QAO131087 QAO131089:QAO131162 QAO131164:QAO131185 QAO131188:QAO131259 QAO131262:QAO131269 QAO196613:QAO196618 QAO196620:QAO196623 QAO196625:QAO196698 QAO196700:QAO196721 QAO196724:QAO196795 QAO196798:QAO196805 QAO262149:QAO262154 QAO262156:QAO262159 QAO262161:QAO262234 QAO262236:QAO262257 QAO262260:QAO262331 QAO262334:QAO262341 QAO327685:QAO327690 QAO327692:QAO327695 QAO327697:QAO327770 QAO327772:QAO327793 QAO327796:QAO327867 QAO327870:QAO327877 QAO393221:QAO393226 QAO393228:QAO393231 QAO393233:QAO393306 QAO393308:QAO393329 QAO393332:QAO393403 QAO393406:QAO393413 QAO458757:QAO458762 QAO458764:QAO458767 QAO458769:QAO458842 QAO458844:QAO458865 QAO458868:QAO458939 QAO458942:QAO458949 QAO524293:QAO524298 QAO524300:QAO524303 QAO524305:QAO524378 QAO524380:QAO524401 QAO524404:QAO524475 QAO524478:QAO524485 QAO589829:QAO589834 QAO589836:QAO589839 QAO589841:QAO589914 QAO589916:QAO589937 QAO589940:QAO590011 QAO590014:QAO590021 QAO655365:QAO655370 QAO655372:QAO655375 QAO655377:QAO655450 QAO655452:QAO655473 QAO655476:QAO655547 QAO655550:QAO655557 QAO720901:QAO720906 QAO720908:QAO720911 QAO720913:QAO720986 QAO720988:QAO721009 QAO721012:QAO721083 QAO721086:QAO721093 QAO786437:QAO786442 QAO786444:QAO786447 QAO786449:QAO786522 QAO786524:QAO786545 QAO786548:QAO786619 QAO786622:QAO786629 QAO851973:QAO851978 QAO851980:QAO851983 QAO851985:QAO852058 QAO852060:QAO852081 QAO852084:QAO852155 QAO852158:QAO852165 QAO917509:QAO917514 QAO917516:QAO917519 QAO917521:QAO917594 QAO917596:QAO917617 QAO917620:QAO917691 QAO917694:QAO917701 QAO983045:QAO983050 QAO983052:QAO983055 QAO983057:QAO983130 QAO983132:QAO983153 QAO983156:QAO983227 QAO983230:QAO983237 QKK11:QKK16 QKK18:QKK91 QKK93:QKK114 QKK117:QKK188 QKK190:QKK197 QKK65541:QKK65546 QKK65548:QKK65551 QKK65553:QKK65626 QKK65628:QKK65649 QKK65652:QKK65723 QKK65726:QKK65733 QKK131077:QKK131082 QKK131084:QKK131087 QKK131089:QKK131162 QKK131164:QKK131185 QKK131188:QKK131259 QKK131262:QKK131269 QKK196613:QKK196618 QKK196620:QKK196623 QKK196625:QKK196698 QKK196700:QKK196721 QKK196724:QKK196795 QKK196798:QKK196805 QKK262149:QKK262154 QKK262156:QKK262159 QKK262161:QKK262234 QKK262236:QKK262257 QKK262260:QKK262331 QKK262334:QKK262341 QKK327685:QKK327690 QKK327692:QKK327695 QKK327697:QKK327770 QKK327772:QKK327793 QKK327796:QKK327867 QKK327870:QKK327877 QKK393221:QKK393226 QKK393228:QKK393231 QKK393233:QKK393306 QKK393308:QKK393329 QKK393332:QKK393403 QKK393406:QKK393413 QKK458757:QKK458762 QKK458764:QKK458767 QKK458769:QKK458842 QKK458844:QKK458865 QKK458868:QKK458939 QKK458942:QKK458949 QKK524293:QKK524298 QKK524300:QKK524303 QKK524305:QKK524378 QKK524380:QKK524401 QKK524404:QKK524475 QKK524478:QKK524485 QKK589829:QKK589834 QKK589836:QKK589839 QKK589841:QKK589914 QKK589916:QKK589937 QKK589940:QKK590011 QKK590014:QKK590021 QKK655365:QKK655370 QKK655372:QKK655375 QKK655377:QKK655450 QKK655452:QKK655473 QKK655476:QKK655547 QKK655550:QKK655557 QKK720901:QKK720906 QKK720908:QKK720911 QKK720913:QKK720986 QKK720988:QKK721009 QKK721012:QKK721083 QKK721086:QKK721093 QKK786437:QKK786442 QKK786444:QKK786447 QKK786449:QKK786522 QKK786524:QKK786545 QKK786548:QKK786619 QKK786622:QKK786629 QKK851973:QKK851978 QKK851980:QKK851983 QKK851985:QKK852058 QKK852060:QKK852081 QKK852084:QKK852155 QKK852158:QKK852165 QKK917509:QKK917514 QKK917516:QKK917519 QKK917521:QKK917594 QKK917596:QKK917617 QKK917620:QKK917691 QKK917694:QKK917701 QKK983045:QKK983050 QKK983052:QKK983055 QKK983057:QKK983130 QKK983132:QKK983153 QKK983156:QKK983227 QKK983230:QKK983237 QUG11:QUG16 QUG18:QUG91 QUG93:QUG114 QUG117:QUG188 QUG190:QUG197 QUG65541:QUG65546 QUG65548:QUG65551 QUG65553:QUG65626 QUG65628:QUG65649 QUG65652:QUG65723 QUG65726:QUG65733 QUG131077:QUG131082 QUG131084:QUG131087 QUG131089:QUG131162 QUG131164:QUG131185 QUG131188:QUG131259 QUG131262:QUG131269 QUG196613:QUG196618 QUG196620:QUG196623 QUG196625:QUG196698 QUG196700:QUG196721 QUG196724:QUG196795 QUG196798:QUG196805 QUG262149:QUG262154 QUG262156:QUG262159 QUG262161:QUG262234 QUG262236:QUG262257 QUG262260:QUG262331 QUG262334:QUG262341 QUG327685:QUG327690 QUG327692:QUG327695 QUG327697:QUG327770 QUG327772:QUG327793 QUG327796:QUG327867 QUG327870:QUG327877 QUG393221:QUG393226 QUG393228:QUG393231 QUG393233:QUG393306 QUG393308:QUG393329 QUG393332:QUG393403 QUG393406:QUG393413 QUG458757:QUG458762 QUG458764:QUG458767 QUG458769:QUG458842 QUG458844:QUG458865 QUG458868:QUG458939 QUG458942:QUG458949 QUG524293:QUG524298 QUG524300:QUG524303 QUG524305:QUG524378 QUG524380:QUG524401 QUG524404:QUG524475 QUG524478:QUG524485 QUG589829:QUG589834 QUG589836:QUG589839 QUG589841:QUG589914 QUG589916:QUG589937 QUG589940:QUG590011 QUG590014:QUG590021 QUG655365:QUG655370 QUG655372:QUG655375 QUG655377:QUG655450 QUG655452:QUG655473 QUG655476:QUG655547 QUG655550:QUG655557 QUG720901:QUG720906 QUG720908:QUG720911 QUG720913:QUG720986 QUG720988:QUG721009 QUG721012:QUG721083 QUG721086:QUG721093 QUG786437:QUG786442 QUG786444:QUG786447 QUG786449:QUG786522 QUG786524:QUG786545 QUG786548:QUG786619 QUG786622:QUG786629 QUG851973:QUG851978 QUG851980:QUG851983 QUG851985:QUG852058 QUG852060:QUG852081 QUG852084:QUG852155 QUG852158:QUG852165 QUG917509:QUG917514 QUG917516:QUG917519 QUG917521:QUG917594 QUG917596:QUG917617 QUG917620:QUG917691 QUG917694:QUG917701 QUG983045:QUG983050 QUG983052:QUG983055 QUG983057:QUG983130 QUG983132:QUG983153 QUG983156:QUG983227 QUG983230:QUG983237 REC11:REC16 REC18:REC91 REC93:REC114 REC117:REC188 REC190:REC197 REC65541:REC65546 REC65548:REC65551 REC65553:REC65626 REC65628:REC65649 REC65652:REC65723 REC65726:REC65733 REC131077:REC131082 REC131084:REC131087 REC131089:REC131162 REC131164:REC131185 REC131188:REC131259 REC131262:REC131269 REC196613:REC196618 REC196620:REC196623 REC196625:REC196698 REC196700:REC196721 REC196724:REC196795 REC196798:REC196805 REC262149:REC262154 REC262156:REC262159 REC262161:REC262234 REC262236:REC262257 REC262260:REC262331 REC262334:REC262341 REC327685:REC327690 REC327692:REC327695 REC327697:REC327770 REC327772:REC327793 REC327796:REC327867 REC327870:REC327877 REC393221:REC393226 REC393228:REC393231 REC393233:REC393306 REC393308:REC393329 REC393332:REC393403 REC393406:REC393413 REC458757:REC458762 REC458764:REC458767 REC458769:REC458842 REC458844:REC458865 REC458868:REC458939 REC458942:REC458949 REC524293:REC524298 REC524300:REC524303 REC524305:REC524378 REC524380:REC524401 REC524404:REC524475 REC524478:REC524485 REC589829:REC589834 REC589836:REC589839 REC589841:REC589914 REC589916:REC589937 REC589940:REC590011 REC590014:REC590021 REC655365:REC655370 REC655372:REC655375 REC655377:REC655450 REC655452:REC655473 REC655476:REC655547 REC655550:REC655557 REC720901:REC720906 REC720908:REC720911 REC720913:REC720986 REC720988:REC721009 REC721012:REC721083 REC721086:REC721093 REC786437:REC786442 REC786444:REC786447 REC786449:REC786522 REC786524:REC786545 REC786548:REC786619 REC786622:REC786629 REC851973:REC851978 REC851980:REC851983 REC851985:REC852058 REC852060:REC852081 REC852084:REC852155 REC852158:REC852165 REC917509:REC917514 REC917516:REC917519 REC917521:REC917594 REC917596:REC917617 REC917620:REC917691 REC917694:REC917701 REC983045:REC983050 REC983052:REC983055 REC983057:REC983130 REC983132:REC983153 REC983156:REC983227 REC983230:REC983237 RNY11:RNY16 RNY18:RNY91 RNY93:RNY114 RNY117:RNY188 RNY190:RNY197 RNY65541:RNY65546 RNY65548:RNY65551 RNY65553:RNY65626 RNY65628:RNY65649 RNY65652:RNY65723 RNY65726:RNY65733 RNY131077:RNY131082 RNY131084:RNY131087 RNY131089:RNY131162 RNY131164:RNY131185 RNY131188:RNY131259 RNY131262:RNY131269 RNY196613:RNY196618 RNY196620:RNY196623 RNY196625:RNY196698 RNY196700:RNY196721 RNY196724:RNY196795 RNY196798:RNY196805 RNY262149:RNY262154 RNY262156:RNY262159 RNY262161:RNY262234 RNY262236:RNY262257 RNY262260:RNY262331 RNY262334:RNY262341 RNY327685:RNY327690 RNY327692:RNY327695 RNY327697:RNY327770 RNY327772:RNY327793 RNY327796:RNY327867 RNY327870:RNY327877 RNY393221:RNY393226 RNY393228:RNY393231 RNY393233:RNY393306 RNY393308:RNY393329 RNY393332:RNY393403 RNY393406:RNY393413 RNY458757:RNY458762 RNY458764:RNY458767 RNY458769:RNY458842 RNY458844:RNY458865 RNY458868:RNY458939 RNY458942:RNY458949 RNY524293:RNY524298 RNY524300:RNY524303 RNY524305:RNY524378 RNY524380:RNY524401 RNY524404:RNY524475 RNY524478:RNY524485 RNY589829:RNY589834 RNY589836:RNY589839 RNY589841:RNY589914 RNY589916:RNY589937 RNY589940:RNY590011 RNY590014:RNY590021 RNY655365:RNY655370 RNY655372:RNY655375 RNY655377:RNY655450 RNY655452:RNY655473 RNY655476:RNY655547 RNY655550:RNY655557 RNY720901:RNY720906 RNY720908:RNY720911 RNY720913:RNY720986 RNY720988:RNY721009 RNY721012:RNY721083 RNY721086:RNY721093 RNY786437:RNY786442 RNY786444:RNY786447 RNY786449:RNY786522 RNY786524:RNY786545 RNY786548:RNY786619 RNY786622:RNY786629 RNY851973:RNY851978 RNY851980:RNY851983 RNY851985:RNY852058 RNY852060:RNY852081 RNY852084:RNY852155 RNY852158:RNY852165 RNY917509:RNY917514 RNY917516:RNY917519 RNY917521:RNY917594 RNY917596:RNY917617 RNY917620:RNY917691 RNY917694:RNY917701 RNY983045:RNY983050 RNY983052:RNY983055 RNY983057:RNY983130 RNY983132:RNY983153 RNY983156:RNY983227 RNY983230:RNY983237 RXU11:RXU16 RXU18:RXU91 RXU93:RXU114 RXU117:RXU188 RXU190:RXU197 RXU65541:RXU65546 RXU65548:RXU65551 RXU65553:RXU65626 RXU65628:RXU65649 RXU65652:RXU65723 RXU65726:RXU65733 RXU131077:RXU131082 RXU131084:RXU131087 RXU131089:RXU131162 RXU131164:RXU131185 RXU131188:RXU131259 RXU131262:RXU131269 RXU196613:RXU196618 RXU196620:RXU196623 RXU196625:RXU196698 RXU196700:RXU196721 RXU196724:RXU196795 RXU196798:RXU196805 RXU262149:RXU262154 RXU262156:RXU262159 RXU262161:RXU262234 RXU262236:RXU262257 RXU262260:RXU262331 RXU262334:RXU262341 RXU327685:RXU327690 RXU327692:RXU327695 RXU327697:RXU327770 RXU327772:RXU327793 RXU327796:RXU327867 RXU327870:RXU327877 RXU393221:RXU393226 RXU393228:RXU393231 RXU393233:RXU393306 RXU393308:RXU393329 RXU393332:RXU393403 RXU393406:RXU393413 RXU458757:RXU458762 RXU458764:RXU458767 RXU458769:RXU458842 RXU458844:RXU458865 RXU458868:RXU458939 RXU458942:RXU458949 RXU524293:RXU524298 RXU524300:RXU524303 RXU524305:RXU524378 RXU524380:RXU524401 RXU524404:RXU524475 RXU524478:RXU524485 RXU589829:RXU589834 RXU589836:RXU589839 RXU589841:RXU589914 RXU589916:RXU589937 RXU589940:RXU590011 RXU590014:RXU590021 RXU655365:RXU655370 RXU655372:RXU655375 RXU655377:RXU655450 RXU655452:RXU655473 RXU655476:RXU655547 RXU655550:RXU655557 RXU720901:RXU720906 RXU720908:RXU720911 RXU720913:RXU720986 RXU720988:RXU721009 RXU721012:RXU721083 RXU721086:RXU721093 RXU786437:RXU786442 RXU786444:RXU786447 RXU786449:RXU786522 RXU786524:RXU786545 RXU786548:RXU786619 RXU786622:RXU786629 RXU851973:RXU851978 RXU851980:RXU851983 RXU851985:RXU852058 RXU852060:RXU852081 RXU852084:RXU852155 RXU852158:RXU852165 RXU917509:RXU917514 RXU917516:RXU917519 RXU917521:RXU917594 RXU917596:RXU917617 RXU917620:RXU917691 RXU917694:RXU917701 RXU983045:RXU983050 RXU983052:RXU983055 RXU983057:RXU983130 RXU983132:RXU983153 RXU983156:RXU983227 RXU983230:RXU983237 SHQ11:SHQ16 SHQ18:SHQ91 SHQ93:SHQ114 SHQ117:SHQ188 SHQ190:SHQ197 SHQ65541:SHQ65546 SHQ65548:SHQ65551 SHQ65553:SHQ65626 SHQ65628:SHQ65649 SHQ65652:SHQ65723 SHQ65726:SHQ65733 SHQ131077:SHQ131082 SHQ131084:SHQ131087 SHQ131089:SHQ131162 SHQ131164:SHQ131185 SHQ131188:SHQ131259 SHQ131262:SHQ131269 SHQ196613:SHQ196618 SHQ196620:SHQ196623 SHQ196625:SHQ196698 SHQ196700:SHQ196721 SHQ196724:SHQ196795 SHQ196798:SHQ196805 SHQ262149:SHQ262154 SHQ262156:SHQ262159 SHQ262161:SHQ262234 SHQ262236:SHQ262257 SHQ262260:SHQ262331 SHQ262334:SHQ262341 SHQ327685:SHQ327690 SHQ327692:SHQ327695 SHQ327697:SHQ327770 SHQ327772:SHQ327793 SHQ327796:SHQ327867 SHQ327870:SHQ327877 SHQ393221:SHQ393226 SHQ393228:SHQ393231 SHQ393233:SHQ393306 SHQ393308:SHQ393329 SHQ393332:SHQ393403 SHQ393406:SHQ393413 SHQ458757:SHQ458762 SHQ458764:SHQ458767 SHQ458769:SHQ458842 SHQ458844:SHQ458865 SHQ458868:SHQ458939 SHQ458942:SHQ458949 SHQ524293:SHQ524298 SHQ524300:SHQ524303 SHQ524305:SHQ524378 SHQ524380:SHQ524401 SHQ524404:SHQ524475 SHQ524478:SHQ524485 SHQ589829:SHQ589834 SHQ589836:SHQ589839 SHQ589841:SHQ589914 SHQ589916:SHQ589937 SHQ589940:SHQ590011 SHQ590014:SHQ590021 SHQ655365:SHQ655370 SHQ655372:SHQ655375 SHQ655377:SHQ655450 SHQ655452:SHQ655473 SHQ655476:SHQ655547 SHQ655550:SHQ655557 SHQ720901:SHQ720906 SHQ720908:SHQ720911 SHQ720913:SHQ720986 SHQ720988:SHQ721009 SHQ721012:SHQ721083 SHQ721086:SHQ721093 SHQ786437:SHQ786442 SHQ786444:SHQ786447 SHQ786449:SHQ786522 SHQ786524:SHQ786545 SHQ786548:SHQ786619 SHQ786622:SHQ786629 SHQ851973:SHQ851978 SHQ851980:SHQ851983 SHQ851985:SHQ852058 SHQ852060:SHQ852081 SHQ852084:SHQ852155 SHQ852158:SHQ852165 SHQ917509:SHQ917514 SHQ917516:SHQ917519 SHQ917521:SHQ917594 SHQ917596:SHQ917617 SHQ917620:SHQ917691 SHQ917694:SHQ917701 SHQ983045:SHQ983050 SHQ983052:SHQ983055 SHQ983057:SHQ983130 SHQ983132:SHQ983153 SHQ983156:SHQ983227 SHQ983230:SHQ983237 SRM11:SRM16 SRM18:SRM91 SRM93:SRM114 SRM117:SRM188 SRM190:SRM197 SRM65541:SRM65546 SRM65548:SRM65551 SRM65553:SRM65626 SRM65628:SRM65649 SRM65652:SRM65723 SRM65726:SRM65733 SRM131077:SRM131082 SRM131084:SRM131087 SRM131089:SRM131162 SRM131164:SRM131185 SRM131188:SRM131259 SRM131262:SRM131269 SRM196613:SRM196618 SRM196620:SRM196623 SRM196625:SRM196698 SRM196700:SRM196721 SRM196724:SRM196795 SRM196798:SRM196805 SRM262149:SRM262154 SRM262156:SRM262159 SRM262161:SRM262234 SRM262236:SRM262257 SRM262260:SRM262331 SRM262334:SRM262341 SRM327685:SRM327690 SRM327692:SRM327695 SRM327697:SRM327770 SRM327772:SRM327793 SRM327796:SRM327867 SRM327870:SRM327877 SRM393221:SRM393226 SRM393228:SRM393231 SRM393233:SRM393306 SRM393308:SRM393329 SRM393332:SRM393403 SRM393406:SRM393413 SRM458757:SRM458762 SRM458764:SRM458767 SRM458769:SRM458842 SRM458844:SRM458865 SRM458868:SRM458939 SRM458942:SRM458949 SRM524293:SRM524298 SRM524300:SRM524303 SRM524305:SRM524378 SRM524380:SRM524401 SRM524404:SRM524475 SRM524478:SRM524485 SRM589829:SRM589834 SRM589836:SRM589839 SRM589841:SRM589914 SRM589916:SRM589937 SRM589940:SRM590011 SRM590014:SRM590021 SRM655365:SRM655370 SRM655372:SRM655375 SRM655377:SRM655450 SRM655452:SRM655473 SRM655476:SRM655547 SRM655550:SRM655557 SRM720901:SRM720906 SRM720908:SRM720911 SRM720913:SRM720986 SRM720988:SRM721009 SRM721012:SRM721083 SRM721086:SRM721093 SRM786437:SRM786442 SRM786444:SRM786447 SRM786449:SRM786522 SRM786524:SRM786545 SRM786548:SRM786619 SRM786622:SRM786629 SRM851973:SRM851978 SRM851980:SRM851983 SRM851985:SRM852058 SRM852060:SRM852081 SRM852084:SRM852155 SRM852158:SRM852165 SRM917509:SRM917514 SRM917516:SRM917519 SRM917521:SRM917594 SRM917596:SRM917617 SRM917620:SRM917691 SRM917694:SRM917701 SRM983045:SRM983050 SRM983052:SRM983055 SRM983057:SRM983130 SRM983132:SRM983153 SRM983156:SRM983227 SRM983230:SRM983237 TBI11:TBI16 TBI18:TBI91 TBI93:TBI114 TBI117:TBI188 TBI190:TBI197 TBI65541:TBI65546 TBI65548:TBI65551 TBI65553:TBI65626 TBI65628:TBI65649 TBI65652:TBI65723 TBI65726:TBI65733 TBI131077:TBI131082 TBI131084:TBI131087 TBI131089:TBI131162 TBI131164:TBI131185 TBI131188:TBI131259 TBI131262:TBI131269 TBI196613:TBI196618 TBI196620:TBI196623 TBI196625:TBI196698 TBI196700:TBI196721 TBI196724:TBI196795 TBI196798:TBI196805 TBI262149:TBI262154 TBI262156:TBI262159 TBI262161:TBI262234 TBI262236:TBI262257 TBI262260:TBI262331 TBI262334:TBI262341 TBI327685:TBI327690 TBI327692:TBI327695 TBI327697:TBI327770 TBI327772:TBI327793 TBI327796:TBI327867 TBI327870:TBI327877 TBI393221:TBI393226 TBI393228:TBI393231 TBI393233:TBI393306 TBI393308:TBI393329 TBI393332:TBI393403 TBI393406:TBI393413 TBI458757:TBI458762 TBI458764:TBI458767 TBI458769:TBI458842 TBI458844:TBI458865 TBI458868:TBI458939 TBI458942:TBI458949 TBI524293:TBI524298 TBI524300:TBI524303 TBI524305:TBI524378 TBI524380:TBI524401 TBI524404:TBI524475 TBI524478:TBI524485 TBI589829:TBI589834 TBI589836:TBI589839 TBI589841:TBI589914 TBI589916:TBI589937 TBI589940:TBI590011 TBI590014:TBI590021 TBI655365:TBI655370 TBI655372:TBI655375 TBI655377:TBI655450 TBI655452:TBI655473 TBI655476:TBI655547 TBI655550:TBI655557 TBI720901:TBI720906 TBI720908:TBI720911 TBI720913:TBI720986 TBI720988:TBI721009 TBI721012:TBI721083 TBI721086:TBI721093 TBI786437:TBI786442 TBI786444:TBI786447 TBI786449:TBI786522 TBI786524:TBI786545 TBI786548:TBI786619 TBI786622:TBI786629 TBI851973:TBI851978 TBI851980:TBI851983 TBI851985:TBI852058 TBI852060:TBI852081 TBI852084:TBI852155 TBI852158:TBI852165 TBI917509:TBI917514 TBI917516:TBI917519 TBI917521:TBI917594 TBI917596:TBI917617 TBI917620:TBI917691 TBI917694:TBI917701 TBI983045:TBI983050 TBI983052:TBI983055 TBI983057:TBI983130 TBI983132:TBI983153 TBI983156:TBI983227 TBI983230:TBI983237 TLE11:TLE16 TLE18:TLE91 TLE93:TLE114 TLE117:TLE188 TLE190:TLE197 TLE65541:TLE65546 TLE65548:TLE65551 TLE65553:TLE65626 TLE65628:TLE65649 TLE65652:TLE65723 TLE65726:TLE65733 TLE131077:TLE131082 TLE131084:TLE131087 TLE131089:TLE131162 TLE131164:TLE131185 TLE131188:TLE131259 TLE131262:TLE131269 TLE196613:TLE196618 TLE196620:TLE196623 TLE196625:TLE196698 TLE196700:TLE196721 TLE196724:TLE196795 TLE196798:TLE196805 TLE262149:TLE262154 TLE262156:TLE262159 TLE262161:TLE262234 TLE262236:TLE262257 TLE262260:TLE262331 TLE262334:TLE262341 TLE327685:TLE327690 TLE327692:TLE327695 TLE327697:TLE327770 TLE327772:TLE327793 TLE327796:TLE327867 TLE327870:TLE327877 TLE393221:TLE393226 TLE393228:TLE393231 TLE393233:TLE393306 TLE393308:TLE393329 TLE393332:TLE393403 TLE393406:TLE393413 TLE458757:TLE458762 TLE458764:TLE458767 TLE458769:TLE458842 TLE458844:TLE458865 TLE458868:TLE458939 TLE458942:TLE458949 TLE524293:TLE524298 TLE524300:TLE524303 TLE524305:TLE524378 TLE524380:TLE524401 TLE524404:TLE524475 TLE524478:TLE524485 TLE589829:TLE589834 TLE589836:TLE589839 TLE589841:TLE589914 TLE589916:TLE589937 TLE589940:TLE590011 TLE590014:TLE590021 TLE655365:TLE655370 TLE655372:TLE655375 TLE655377:TLE655450 TLE655452:TLE655473 TLE655476:TLE655547 TLE655550:TLE655557 TLE720901:TLE720906 TLE720908:TLE720911 TLE720913:TLE720986 TLE720988:TLE721009 TLE721012:TLE721083 TLE721086:TLE721093 TLE786437:TLE786442 TLE786444:TLE786447 TLE786449:TLE786522 TLE786524:TLE786545 TLE786548:TLE786619 TLE786622:TLE786629 TLE851973:TLE851978 TLE851980:TLE851983 TLE851985:TLE852058 TLE852060:TLE852081 TLE852084:TLE852155 TLE852158:TLE852165 TLE917509:TLE917514 TLE917516:TLE917519 TLE917521:TLE917594 TLE917596:TLE917617 TLE917620:TLE917691 TLE917694:TLE917701 TLE983045:TLE983050 TLE983052:TLE983055 TLE983057:TLE983130 TLE983132:TLE983153 TLE983156:TLE983227 TLE983230:TLE983237 TVA11:TVA16 TVA18:TVA91 TVA93:TVA114 TVA117:TVA188 TVA190:TVA197 TVA65541:TVA65546 TVA65548:TVA65551 TVA65553:TVA65626 TVA65628:TVA65649 TVA65652:TVA65723 TVA65726:TVA65733 TVA131077:TVA131082 TVA131084:TVA131087 TVA131089:TVA131162 TVA131164:TVA131185 TVA131188:TVA131259 TVA131262:TVA131269 TVA196613:TVA196618 TVA196620:TVA196623 TVA196625:TVA196698 TVA196700:TVA196721 TVA196724:TVA196795 TVA196798:TVA196805 TVA262149:TVA262154 TVA262156:TVA262159 TVA262161:TVA262234 TVA262236:TVA262257 TVA262260:TVA262331 TVA262334:TVA262341 TVA327685:TVA327690 TVA327692:TVA327695 TVA327697:TVA327770 TVA327772:TVA327793 TVA327796:TVA327867 TVA327870:TVA327877 TVA393221:TVA393226 TVA393228:TVA393231 TVA393233:TVA393306 TVA393308:TVA393329 TVA393332:TVA393403 TVA393406:TVA393413 TVA458757:TVA458762 TVA458764:TVA458767 TVA458769:TVA458842 TVA458844:TVA458865 TVA458868:TVA458939 TVA458942:TVA458949 TVA524293:TVA524298 TVA524300:TVA524303 TVA524305:TVA524378 TVA524380:TVA524401 TVA524404:TVA524475 TVA524478:TVA524485 TVA589829:TVA589834 TVA589836:TVA589839 TVA589841:TVA589914 TVA589916:TVA589937 TVA589940:TVA590011 TVA590014:TVA590021 TVA655365:TVA655370 TVA655372:TVA655375 TVA655377:TVA655450 TVA655452:TVA655473 TVA655476:TVA655547 TVA655550:TVA655557 TVA720901:TVA720906 TVA720908:TVA720911 TVA720913:TVA720986 TVA720988:TVA721009 TVA721012:TVA721083 TVA721086:TVA721093 TVA786437:TVA786442 TVA786444:TVA786447 TVA786449:TVA786522 TVA786524:TVA786545 TVA786548:TVA786619 TVA786622:TVA786629 TVA851973:TVA851978 TVA851980:TVA851983 TVA851985:TVA852058 TVA852060:TVA852081 TVA852084:TVA852155 TVA852158:TVA852165 TVA917509:TVA917514 TVA917516:TVA917519 TVA917521:TVA917594 TVA917596:TVA917617 TVA917620:TVA917691 TVA917694:TVA917701 TVA983045:TVA983050 TVA983052:TVA983055 TVA983057:TVA983130 TVA983132:TVA983153 TVA983156:TVA983227 TVA983230:TVA983237 UEW11:UEW16 UEW18:UEW91 UEW93:UEW114 UEW117:UEW188 UEW190:UEW197 UEW65541:UEW65546 UEW65548:UEW65551 UEW65553:UEW65626 UEW65628:UEW65649 UEW65652:UEW65723 UEW65726:UEW65733 UEW131077:UEW131082 UEW131084:UEW131087 UEW131089:UEW131162 UEW131164:UEW131185 UEW131188:UEW131259 UEW131262:UEW131269 UEW196613:UEW196618 UEW196620:UEW196623 UEW196625:UEW196698 UEW196700:UEW196721 UEW196724:UEW196795 UEW196798:UEW196805 UEW262149:UEW262154 UEW262156:UEW262159 UEW262161:UEW262234 UEW262236:UEW262257 UEW262260:UEW262331 UEW262334:UEW262341 UEW327685:UEW327690 UEW327692:UEW327695 UEW327697:UEW327770 UEW327772:UEW327793 UEW327796:UEW327867 UEW327870:UEW327877 UEW393221:UEW393226 UEW393228:UEW393231 UEW393233:UEW393306 UEW393308:UEW393329 UEW393332:UEW393403 UEW393406:UEW393413 UEW458757:UEW458762 UEW458764:UEW458767 UEW458769:UEW458842 UEW458844:UEW458865 UEW458868:UEW458939 UEW458942:UEW458949 UEW524293:UEW524298 UEW524300:UEW524303 UEW524305:UEW524378 UEW524380:UEW524401 UEW524404:UEW524475 UEW524478:UEW524485 UEW589829:UEW589834 UEW589836:UEW589839 UEW589841:UEW589914 UEW589916:UEW589937 UEW589940:UEW590011 UEW590014:UEW590021 UEW655365:UEW655370 UEW655372:UEW655375 UEW655377:UEW655450 UEW655452:UEW655473 UEW655476:UEW655547 UEW655550:UEW655557 UEW720901:UEW720906 UEW720908:UEW720911 UEW720913:UEW720986 UEW720988:UEW721009 UEW721012:UEW721083 UEW721086:UEW721093 UEW786437:UEW786442 UEW786444:UEW786447 UEW786449:UEW786522 UEW786524:UEW786545 UEW786548:UEW786619 UEW786622:UEW786629 UEW851973:UEW851978 UEW851980:UEW851983 UEW851985:UEW852058 UEW852060:UEW852081 UEW852084:UEW852155 UEW852158:UEW852165 UEW917509:UEW917514 UEW917516:UEW917519 UEW917521:UEW917594 UEW917596:UEW917617 UEW917620:UEW917691 UEW917694:UEW917701 UEW983045:UEW983050 UEW983052:UEW983055 UEW983057:UEW983130 UEW983132:UEW983153 UEW983156:UEW983227 UEW983230:UEW983237 UOS11:UOS16 UOS18:UOS91 UOS93:UOS114 UOS117:UOS188 UOS190:UOS197 UOS65541:UOS65546 UOS65548:UOS65551 UOS65553:UOS65626 UOS65628:UOS65649 UOS65652:UOS65723 UOS65726:UOS65733 UOS131077:UOS131082 UOS131084:UOS131087 UOS131089:UOS131162 UOS131164:UOS131185 UOS131188:UOS131259 UOS131262:UOS131269 UOS196613:UOS196618 UOS196620:UOS196623 UOS196625:UOS196698 UOS196700:UOS196721 UOS196724:UOS196795 UOS196798:UOS196805 UOS262149:UOS262154 UOS262156:UOS262159 UOS262161:UOS262234 UOS262236:UOS262257 UOS262260:UOS262331 UOS262334:UOS262341 UOS327685:UOS327690 UOS327692:UOS327695 UOS327697:UOS327770 UOS327772:UOS327793 UOS327796:UOS327867 UOS327870:UOS327877 UOS393221:UOS393226 UOS393228:UOS393231 UOS393233:UOS393306 UOS393308:UOS393329 UOS393332:UOS393403 UOS393406:UOS393413 UOS458757:UOS458762 UOS458764:UOS458767 UOS458769:UOS458842 UOS458844:UOS458865 UOS458868:UOS458939 UOS458942:UOS458949 UOS524293:UOS524298 UOS524300:UOS524303 UOS524305:UOS524378 UOS524380:UOS524401 UOS524404:UOS524475 UOS524478:UOS524485 UOS589829:UOS589834 UOS589836:UOS589839 UOS589841:UOS589914 UOS589916:UOS589937 UOS589940:UOS590011 UOS590014:UOS590021 UOS655365:UOS655370 UOS655372:UOS655375 UOS655377:UOS655450 UOS655452:UOS655473 UOS655476:UOS655547 UOS655550:UOS655557 UOS720901:UOS720906 UOS720908:UOS720911 UOS720913:UOS720986 UOS720988:UOS721009 UOS721012:UOS721083 UOS721086:UOS721093 UOS786437:UOS786442 UOS786444:UOS786447 UOS786449:UOS786522 UOS786524:UOS786545 UOS786548:UOS786619 UOS786622:UOS786629 UOS851973:UOS851978 UOS851980:UOS851983 UOS851985:UOS852058 UOS852060:UOS852081 UOS852084:UOS852155 UOS852158:UOS852165 UOS917509:UOS917514 UOS917516:UOS917519 UOS917521:UOS917594 UOS917596:UOS917617 UOS917620:UOS917691 UOS917694:UOS917701 UOS983045:UOS983050 UOS983052:UOS983055 UOS983057:UOS983130 UOS983132:UOS983153 UOS983156:UOS983227 UOS983230:UOS983237 UYO11:UYO16 UYO18:UYO91 UYO93:UYO114 UYO117:UYO188 UYO190:UYO197 UYO65541:UYO65546 UYO65548:UYO65551 UYO65553:UYO65626 UYO65628:UYO65649 UYO65652:UYO65723 UYO65726:UYO65733 UYO131077:UYO131082 UYO131084:UYO131087 UYO131089:UYO131162 UYO131164:UYO131185 UYO131188:UYO131259 UYO131262:UYO131269 UYO196613:UYO196618 UYO196620:UYO196623 UYO196625:UYO196698 UYO196700:UYO196721 UYO196724:UYO196795 UYO196798:UYO196805 UYO262149:UYO262154 UYO262156:UYO262159 UYO262161:UYO262234 UYO262236:UYO262257 UYO262260:UYO262331 UYO262334:UYO262341 UYO327685:UYO327690 UYO327692:UYO327695 UYO327697:UYO327770 UYO327772:UYO327793 UYO327796:UYO327867 UYO327870:UYO327877 UYO393221:UYO393226 UYO393228:UYO393231 UYO393233:UYO393306 UYO393308:UYO393329 UYO393332:UYO393403 UYO393406:UYO393413 UYO458757:UYO458762 UYO458764:UYO458767 UYO458769:UYO458842 UYO458844:UYO458865 UYO458868:UYO458939 UYO458942:UYO458949 UYO524293:UYO524298 UYO524300:UYO524303 UYO524305:UYO524378 UYO524380:UYO524401 UYO524404:UYO524475 UYO524478:UYO524485 UYO589829:UYO589834 UYO589836:UYO589839 UYO589841:UYO589914 UYO589916:UYO589937 UYO589940:UYO590011 UYO590014:UYO590021 UYO655365:UYO655370 UYO655372:UYO655375 UYO655377:UYO655450 UYO655452:UYO655473 UYO655476:UYO655547 UYO655550:UYO655557 UYO720901:UYO720906 UYO720908:UYO720911 UYO720913:UYO720986 UYO720988:UYO721009 UYO721012:UYO721083 UYO721086:UYO721093 UYO786437:UYO786442 UYO786444:UYO786447 UYO786449:UYO786522 UYO786524:UYO786545 UYO786548:UYO786619 UYO786622:UYO786629 UYO851973:UYO851978 UYO851980:UYO851983 UYO851985:UYO852058 UYO852060:UYO852081 UYO852084:UYO852155 UYO852158:UYO852165 UYO917509:UYO917514 UYO917516:UYO917519 UYO917521:UYO917594 UYO917596:UYO917617 UYO917620:UYO917691 UYO917694:UYO917701 UYO983045:UYO983050 UYO983052:UYO983055 UYO983057:UYO983130 UYO983132:UYO983153 UYO983156:UYO983227 UYO983230:UYO983237 VIK11:VIK16 VIK18:VIK91 VIK93:VIK114 VIK117:VIK188 VIK190:VIK197 VIK65541:VIK65546 VIK65548:VIK65551 VIK65553:VIK65626 VIK65628:VIK65649 VIK65652:VIK65723 VIK65726:VIK65733 VIK131077:VIK131082 VIK131084:VIK131087 VIK131089:VIK131162 VIK131164:VIK131185 VIK131188:VIK131259 VIK131262:VIK131269 VIK196613:VIK196618 VIK196620:VIK196623 VIK196625:VIK196698 VIK196700:VIK196721 VIK196724:VIK196795 VIK196798:VIK196805 VIK262149:VIK262154 VIK262156:VIK262159 VIK262161:VIK262234 VIK262236:VIK262257 VIK262260:VIK262331 VIK262334:VIK262341 VIK327685:VIK327690 VIK327692:VIK327695 VIK327697:VIK327770 VIK327772:VIK327793 VIK327796:VIK327867 VIK327870:VIK327877 VIK393221:VIK393226 VIK393228:VIK393231 VIK393233:VIK393306 VIK393308:VIK393329 VIK393332:VIK393403 VIK393406:VIK393413 VIK458757:VIK458762 VIK458764:VIK458767 VIK458769:VIK458842 VIK458844:VIK458865 VIK458868:VIK458939 VIK458942:VIK458949 VIK524293:VIK524298 VIK524300:VIK524303 VIK524305:VIK524378 VIK524380:VIK524401 VIK524404:VIK524475 VIK524478:VIK524485 VIK589829:VIK589834 VIK589836:VIK589839 VIK589841:VIK589914 VIK589916:VIK589937 VIK589940:VIK590011 VIK590014:VIK590021 VIK655365:VIK655370 VIK655372:VIK655375 VIK655377:VIK655450 VIK655452:VIK655473 VIK655476:VIK655547 VIK655550:VIK655557 VIK720901:VIK720906 VIK720908:VIK720911 VIK720913:VIK720986 VIK720988:VIK721009 VIK721012:VIK721083 VIK721086:VIK721093 VIK786437:VIK786442 VIK786444:VIK786447 VIK786449:VIK786522 VIK786524:VIK786545 VIK786548:VIK786619 VIK786622:VIK786629 VIK851973:VIK851978 VIK851980:VIK851983 VIK851985:VIK852058 VIK852060:VIK852081 VIK852084:VIK852155 VIK852158:VIK852165 VIK917509:VIK917514 VIK917516:VIK917519 VIK917521:VIK917594 VIK917596:VIK917617 VIK917620:VIK917691 VIK917694:VIK917701 VIK983045:VIK983050 VIK983052:VIK983055 VIK983057:VIK983130 VIK983132:VIK983153 VIK983156:VIK983227 VIK983230:VIK983237 VSG11:VSG16 VSG18:VSG91 VSG93:VSG114 VSG117:VSG188 VSG190:VSG197 VSG65541:VSG65546 VSG65548:VSG65551 VSG65553:VSG65626 VSG65628:VSG65649 VSG65652:VSG65723 VSG65726:VSG65733 VSG131077:VSG131082 VSG131084:VSG131087 VSG131089:VSG131162 VSG131164:VSG131185 VSG131188:VSG131259 VSG131262:VSG131269 VSG196613:VSG196618 VSG196620:VSG196623 VSG196625:VSG196698 VSG196700:VSG196721 VSG196724:VSG196795 VSG196798:VSG196805 VSG262149:VSG262154 VSG262156:VSG262159 VSG262161:VSG262234 VSG262236:VSG262257 VSG262260:VSG262331 VSG262334:VSG262341 VSG327685:VSG327690 VSG327692:VSG327695 VSG327697:VSG327770 VSG327772:VSG327793 VSG327796:VSG327867 VSG327870:VSG327877 VSG393221:VSG393226 VSG393228:VSG393231 VSG393233:VSG393306 VSG393308:VSG393329 VSG393332:VSG393403 VSG393406:VSG393413 VSG458757:VSG458762 VSG458764:VSG458767 VSG458769:VSG458842 VSG458844:VSG458865 VSG458868:VSG458939 VSG458942:VSG458949 VSG524293:VSG524298 VSG524300:VSG524303 VSG524305:VSG524378 VSG524380:VSG524401 VSG524404:VSG524475 VSG524478:VSG524485 VSG589829:VSG589834 VSG589836:VSG589839 VSG589841:VSG589914 VSG589916:VSG589937 VSG589940:VSG590011 VSG590014:VSG590021 VSG655365:VSG655370 VSG655372:VSG655375 VSG655377:VSG655450 VSG655452:VSG655473 VSG655476:VSG655547 VSG655550:VSG655557 VSG720901:VSG720906 VSG720908:VSG720911 VSG720913:VSG720986 VSG720988:VSG721009 VSG721012:VSG721083 VSG721086:VSG721093 VSG786437:VSG786442 VSG786444:VSG786447 VSG786449:VSG786522 VSG786524:VSG786545 VSG786548:VSG786619 VSG786622:VSG786629 VSG851973:VSG851978 VSG851980:VSG851983 VSG851985:VSG852058 VSG852060:VSG852081 VSG852084:VSG852155 VSG852158:VSG852165 VSG917509:VSG917514 VSG917516:VSG917519 VSG917521:VSG917594 VSG917596:VSG917617 VSG917620:VSG917691 VSG917694:VSG917701 VSG983045:VSG983050 VSG983052:VSG983055 VSG983057:VSG983130 VSG983132:VSG983153 VSG983156:VSG983227 VSG983230:VSG983237 WCC11:WCC16 WCC18:WCC91 WCC93:WCC114 WCC117:WCC188 WCC190:WCC197 WCC65541:WCC65546 WCC65548:WCC65551 WCC65553:WCC65626 WCC65628:WCC65649 WCC65652:WCC65723 WCC65726:WCC65733 WCC131077:WCC131082 WCC131084:WCC131087 WCC131089:WCC131162 WCC131164:WCC131185 WCC131188:WCC131259 WCC131262:WCC131269 WCC196613:WCC196618 WCC196620:WCC196623 WCC196625:WCC196698 WCC196700:WCC196721 WCC196724:WCC196795 WCC196798:WCC196805 WCC262149:WCC262154 WCC262156:WCC262159 WCC262161:WCC262234 WCC262236:WCC262257 WCC262260:WCC262331 WCC262334:WCC262341 WCC327685:WCC327690 WCC327692:WCC327695 WCC327697:WCC327770 WCC327772:WCC327793 WCC327796:WCC327867 WCC327870:WCC327877 WCC393221:WCC393226 WCC393228:WCC393231 WCC393233:WCC393306 WCC393308:WCC393329 WCC393332:WCC393403 WCC393406:WCC393413 WCC458757:WCC458762 WCC458764:WCC458767 WCC458769:WCC458842 WCC458844:WCC458865 WCC458868:WCC458939 WCC458942:WCC458949 WCC524293:WCC524298 WCC524300:WCC524303 WCC524305:WCC524378 WCC524380:WCC524401 WCC524404:WCC524475 WCC524478:WCC524485 WCC589829:WCC589834 WCC589836:WCC589839 WCC589841:WCC589914 WCC589916:WCC589937 WCC589940:WCC590011 WCC590014:WCC590021 WCC655365:WCC655370 WCC655372:WCC655375 WCC655377:WCC655450 WCC655452:WCC655473 WCC655476:WCC655547 WCC655550:WCC655557 WCC720901:WCC720906 WCC720908:WCC720911 WCC720913:WCC720986 WCC720988:WCC721009 WCC721012:WCC721083 WCC721086:WCC721093 WCC786437:WCC786442 WCC786444:WCC786447 WCC786449:WCC786522 WCC786524:WCC786545 WCC786548:WCC786619 WCC786622:WCC786629 WCC851973:WCC851978 WCC851980:WCC851983 WCC851985:WCC852058 WCC852060:WCC852081 WCC852084:WCC852155 WCC852158:WCC852165 WCC917509:WCC917514 WCC917516:WCC917519 WCC917521:WCC917594 WCC917596:WCC917617 WCC917620:WCC917691 WCC917694:WCC917701 WCC983045:WCC983050 WCC983052:WCC983055 WCC983057:WCC983130 WCC983132:WCC983153 WCC983156:WCC983227 WCC983230:WCC983237 WLY11:WLY16 WLY18:WLY91 WLY93:WLY114 WLY117:WLY188 WLY190:WLY197 WLY65541:WLY65546 WLY65548:WLY65551 WLY65553:WLY65626 WLY65628:WLY65649 WLY65652:WLY65723 WLY65726:WLY65733 WLY131077:WLY131082 WLY131084:WLY131087 WLY131089:WLY131162 WLY131164:WLY131185 WLY131188:WLY131259 WLY131262:WLY131269 WLY196613:WLY196618 WLY196620:WLY196623 WLY196625:WLY196698 WLY196700:WLY196721 WLY196724:WLY196795 WLY196798:WLY196805 WLY262149:WLY262154 WLY262156:WLY262159 WLY262161:WLY262234 WLY262236:WLY262257 WLY262260:WLY262331 WLY262334:WLY262341 WLY327685:WLY327690 WLY327692:WLY327695 WLY327697:WLY327770 WLY327772:WLY327793 WLY327796:WLY327867 WLY327870:WLY327877 WLY393221:WLY393226 WLY393228:WLY393231 WLY393233:WLY393306 WLY393308:WLY393329 WLY393332:WLY393403 WLY393406:WLY393413 WLY458757:WLY458762 WLY458764:WLY458767 WLY458769:WLY458842 WLY458844:WLY458865 WLY458868:WLY458939 WLY458942:WLY458949 WLY524293:WLY524298 WLY524300:WLY524303 WLY524305:WLY524378 WLY524380:WLY524401 WLY524404:WLY524475 WLY524478:WLY524485 WLY589829:WLY589834 WLY589836:WLY589839 WLY589841:WLY589914 WLY589916:WLY589937 WLY589940:WLY590011 WLY590014:WLY590021 WLY655365:WLY655370 WLY655372:WLY655375 WLY655377:WLY655450 WLY655452:WLY655473 WLY655476:WLY655547 WLY655550:WLY655557 WLY720901:WLY720906 WLY720908:WLY720911 WLY720913:WLY720986 WLY720988:WLY721009 WLY721012:WLY721083 WLY721086:WLY721093 WLY786437:WLY786442 WLY786444:WLY786447 WLY786449:WLY786522 WLY786524:WLY786545 WLY786548:WLY786619 WLY786622:WLY786629 WLY851973:WLY851978 WLY851980:WLY851983 WLY851985:WLY852058 WLY852060:WLY852081 WLY852084:WLY852155 WLY852158:WLY852165 WLY917509:WLY917514 WLY917516:WLY917519 WLY917521:WLY917594 WLY917596:WLY917617 WLY917620:WLY917691 WLY917694:WLY917701 WLY983045:WLY983050 WLY983052:WLY983055 WLY983057:WLY983130 WLY983132:WLY983153 WLY983156:WLY983227 WLY983230:WLY983237 WVU11:WVU16 WVU18:WVU91 WVU93:WVU114 WVU117:WVU188 WVU190:WVU197 WVU65541:WVU65546 WVU65548:WVU65551 WVU65553:WVU65626 WVU65628:WVU65649 WVU65652:WVU65723 WVU65726:WVU65733 WVU131077:WVU131082 WVU131084:WVU131087 WVU131089:WVU131162 WVU131164:WVU131185 WVU131188:WVU131259 WVU131262:WVU131269 WVU196613:WVU196618 WVU196620:WVU196623 WVU196625:WVU196698 WVU196700:WVU196721 WVU196724:WVU196795 WVU196798:WVU196805 WVU262149:WVU262154 WVU262156:WVU262159 WVU262161:WVU262234 WVU262236:WVU262257 WVU262260:WVU262331 WVU262334:WVU262341 WVU327685:WVU327690 WVU327692:WVU327695 WVU327697:WVU327770 WVU327772:WVU327793 WVU327796:WVU327867 WVU327870:WVU327877 WVU393221:WVU393226 WVU393228:WVU393231 WVU393233:WVU393306 WVU393308:WVU393329 WVU393332:WVU393403 WVU393406:WVU393413 WVU458757:WVU458762 WVU458764:WVU458767 WVU458769:WVU458842 WVU458844:WVU458865 WVU458868:WVU458939 WVU458942:WVU458949 WVU524293:WVU524298 WVU524300:WVU524303 WVU524305:WVU524378 WVU524380:WVU524401 WVU524404:WVU524475 WVU524478:WVU524485 WVU589829:WVU589834 WVU589836:WVU589839 WVU589841:WVU589914 WVU589916:WVU589937 WVU589940:WVU590011 WVU590014:WVU590021 WVU655365:WVU655370 WVU655372:WVU655375 WVU655377:WVU655450 WVU655452:WVU655473 WVU655476:WVU655547 WVU655550:WVU655557 WVU720901:WVU720906 WVU720908:WVU720911 WVU720913:WVU720986 WVU720988:WVU721009 WVU721012:WVU721083 WVU721086:WVU721093 WVU786437:WVU786442 WVU786444:WVU786447 WVU786449:WVU786522 WVU786524:WVU786545 WVU786548:WVU786619 WVU786622:WVU786629 WVU851973:WVU851978 WVU851980:WVU851983 WVU851985:WVU852058 WVU852060:WVU852081 WVU852084:WVU852155 WVU852158:WVU852165 WVU917509:WVU917514 WVU917516:WVU917519 WVU917521:WVU917594 WVU917596:WVU917617 WVU917620:WVU917691 WVU917694:WVU917701 WVU983045:WVU983050 WVU983052:WVU983055 WVU983057:WVU983130 WVU983132:WVU983153 WVU983156:WVU983227 WVU983230:WVU983237" showDropDown="0" showInputMessage="1" showErrorMessage="1" allowBlank="1" type="list">
      <formula1>"Passed,Failed,Blocked,Pending,NA"</formula1>
    </dataValidation>
    <dataValidation sqref="L11:L16 L18:L91 L93:L197"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28.xml><?xml version="1.0" encoding="utf-8"?>
<worksheet xmlns="http://schemas.openxmlformats.org/spreadsheetml/2006/main">
  <sheetPr>
    <outlinePr summaryBelow="1" summaryRight="1"/>
    <pageSetUpPr/>
  </sheetPr>
  <dimension ref="B2:J70"/>
  <sheetViews>
    <sheetView showGridLines="0" workbookViewId="0">
      <selection activeCell="E12" sqref="E12"/>
    </sheetView>
  </sheetViews>
  <sheetFormatPr baseColWidth="8" defaultRowHeight="15"/>
  <cols>
    <col width="11.140625" customWidth="1" style="89" min="1" max="1"/>
    <col width="12.140625" customWidth="1" style="89" min="2" max="2"/>
    <col width="32" bestFit="1" customWidth="1" style="89" min="3" max="3"/>
    <col width="44.28515625" customWidth="1" style="89" min="4" max="5"/>
    <col width="18.85546875" customWidth="1" style="89" min="6" max="6"/>
    <col width="16.7109375" customWidth="1" style="89" min="7" max="9"/>
    <col width="11.28515625" customWidth="1" min="10" max="10"/>
  </cols>
  <sheetData>
    <row r="1" ht="15.75" customHeight="1" thickBot="1"/>
    <row r="2" ht="15.75" customHeight="1" thickBot="1">
      <c r="B2" s="352" t="inlineStr">
        <is>
          <t>Test Case Summary</t>
        </is>
      </c>
      <c r="C2" s="389" t="n"/>
      <c r="D2" s="389" t="n"/>
      <c r="E2" s="389" t="n"/>
      <c r="F2" s="390" t="n"/>
      <c r="G2" s="153" t="n"/>
    </row>
    <row r="3" ht="18.75" customHeight="1" thickBot="1">
      <c r="B3" s="352" t="inlineStr">
        <is>
          <t xml:space="preserve">Total Test Cases </t>
        </is>
      </c>
      <c r="C3" s="391" t="n"/>
      <c r="D3" s="352" t="inlineStr">
        <is>
          <t>1st Iteration</t>
        </is>
      </c>
      <c r="E3" s="352" t="inlineStr">
        <is>
          <t>Executed Tests</t>
        </is>
      </c>
      <c r="F3" s="352" t="inlineStr">
        <is>
          <t>Total Tests</t>
        </is>
      </c>
      <c r="G3" s="392" t="inlineStr">
        <is>
          <t>Automation Scripts</t>
        </is>
      </c>
    </row>
    <row r="4" ht="15.75" customHeight="1" thickBot="1">
      <c r="B4" s="393" t="n"/>
      <c r="C4" s="394" t="n"/>
      <c r="D4" s="47">
        <f>SUM(D5:D9)</f>
        <v/>
      </c>
      <c r="E4" s="395" t="n"/>
      <c r="F4" s="395" t="n"/>
      <c r="G4" s="396" t="n"/>
    </row>
    <row r="5" ht="15.75" customHeight="1" thickBot="1">
      <c r="B5" s="350" t="inlineStr">
        <is>
          <t>Passed</t>
        </is>
      </c>
      <c r="D5" s="52">
        <f>COUNTIF(F11:F294,"Passed")</f>
        <v/>
      </c>
      <c r="E5" s="53">
        <f>IF(D5=0,,(D5/(D5+D6)))</f>
        <v/>
      </c>
      <c r="F5" s="51">
        <f>IF(D4=0,,(D5/D4))</f>
        <v/>
      </c>
      <c r="G5" s="156">
        <f>COUNTIF(H11:H494,"Done")</f>
        <v/>
      </c>
    </row>
    <row r="6" ht="15.75" customHeight="1" thickBot="1">
      <c r="B6" s="350" t="inlineStr">
        <is>
          <t>Failed</t>
        </is>
      </c>
      <c r="D6" s="52">
        <f>COUNTIF(F11:F294,"Failed")</f>
        <v/>
      </c>
      <c r="E6" s="53">
        <f>IF(D6=0,,(D6/(D6+D7)))</f>
        <v/>
      </c>
      <c r="F6" s="51">
        <f>IF(D4=0,,(D6/D4))</f>
        <v/>
      </c>
      <c r="G6" s="52">
        <f>COUNTIF(H11:H494,"Failed")</f>
        <v/>
      </c>
    </row>
    <row r="7" ht="15.75" customHeight="1" thickBot="1">
      <c r="B7" s="350" t="inlineStr">
        <is>
          <t>Blocked</t>
        </is>
      </c>
      <c r="D7" s="52">
        <f>COUNTIF(F11:F294,"Blocked")</f>
        <v/>
      </c>
      <c r="E7" s="53">
        <f>IF(D7=0,,(D7/(D7+D8)))</f>
        <v/>
      </c>
      <c r="F7" s="51">
        <f>IF(D4=0,,(D7/D4))</f>
        <v/>
      </c>
      <c r="G7" s="52">
        <f>COUNTIF(H11:H494,"Blocked")</f>
        <v/>
      </c>
    </row>
    <row r="8" ht="15.75" customHeight="1" thickBot="1">
      <c r="B8" s="350" t="inlineStr">
        <is>
          <t>Pending</t>
        </is>
      </c>
      <c r="D8" s="52">
        <f>COUNTIF(F11:F294,"Pending")</f>
        <v/>
      </c>
      <c r="E8" s="53">
        <f>IF(D8=0,,(D8/(D8+D9)))</f>
        <v/>
      </c>
      <c r="F8" s="51">
        <f>IF(D4=0,,(D8/D4))</f>
        <v/>
      </c>
      <c r="G8" s="52">
        <f>COUNTIF(H11:H494,"Pending")</f>
        <v/>
      </c>
    </row>
    <row r="9" ht="15.75" customHeight="1" thickBot="1">
      <c r="B9" s="350" t="inlineStr">
        <is>
          <t>Not Applicable</t>
        </is>
      </c>
      <c r="D9" s="52">
        <f>COUNTIF(F11:F294,"Not Applicable")</f>
        <v/>
      </c>
      <c r="E9" s="53">
        <f>IF(D9=0,,(D9/(D9+#REF!)))</f>
        <v/>
      </c>
      <c r="F9" s="51">
        <f>IF(D4=0,,(D9/D4))</f>
        <v/>
      </c>
      <c r="G9" s="52">
        <f>COUNTIF(H11:H494,"Out of Scope")</f>
        <v/>
      </c>
    </row>
    <row r="10" ht="15.75" customHeight="1" thickBot="1">
      <c r="B10" s="9" t="inlineStr">
        <is>
          <t>S.No.</t>
        </is>
      </c>
      <c r="C10" s="10" t="inlineStr">
        <is>
          <t>Module/Sub-Module</t>
        </is>
      </c>
      <c r="D10" s="10" t="inlineStr">
        <is>
          <t>Test Steps</t>
        </is>
      </c>
      <c r="E10" s="8" t="inlineStr">
        <is>
          <t>Expected Results</t>
        </is>
      </c>
      <c r="F10" s="8" t="inlineStr">
        <is>
          <t>Result</t>
        </is>
      </c>
      <c r="G10" s="2" t="inlineStr">
        <is>
          <t>Bug ID</t>
        </is>
      </c>
      <c r="H10" s="8" t="inlineStr">
        <is>
          <t>Automation Status</t>
        </is>
      </c>
      <c r="I10" s="8" t="inlineStr">
        <is>
          <t>Mapped Scripts</t>
        </is>
      </c>
      <c r="J10" s="2" t="inlineStr">
        <is>
          <t>Comments</t>
        </is>
      </c>
    </row>
    <row r="11" ht="38.25" customHeight="1">
      <c r="B11" s="366" t="inlineStr">
        <is>
          <t>Doc_001</t>
        </is>
      </c>
      <c r="C11" s="366" t="inlineStr">
        <is>
          <t>Document Classification: Flow</t>
        </is>
      </c>
      <c r="D11" s="79" t="inlineStr">
        <is>
          <t>Log in to SS as a Manager/Analyst and open the Add Item screen.</t>
        </is>
      </c>
      <c r="E11" s="79" t="inlineStr">
        <is>
          <t>Clicking Add Item button against any customer will open the Add Item form.</t>
        </is>
      </c>
      <c r="F11" s="87" t="inlineStr">
        <is>
          <t>Pending</t>
        </is>
      </c>
      <c r="G11" s="3" t="n"/>
      <c r="H11" s="18" t="inlineStr">
        <is>
          <t>Pending</t>
        </is>
      </c>
      <c r="I11" s="3" t="n">
        <v>0.5</v>
      </c>
      <c r="J11" s="3" t="n"/>
    </row>
    <row r="12" ht="76.5" customHeight="1">
      <c r="B12" s="366" t="inlineStr">
        <is>
          <t>Doc_002</t>
        </is>
      </c>
      <c r="C12" s="366" t="inlineStr">
        <is>
          <t>Document Classification: Flow</t>
        </is>
      </c>
      <c r="D12" s="79" t="inlineStr">
        <is>
          <t>Click Add files from file store , it will show "Recommended Files" tab by default in the Map Files to Customer screen.</t>
        </is>
      </c>
      <c r="E12" s="79" t="inlineStr">
        <is>
          <t>Warning popup will appear.
On confirming Yes, it will show "Recommended Files" tab by default in the Map Files to Customer screen.
On confirming No, user stays on Add New Item page only.</t>
        </is>
      </c>
      <c r="F12" s="87" t="inlineStr">
        <is>
          <t>Pending</t>
        </is>
      </c>
      <c r="G12" s="3" t="n"/>
      <c r="H12" s="366" t="inlineStr">
        <is>
          <t>Pending</t>
        </is>
      </c>
      <c r="I12" s="3" t="n">
        <v>0.5</v>
      </c>
      <c r="J12" s="3" t="n"/>
    </row>
    <row r="13" ht="51" customHeight="1">
      <c r="B13" s="366" t="inlineStr">
        <is>
          <t>Doc_003</t>
        </is>
      </c>
      <c r="C13" s="366" t="inlineStr">
        <is>
          <t>Document Classification: Flow</t>
        </is>
      </c>
      <c r="D13" s="79" t="inlineStr">
        <is>
          <t>Verify that only those files which are tagged to the customer by AI prediction will be shown in the Recommended tab.</t>
        </is>
      </c>
      <c r="E13" s="79" t="inlineStr">
        <is>
          <t>The The user should be able to search files in the Recommended tab.
If the user is mapping file for first time then the Recommended tab should display "No records found".</t>
        </is>
      </c>
      <c r="F13" s="87" t="inlineStr">
        <is>
          <t>Pending</t>
        </is>
      </c>
      <c r="G13" s="3" t="n"/>
      <c r="H13" s="366" t="inlineStr">
        <is>
          <t>Pending</t>
        </is>
      </c>
      <c r="I13" s="3" t="n">
        <v>0.5</v>
      </c>
      <c r="J13" s="3" t="n"/>
    </row>
    <row r="14" ht="76.5" customHeight="1">
      <c r="B14" s="366" t="inlineStr">
        <is>
          <t>Doc_004</t>
        </is>
      </c>
      <c r="C14" s="366" t="inlineStr">
        <is>
          <t>Document Classification: Flow</t>
        </is>
      </c>
      <c r="D14" s="79" t="inlineStr">
        <is>
          <t>Click file and move the files in the Shortlisted section.
Verify that the user can move back shortlisted files.
The user should be able to shortlist Max. 100 files.
Verify the Clear All option.
Verify the file preview.</t>
        </is>
      </c>
      <c r="E14" s="79" t="inlineStr">
        <is>
          <t>The file should be displayed in the Shortlisted section.
Shortlisted files should be removable or deselectable.</t>
        </is>
      </c>
      <c r="F14" s="87" t="inlineStr">
        <is>
          <t>Pending</t>
        </is>
      </c>
      <c r="G14" s="3" t="n"/>
      <c r="H14" s="366" t="inlineStr">
        <is>
          <t>Pending</t>
        </is>
      </c>
      <c r="I14" s="3" t="n">
        <v>0.5</v>
      </c>
      <c r="J14" s="3" t="n"/>
    </row>
    <row r="15" ht="38.25" customHeight="1">
      <c r="B15" s="366" t="inlineStr">
        <is>
          <t>Doc_005</t>
        </is>
      </c>
      <c r="C15" s="366" t="inlineStr">
        <is>
          <t>Document Classification: Flow</t>
        </is>
      </c>
      <c r="D15" s="79" t="inlineStr">
        <is>
          <t>Verify that Metadata extracted from the ML engine for the shortlisted file should be populated in the Add Item form.</t>
        </is>
      </c>
      <c r="E15" s="79" t="inlineStr">
        <is>
          <t>Metadata should be auto-filled.</t>
        </is>
      </c>
      <c r="F15" s="87" t="inlineStr">
        <is>
          <t>Pending</t>
        </is>
      </c>
      <c r="G15" s="3" t="n"/>
      <c r="H15" s="366" t="inlineStr">
        <is>
          <t>Pending</t>
        </is>
      </c>
      <c r="I15" s="3" t="n">
        <v>0.5</v>
      </c>
      <c r="J15" s="3" t="n"/>
    </row>
    <row r="16" ht="25.5" customHeight="1">
      <c r="B16" s="366" t="inlineStr">
        <is>
          <t>Doc_006</t>
        </is>
      </c>
      <c r="C16" s="366" t="inlineStr">
        <is>
          <t>Document Classification: Flow</t>
        </is>
      </c>
      <c r="D16" s="79" t="inlineStr">
        <is>
          <t>Verify Group, Model, Taxonomy Groups should also be populated in case of only single values.</t>
        </is>
      </c>
      <c r="E16" s="79" t="inlineStr">
        <is>
          <t>The result should be as described.</t>
        </is>
      </c>
      <c r="F16" s="87" t="inlineStr">
        <is>
          <t>Pending</t>
        </is>
      </c>
      <c r="G16" s="3" t="n"/>
      <c r="H16" s="366" t="inlineStr">
        <is>
          <t>Pending</t>
        </is>
      </c>
      <c r="I16" s="3" t="n">
        <v>0.5</v>
      </c>
      <c r="J16" s="3" t="n"/>
    </row>
    <row r="17" ht="51" customHeight="1">
      <c r="B17" s="366" t="inlineStr">
        <is>
          <t>Doc_007</t>
        </is>
      </c>
      <c r="C17" s="366" t="inlineStr">
        <is>
          <t>Document Classification: Flow</t>
        </is>
      </c>
      <c r="D17" s="79" t="inlineStr">
        <is>
          <t>For multiple, these fields should be blank for first time addition of item, and for next time onwards it will pick similar information as in last item creation.</t>
        </is>
      </c>
      <c r="E17" s="79" t="inlineStr">
        <is>
          <t>The result should be as described.</t>
        </is>
      </c>
      <c r="F17" s="87" t="inlineStr">
        <is>
          <t>Pending</t>
        </is>
      </c>
      <c r="G17" s="3" t="n"/>
      <c r="H17" s="366" t="inlineStr">
        <is>
          <t>Pending</t>
        </is>
      </c>
      <c r="I17" s="3" t="n">
        <v>0.5</v>
      </c>
      <c r="J17" s="3" t="n"/>
    </row>
    <row r="18" ht="25.5" customHeight="1">
      <c r="B18" s="366" t="inlineStr">
        <is>
          <t>Doc_008</t>
        </is>
      </c>
      <c r="C18" s="366" t="inlineStr">
        <is>
          <t>Document Classification: Flow</t>
        </is>
      </c>
      <c r="D18" s="79" t="inlineStr">
        <is>
          <t>Verify that Spread type will always be selected by the user manually.</t>
        </is>
      </c>
      <c r="E18" s="79" t="inlineStr">
        <is>
          <t>The Spread Type field should not be auto-populated.</t>
        </is>
      </c>
      <c r="F18" s="87" t="inlineStr">
        <is>
          <t>Pending</t>
        </is>
      </c>
      <c r="G18" s="3" t="n"/>
      <c r="H18" s="366" t="inlineStr">
        <is>
          <t>Pending</t>
        </is>
      </c>
      <c r="I18" s="3" t="n">
        <v>0.5</v>
      </c>
      <c r="J18" s="3" t="n"/>
    </row>
    <row r="19">
      <c r="B19" s="366" t="inlineStr">
        <is>
          <t>Doc_009</t>
        </is>
      </c>
      <c r="C19" s="366" t="inlineStr">
        <is>
          <t>Document Classification: Flow</t>
        </is>
      </c>
      <c r="D19" s="79" t="inlineStr">
        <is>
          <t>In Map Files, click "Map File to Customer".</t>
        </is>
      </c>
      <c r="E19" s="79" t="inlineStr">
        <is>
          <t>File Store should open.</t>
        </is>
      </c>
      <c r="F19" s="87" t="inlineStr">
        <is>
          <t>Pending</t>
        </is>
      </c>
      <c r="G19" s="3" t="n"/>
      <c r="H19" s="366" t="inlineStr">
        <is>
          <t>Pending</t>
        </is>
      </c>
      <c r="I19" s="3" t="n">
        <v>0.5</v>
      </c>
      <c r="J19" s="3" t="n"/>
    </row>
    <row r="20" ht="38.25" customHeight="1">
      <c r="B20" s="366" t="inlineStr">
        <is>
          <t>Doc_010</t>
        </is>
      </c>
      <c r="C20" s="366" t="inlineStr">
        <is>
          <t>Document Classification: Flow</t>
        </is>
      </c>
      <c r="D20" s="79" t="inlineStr">
        <is>
          <t>On the File Store screen, clicking the Map Customer button should open the My Files tab by default.</t>
        </is>
      </c>
      <c r="E20" s="79" t="inlineStr">
        <is>
          <t>File Store should open.</t>
        </is>
      </c>
      <c r="F20" s="87" t="inlineStr">
        <is>
          <t>Pending</t>
        </is>
      </c>
      <c r="G20" s="3" t="n"/>
      <c r="H20" s="366" t="inlineStr">
        <is>
          <t>Pending</t>
        </is>
      </c>
      <c r="I20" s="3" t="n">
        <v>0.5</v>
      </c>
      <c r="J20" s="3" t="n"/>
    </row>
    <row r="21" ht="63.75" customHeight="1">
      <c r="B21" s="366" t="inlineStr">
        <is>
          <t>Doc_011</t>
        </is>
      </c>
      <c r="C21" s="366" t="inlineStr">
        <is>
          <t>Document Classification: Flow</t>
        </is>
      </c>
      <c r="D21" s="79" t="inlineStr">
        <is>
          <t>Verify that the user will shortlist the files and then system will autofill the metadata in the item form accordingly as against each uploaded file there will be AI predictions, hence customer name and other fields will show suggested values.</t>
        </is>
      </c>
      <c r="E21" s="79" t="inlineStr">
        <is>
          <t>The result should be as described.</t>
        </is>
      </c>
      <c r="F21" s="87" t="inlineStr">
        <is>
          <t>Pending</t>
        </is>
      </c>
      <c r="G21" s="3" t="n"/>
      <c r="H21" s="366" t="inlineStr">
        <is>
          <t>Pending</t>
        </is>
      </c>
      <c r="I21" s="3" t="n">
        <v>0.5</v>
      </c>
      <c r="J21" s="3" t="n"/>
    </row>
    <row r="22">
      <c r="B22" s="366" t="inlineStr">
        <is>
          <t>Doc_012</t>
        </is>
      </c>
      <c r="C22" s="366" t="inlineStr">
        <is>
          <t>Document Classification: Flow</t>
        </is>
      </c>
      <c r="D22" s="79" t="inlineStr">
        <is>
          <t>Verify that the user can overwrite the fields.</t>
        </is>
      </c>
      <c r="E22" s="79" t="inlineStr">
        <is>
          <t>The fields should be overwritten.</t>
        </is>
      </c>
      <c r="F22" s="87" t="inlineStr">
        <is>
          <t>Pending</t>
        </is>
      </c>
      <c r="G22" s="3" t="n"/>
      <c r="H22" s="366" t="inlineStr">
        <is>
          <t>Pending</t>
        </is>
      </c>
      <c r="I22" s="3" t="n">
        <v>0.5</v>
      </c>
      <c r="J22" s="3" t="n"/>
    </row>
    <row r="23">
      <c r="B23" s="366" t="inlineStr">
        <is>
          <t>Doc_013</t>
        </is>
      </c>
      <c r="C23" s="366" t="inlineStr">
        <is>
          <t>Document Classification: Flow</t>
        </is>
      </c>
      <c r="D23" s="79" t="inlineStr">
        <is>
          <t>On the Add Item screen, click Browse File to upload a document.</t>
        </is>
      </c>
      <c r="E23" s="79" t="inlineStr">
        <is>
          <t>Should be able to click.</t>
        </is>
      </c>
      <c r="F23" s="87" t="inlineStr">
        <is>
          <t>Pending</t>
        </is>
      </c>
      <c r="G23" s="3" t="n"/>
      <c r="H23" s="366" t="inlineStr">
        <is>
          <t>Pending</t>
        </is>
      </c>
      <c r="I23" s="3" t="n">
        <v>0.5</v>
      </c>
      <c r="J23" s="3" t="n"/>
    </row>
    <row r="24" ht="38.25" customHeight="1">
      <c r="B24" s="366" t="inlineStr">
        <is>
          <t>Doc_014</t>
        </is>
      </c>
      <c r="C24" s="366" t="inlineStr">
        <is>
          <t>Document Classification: Flow</t>
        </is>
      </c>
      <c r="D24" s="79" t="inlineStr">
        <is>
          <t>Clicking the Browse to add additional file will allow user to choose single or multiple files for upload.</t>
        </is>
      </c>
      <c r="E24" s="79" t="inlineStr">
        <is>
          <t>The result should be as described.</t>
        </is>
      </c>
      <c r="F24" s="87" t="inlineStr">
        <is>
          <t>Pending</t>
        </is>
      </c>
      <c r="G24" s="3" t="n"/>
      <c r="H24" s="366" t="inlineStr">
        <is>
          <t>Pending</t>
        </is>
      </c>
      <c r="I24" s="3" t="n">
        <v>0.5</v>
      </c>
      <c r="J24" s="3" t="n"/>
    </row>
    <row r="25" ht="25.5" customHeight="1">
      <c r="B25" s="366" t="inlineStr">
        <is>
          <t>Doc_015</t>
        </is>
      </c>
      <c r="C25" s="366" t="inlineStr">
        <is>
          <t>Document Classification: Flow</t>
        </is>
      </c>
      <c r="D25" s="79" t="inlineStr">
        <is>
          <t>Verify that In case of single file that file extension to be used for file format option by system.</t>
        </is>
      </c>
      <c r="E25" s="79" t="inlineStr">
        <is>
          <t>Format should result in selection of button selection.</t>
        </is>
      </c>
      <c r="F25" s="87" t="inlineStr">
        <is>
          <t>Pending</t>
        </is>
      </c>
      <c r="G25" s="3" t="n"/>
      <c r="H25" s="366" t="inlineStr">
        <is>
          <t>Pending</t>
        </is>
      </c>
      <c r="I25" s="3" t="n">
        <v>0.5</v>
      </c>
      <c r="J25" s="3" t="n"/>
    </row>
    <row r="26" ht="38.25" customHeight="1">
      <c r="B26" s="366" t="inlineStr">
        <is>
          <t>Doc_016</t>
        </is>
      </c>
      <c r="C26" s="366" t="inlineStr">
        <is>
          <t>Document Classification: Flow</t>
        </is>
      </c>
      <c r="D26" s="79" t="inlineStr">
        <is>
          <t>Verify that in case of multiple files then system will check if all the files belong to same category.</t>
        </is>
      </c>
      <c r="E26" s="79" t="inlineStr">
        <is>
          <t>Format should result in selection of button selection.</t>
        </is>
      </c>
      <c r="F26" s="87" t="inlineStr">
        <is>
          <t>Pending</t>
        </is>
      </c>
      <c r="G26" s="3" t="n"/>
      <c r="H26" s="366" t="inlineStr">
        <is>
          <t>Pending</t>
        </is>
      </c>
      <c r="I26" s="3" t="n">
        <v>1</v>
      </c>
      <c r="J26" s="3" t="n"/>
    </row>
    <row r="27" ht="25.5" customHeight="1">
      <c r="B27" s="366" t="inlineStr">
        <is>
          <t>Doc_017</t>
        </is>
      </c>
      <c r="C27" s="366" t="inlineStr">
        <is>
          <t>Document Classification: Flow</t>
        </is>
      </c>
      <c r="D27" s="79" t="inlineStr">
        <is>
          <t>Verify that selection will happen automatically otherwise warning message will come.</t>
        </is>
      </c>
      <c r="E27" s="79" t="inlineStr">
        <is>
          <t>Warning message should appear.</t>
        </is>
      </c>
      <c r="F27" s="87" t="inlineStr">
        <is>
          <t>Pending</t>
        </is>
      </c>
      <c r="G27" s="3" t="n"/>
      <c r="H27" s="366" t="inlineStr">
        <is>
          <t>Pending</t>
        </is>
      </c>
      <c r="I27" s="3" t="n">
        <v>0.5</v>
      </c>
      <c r="J27" s="3" t="n"/>
    </row>
    <row r="28" ht="38.25" customHeight="1">
      <c r="B28" s="366" t="inlineStr">
        <is>
          <t>Doc_018</t>
        </is>
      </c>
      <c r="C28" s="366" t="inlineStr">
        <is>
          <t>Document Classification: Flow</t>
        </is>
      </c>
      <c r="D28" s="79" t="inlineStr">
        <is>
          <t>By default, both the radio button should remain unselected.</t>
        </is>
      </c>
      <c r="E28" s="79" t="inlineStr">
        <is>
          <t>Both radio buttons should remain unselected.</t>
        </is>
      </c>
      <c r="F28" s="87" t="inlineStr">
        <is>
          <t>Pending</t>
        </is>
      </c>
      <c r="G28" s="3" t="n"/>
      <c r="H28" s="366" t="inlineStr">
        <is>
          <t>Pending</t>
        </is>
      </c>
      <c r="I28" s="3" t="n">
        <v>0.5</v>
      </c>
      <c r="J28" s="3" t="n"/>
    </row>
    <row r="29" ht="25.5" customHeight="1">
      <c r="B29" s="366" t="inlineStr">
        <is>
          <t>Doc_019</t>
        </is>
      </c>
      <c r="C29" s="366" t="inlineStr">
        <is>
          <t>Document Classification: Flow</t>
        </is>
      </c>
      <c r="D29" s="79" t="inlineStr">
        <is>
          <t>Verify that once files get uploaded then system will start predicting values for fields in metadata section.</t>
        </is>
      </c>
      <c r="E29" s="79" t="inlineStr">
        <is>
          <t>Metadata should start predicted and auto populate values.</t>
        </is>
      </c>
      <c r="F29" s="87" t="inlineStr">
        <is>
          <t>Pending</t>
        </is>
      </c>
      <c r="G29" s="3" t="n"/>
      <c r="H29" s="366" t="inlineStr">
        <is>
          <t>Pending</t>
        </is>
      </c>
      <c r="I29" s="3" t="n">
        <v>0.5</v>
      </c>
      <c r="J29" s="3" t="n"/>
    </row>
    <row r="30" ht="51" customHeight="1">
      <c r="B30" s="366" t="inlineStr">
        <is>
          <t>Doc_020</t>
        </is>
      </c>
      <c r="C30" s="366" t="inlineStr">
        <is>
          <t>Document Classification: Flow</t>
        </is>
      </c>
      <c r="D30" s="79" t="inlineStr">
        <is>
          <t>Verify that in case system is taking time and user has manually selected fields then values will not get overwritten as added by the user.</t>
        </is>
      </c>
      <c r="E30" s="79" t="inlineStr">
        <is>
          <t>The result should be as described.</t>
        </is>
      </c>
      <c r="F30" s="87" t="inlineStr">
        <is>
          <t>Pending</t>
        </is>
      </c>
      <c r="G30" s="3" t="n"/>
      <c r="H30" s="366" t="inlineStr">
        <is>
          <t>Pending</t>
        </is>
      </c>
      <c r="I30" s="3" t="n">
        <v>0.5</v>
      </c>
      <c r="J30" s="3" t="n"/>
    </row>
    <row r="31" ht="25.5" customHeight="1">
      <c r="B31" s="366" t="inlineStr">
        <is>
          <t>Doc_021</t>
        </is>
      </c>
      <c r="C31" s="366" t="inlineStr">
        <is>
          <t>Document Classification: Flow</t>
        </is>
      </c>
      <c r="D31" s="79" t="inlineStr">
        <is>
          <t>Verify that only in case field is empty and prediction is available then system will suggest automatically.</t>
        </is>
      </c>
      <c r="E31" s="79" t="inlineStr">
        <is>
          <t>The result should be as described.</t>
        </is>
      </c>
      <c r="F31" s="87" t="inlineStr">
        <is>
          <t>Pending</t>
        </is>
      </c>
      <c r="G31" s="3" t="n"/>
      <c r="H31" s="366" t="inlineStr">
        <is>
          <t>Pending</t>
        </is>
      </c>
      <c r="I31" s="3" t="n">
        <v>0.5</v>
      </c>
      <c r="J31" s="3" t="n"/>
    </row>
    <row r="32" ht="51" customHeight="1">
      <c r="B32" s="366" t="inlineStr">
        <is>
          <t>Doc_022</t>
        </is>
      </c>
      <c r="C32" s="366" t="inlineStr">
        <is>
          <t>Document Classification: Flow</t>
        </is>
      </c>
      <c r="D32" s="79" t="inlineStr">
        <is>
          <t>Verify that If the user selects files with multiple file types then clicking open in the file explorer should give a validation that files with these file types (excel and PDF) cannot be uploaded.</t>
        </is>
      </c>
      <c r="E32" s="79" t="inlineStr">
        <is>
          <t>Warning message should appear.</t>
        </is>
      </c>
      <c r="F32" s="87" t="inlineStr">
        <is>
          <t>Pending</t>
        </is>
      </c>
      <c r="G32" s="3" t="n"/>
      <c r="H32" s="366" t="inlineStr">
        <is>
          <t>Pending</t>
        </is>
      </c>
      <c r="I32" s="3" t="n">
        <v>0.5</v>
      </c>
      <c r="J32" s="3" t="n"/>
    </row>
    <row r="33" ht="25.5" customHeight="1">
      <c r="B33" s="366" t="inlineStr">
        <is>
          <t>Doc_023</t>
        </is>
      </c>
      <c r="C33" s="366" t="inlineStr">
        <is>
          <t>Document Classification: Identify Currency and Unit</t>
        </is>
      </c>
      <c r="D33" s="79" t="inlineStr">
        <is>
          <t>Log in to the SS application.</t>
        </is>
      </c>
      <c r="E33" s="79" t="inlineStr">
        <is>
          <t>The user should be able to log in.</t>
        </is>
      </c>
      <c r="F33" s="87" t="inlineStr">
        <is>
          <t>Pending</t>
        </is>
      </c>
      <c r="G33" s="3" t="n"/>
      <c r="H33" s="366" t="inlineStr">
        <is>
          <t>Pending</t>
        </is>
      </c>
      <c r="I33" s="3" t="n">
        <v>0.5</v>
      </c>
      <c r="J33" s="3" t="n"/>
    </row>
    <row r="34" ht="38.25" customHeight="1">
      <c r="B34" s="366" t="inlineStr">
        <is>
          <t>Doc_024</t>
        </is>
      </c>
      <c r="C34" s="366" t="inlineStr">
        <is>
          <t>Document Classification: Identify Currency and Unit</t>
        </is>
      </c>
      <c r="D34" s="79" t="inlineStr">
        <is>
          <t>Navigate to Add Item screen and verify ML Engine to identify reporting currency and Unit and feed to SS for each file upload /same for bulk upload.</t>
        </is>
      </c>
      <c r="E34" s="79" t="inlineStr">
        <is>
          <t>ML engine should identify reporting currency and trading currency.</t>
        </is>
      </c>
      <c r="F34" s="87" t="inlineStr">
        <is>
          <t>Pending</t>
        </is>
      </c>
      <c r="G34" s="3" t="n"/>
      <c r="H34" s="366" t="inlineStr">
        <is>
          <t>Pending</t>
        </is>
      </c>
      <c r="I34" s="3" t="n">
        <v>1</v>
      </c>
      <c r="J34" s="3" t="n"/>
    </row>
    <row r="35" ht="38.25" customHeight="1">
      <c r="B35" s="366" t="inlineStr">
        <is>
          <t>Doc_025</t>
        </is>
      </c>
      <c r="C35" s="366" t="inlineStr">
        <is>
          <t>Document Classification: Identify Currency and Unit</t>
        </is>
      </c>
      <c r="D35" s="79" t="inlineStr">
        <is>
          <t>The Currency and Unit values should be selected by default.</t>
        </is>
      </c>
      <c r="E35" s="79" t="inlineStr">
        <is>
          <t>The Currency and Unit values should be selected by default.</t>
        </is>
      </c>
      <c r="F35" s="87" t="inlineStr">
        <is>
          <t>Pending</t>
        </is>
      </c>
      <c r="G35" s="3" t="n"/>
      <c r="H35" s="366" t="inlineStr">
        <is>
          <t>Pending</t>
        </is>
      </c>
      <c r="I35" s="3" t="n">
        <v>1</v>
      </c>
      <c r="J35" s="3" t="n"/>
    </row>
    <row r="36" ht="25.5" customHeight="1">
      <c r="B36" s="366" t="inlineStr">
        <is>
          <t>Doc_026</t>
        </is>
      </c>
      <c r="C36" s="366" t="inlineStr">
        <is>
          <t>Document Classification: Identify Currency and Unit</t>
        </is>
      </c>
      <c r="D36" s="366" t="inlineStr">
        <is>
          <t>Add another item in the same customer, observe currency and unit should remain same as previous.</t>
        </is>
      </c>
      <c r="E36" s="86" t="inlineStr">
        <is>
          <t>The result should be as described.</t>
        </is>
      </c>
      <c r="F36" s="87" t="inlineStr">
        <is>
          <t>Pending</t>
        </is>
      </c>
      <c r="G36" s="3" t="n"/>
      <c r="H36" s="366" t="inlineStr">
        <is>
          <t>Pending</t>
        </is>
      </c>
      <c r="I36" s="3" t="n">
        <v>1</v>
      </c>
      <c r="J36" s="3" t="n"/>
    </row>
    <row r="37" ht="26.25" customHeight="1">
      <c r="B37" s="366" t="inlineStr">
        <is>
          <t>Doc_027</t>
        </is>
      </c>
      <c r="C37" s="15" t="inlineStr">
        <is>
          <t>Document Classification: Accountant Name</t>
        </is>
      </c>
      <c r="D37" s="15" t="inlineStr">
        <is>
          <t>Log in to the SS application.</t>
        </is>
      </c>
      <c r="E37" s="15" t="inlineStr">
        <is>
          <t>The user should be able to log in in to SS application.</t>
        </is>
      </c>
      <c r="F37" s="87" t="inlineStr">
        <is>
          <t>Pending</t>
        </is>
      </c>
      <c r="G37" s="3" t="n"/>
      <c r="H37" s="366" t="inlineStr">
        <is>
          <t>Done</t>
        </is>
      </c>
      <c r="I37" s="3" t="n"/>
      <c r="J37" s="3" t="n"/>
    </row>
    <row r="38" ht="39" customHeight="1">
      <c r="B38" s="366" t="inlineStr">
        <is>
          <t>Doc_028</t>
        </is>
      </c>
      <c r="C38" s="15" t="inlineStr">
        <is>
          <t>Document Classification: Accountant Name</t>
        </is>
      </c>
      <c r="D38" s="15" t="inlineStr">
        <is>
          <t>Navigate to document upload screen and verify System to identify Accountant Name and use the same for update during Item creation page.</t>
        </is>
      </c>
      <c r="E38" s="15" t="inlineStr">
        <is>
          <t>The system should identify Accountant Name and use the same for update during Item creation page.</t>
        </is>
      </c>
      <c r="F38" s="87" t="inlineStr">
        <is>
          <t>Pending</t>
        </is>
      </c>
      <c r="G38" s="3" t="n"/>
      <c r="H38" s="366" t="inlineStr">
        <is>
          <t>Pending</t>
        </is>
      </c>
      <c r="I38" s="3" t="n">
        <v>1</v>
      </c>
      <c r="J38" s="3" t="n"/>
    </row>
    <row r="39" ht="26.25" customHeight="1">
      <c r="B39" s="366" t="inlineStr">
        <is>
          <t>Doc_029</t>
        </is>
      </c>
      <c r="C39" s="15" t="inlineStr">
        <is>
          <t>Document Classification: Accountant Name</t>
        </is>
      </c>
      <c r="D39" s="15" t="inlineStr">
        <is>
          <t>Verify Accountant name to be identified and provided by ML engine.</t>
        </is>
      </c>
      <c r="E39" s="15" t="inlineStr">
        <is>
          <t>Accountant name to be identified and provided by ML engine.</t>
        </is>
      </c>
      <c r="F39" s="87" t="inlineStr">
        <is>
          <t>Pending</t>
        </is>
      </c>
      <c r="G39" s="3" t="n"/>
      <c r="H39" s="366" t="inlineStr">
        <is>
          <t>Pending</t>
        </is>
      </c>
      <c r="I39" s="3" t="n">
        <v>0.5</v>
      </c>
      <c r="J39" s="3" t="n"/>
    </row>
    <row r="40" ht="26.25" customHeight="1">
      <c r="B40" s="366" t="inlineStr">
        <is>
          <t>Doc_030</t>
        </is>
      </c>
      <c r="C40" s="15" t="inlineStr">
        <is>
          <t>Document Classification: Identify Year-End and Other Items</t>
        </is>
      </c>
      <c r="D40" s="15" t="inlineStr">
        <is>
          <t>Log in to the SS application.</t>
        </is>
      </c>
      <c r="E40" s="15" t="inlineStr">
        <is>
          <t>The user should be able to log in in to application.</t>
        </is>
      </c>
      <c r="F40" s="87" t="inlineStr">
        <is>
          <t>Pending</t>
        </is>
      </c>
      <c r="G40" s="3" t="n"/>
      <c r="H40" s="366" t="inlineStr">
        <is>
          <t>Pending</t>
        </is>
      </c>
      <c r="I40" s="3" t="n">
        <v>0.5</v>
      </c>
      <c r="J40" s="3" t="n"/>
    </row>
    <row r="41" ht="26.25" customHeight="1">
      <c r="B41" s="366" t="inlineStr">
        <is>
          <t>Doc_031</t>
        </is>
      </c>
      <c r="C41" s="15" t="inlineStr">
        <is>
          <t>Document Classification: Identify Year-End and Other Items</t>
        </is>
      </c>
      <c r="D41" s="15" t="inlineStr">
        <is>
          <t>Navigate to the Add Item screen and review the document upload button.</t>
        </is>
      </c>
      <c r="E41" s="15" t="inlineStr">
        <is>
          <t>Document upload screen should open.</t>
        </is>
      </c>
      <c r="F41" s="87" t="inlineStr">
        <is>
          <t>Pending</t>
        </is>
      </c>
      <c r="G41" s="3" t="n"/>
      <c r="H41" s="366" t="inlineStr">
        <is>
          <t>Pending</t>
        </is>
      </c>
      <c r="I41" s="3" t="n">
        <v>0.5</v>
      </c>
      <c r="J41" s="3" t="n"/>
    </row>
    <row r="42" ht="39" customHeight="1">
      <c r="B42" s="366" t="inlineStr">
        <is>
          <t>Doc_032</t>
        </is>
      </c>
      <c r="C42" s="15" t="inlineStr">
        <is>
          <t>Document Classification: Identify Year-End and Other Items</t>
        </is>
      </c>
      <c r="D42" s="15" t="inlineStr">
        <is>
          <t>Verify System to identify Year-End, Frequency, Statement Date and Balance Sheet while uploading document.</t>
        </is>
      </c>
      <c r="E42" s="15" t="inlineStr">
        <is>
          <t>The system should identify Year-End, Frequency, Statement Date and Balance Sheet.</t>
        </is>
      </c>
      <c r="F42" s="87" t="inlineStr">
        <is>
          <t>Pending</t>
        </is>
      </c>
      <c r="G42" s="3" t="n"/>
      <c r="H42" s="366" t="inlineStr">
        <is>
          <t>Pending</t>
        </is>
      </c>
      <c r="I42" s="3" t="n">
        <v>0.5</v>
      </c>
      <c r="J42" s="3" t="n"/>
    </row>
    <row r="43" ht="63.75" customHeight="1">
      <c r="B43" s="366" t="inlineStr">
        <is>
          <t>Doc_033</t>
        </is>
      </c>
      <c r="C43" s="92" t="inlineStr">
        <is>
          <t>Document Classification: Identify Year-End and Other Items</t>
        </is>
      </c>
      <c r="D43" s="92" t="inlineStr">
        <is>
          <t>Verify System to identify Year, Frequency, Statement Date and Balance Sheet for each period of the customer by using AI/ML on files uploaded and used for spreading purposes.</t>
        </is>
      </c>
      <c r="E43" s="92" t="inlineStr">
        <is>
          <t>The system should identify Year, Frequency, Statement Date and Balance Sheet for each period of the customer by using AI/ML on files uploaded and used for spreading purposes.</t>
        </is>
      </c>
      <c r="F43" s="87" t="inlineStr">
        <is>
          <t>Pending</t>
        </is>
      </c>
      <c r="G43" s="3" t="n"/>
      <c r="H43" s="366" t="inlineStr">
        <is>
          <t>Pending</t>
        </is>
      </c>
      <c r="I43" s="3" t="n">
        <v>1</v>
      </c>
      <c r="J43" s="3" t="n"/>
    </row>
    <row r="44" ht="51.75" customHeight="1">
      <c r="B44" s="366" t="inlineStr">
        <is>
          <t>Doc_034</t>
        </is>
      </c>
      <c r="C44" s="15" t="inlineStr">
        <is>
          <t>Document Classification: Identify Year-End and Other Items</t>
        </is>
      </c>
      <c r="D44" s="15" t="inlineStr">
        <is>
          <t>Verify identification to be shown to the user in some manner so that he can look for predictions as provided by AI/ML.</t>
        </is>
      </c>
      <c r="E44" s="15" t="inlineStr">
        <is>
          <t>Dentification should be shown to the user in some manner so that he can look for predictions as provided by AI/ML.</t>
        </is>
      </c>
      <c r="F44" s="87" t="inlineStr">
        <is>
          <t>Pending</t>
        </is>
      </c>
      <c r="G44" s="3" t="n"/>
      <c r="H44" s="366" t="inlineStr">
        <is>
          <t>Pending</t>
        </is>
      </c>
      <c r="I44" s="3" t="n">
        <v>1</v>
      </c>
      <c r="J44" s="3" t="n"/>
    </row>
    <row r="45" ht="39" customHeight="1">
      <c r="B45" s="366" t="inlineStr">
        <is>
          <t>Doc_035</t>
        </is>
      </c>
      <c r="C45" s="15" t="inlineStr">
        <is>
          <t>Document Classification: Identify Year-End and Other Items</t>
        </is>
      </c>
      <c r="D45" s="15" t="inlineStr">
        <is>
          <t>Verify Option and dates to be chosen by system automatically when provided by ML engine.</t>
        </is>
      </c>
      <c r="E45" s="15" t="inlineStr">
        <is>
          <t>Option and dates should be chosen by system automatically when provided by ML engine.</t>
        </is>
      </c>
      <c r="F45" s="87" t="inlineStr">
        <is>
          <t>Pending</t>
        </is>
      </c>
      <c r="G45" s="3" t="n"/>
      <c r="H45" s="366" t="inlineStr">
        <is>
          <t>Pending</t>
        </is>
      </c>
      <c r="I45" s="3" t="n">
        <v>0.5</v>
      </c>
      <c r="J45" s="3" t="n"/>
    </row>
    <row r="46" ht="25.5" customHeight="1">
      <c r="B46" s="366" t="inlineStr">
        <is>
          <t>Doc_036</t>
        </is>
      </c>
      <c r="C46" s="366" t="inlineStr">
        <is>
          <t>Document Classification: Identify Customer Name</t>
        </is>
      </c>
      <c r="D46" s="15" t="inlineStr">
        <is>
          <t>Log in to the SpreadSmart application.</t>
        </is>
      </c>
      <c r="E46" s="15" t="inlineStr">
        <is>
          <t>User should be allowed to log in in to application.</t>
        </is>
      </c>
      <c r="F46" s="87" t="inlineStr">
        <is>
          <t>Pending</t>
        </is>
      </c>
      <c r="G46" s="3" t="n"/>
      <c r="H46" s="366" t="inlineStr">
        <is>
          <t>Pending</t>
        </is>
      </c>
      <c r="I46" s="3" t="n">
        <v>0.5</v>
      </c>
      <c r="J46" s="3" t="n"/>
    </row>
    <row r="47" ht="25.5" customHeight="1">
      <c r="B47" s="366" t="inlineStr">
        <is>
          <t>Doc_037</t>
        </is>
      </c>
      <c r="C47" s="366" t="inlineStr">
        <is>
          <t>Document Classification: Identify Customer Name</t>
        </is>
      </c>
      <c r="D47" s="15" t="inlineStr">
        <is>
          <t>Upload file in bulk upload and map to customer.</t>
        </is>
      </c>
      <c r="E47" s="79" t="inlineStr">
        <is>
          <t>Should be able to upload file.</t>
        </is>
      </c>
      <c r="F47" s="87" t="inlineStr">
        <is>
          <t>Pending</t>
        </is>
      </c>
      <c r="G47" s="3" t="n"/>
      <c r="H47" s="366" t="inlineStr">
        <is>
          <t>Pending</t>
        </is>
      </c>
      <c r="I47" s="3" t="n">
        <v>0.5</v>
      </c>
      <c r="J47" s="3" t="n"/>
    </row>
    <row r="48" ht="64.5" customHeight="1">
      <c r="B48" s="366" t="inlineStr">
        <is>
          <t>Doc_038</t>
        </is>
      </c>
      <c r="C48" s="366" t="inlineStr">
        <is>
          <t>Document Classification: Identify Customer Name</t>
        </is>
      </c>
      <c r="D48" s="15" t="inlineStr">
        <is>
          <t>Verify customer name to be identified and.
Selected in drop down on all screen including Bulk Upload and Adhoc Item upload.</t>
        </is>
      </c>
      <c r="E48" s="79" t="inlineStr">
        <is>
          <t>Customer name drop down box should allow user to select the name of the customer in bulk and adhoc upload screen.</t>
        </is>
      </c>
      <c r="F48" s="87" t="inlineStr">
        <is>
          <t>Pending</t>
        </is>
      </c>
      <c r="G48" s="3" t="n"/>
      <c r="H48" s="366" t="inlineStr">
        <is>
          <t>Pending</t>
        </is>
      </c>
      <c r="I48" s="3" t="n">
        <v>0.5</v>
      </c>
      <c r="J48" s="3" t="n"/>
    </row>
    <row r="49" ht="25.5" customHeight="1">
      <c r="B49" s="366" t="inlineStr">
        <is>
          <t>Doc_039</t>
        </is>
      </c>
      <c r="C49" s="366" t="inlineStr">
        <is>
          <t>Document Classification: Identify Item Name</t>
        </is>
      </c>
      <c r="D49" s="79" t="inlineStr">
        <is>
          <t>Log in to the SpreadSmart application.</t>
        </is>
      </c>
      <c r="E49" s="79" t="inlineStr">
        <is>
          <t>The user should be able to log in in to application.</t>
        </is>
      </c>
      <c r="F49" s="87" t="inlineStr">
        <is>
          <t>Pending</t>
        </is>
      </c>
      <c r="G49" s="3" t="n"/>
      <c r="H49" s="366" t="inlineStr">
        <is>
          <t>Pending</t>
        </is>
      </c>
      <c r="I49" s="3" t="n">
        <v>0.5</v>
      </c>
      <c r="J49" s="3" t="n"/>
    </row>
    <row r="50" ht="63.75" customHeight="1">
      <c r="B50" s="366" t="inlineStr">
        <is>
          <t>Doc_040</t>
        </is>
      </c>
      <c r="C50" s="366" t="inlineStr">
        <is>
          <t>Document Classification: Identify Item Name</t>
        </is>
      </c>
      <c r="D50" s="15" t="inlineStr">
        <is>
          <t>Navigate to the Add Item screen and review the document upload button.</t>
        </is>
      </c>
      <c r="E50" s="79" t="inlineStr">
        <is>
          <t>System should automatically Identify and classify uploaded document as Financial Statement,.
KYC Form, Tax Form with and without schedules and name of PTR's et.</t>
        </is>
      </c>
      <c r="F50" s="87" t="inlineStr">
        <is>
          <t>Pending</t>
        </is>
      </c>
      <c r="G50" s="3" t="n"/>
      <c r="H50" s="366" t="inlineStr">
        <is>
          <t>Pending</t>
        </is>
      </c>
      <c r="I50" s="3" t="n">
        <v>0.5</v>
      </c>
      <c r="J50" s="3" t="n"/>
    </row>
    <row r="51" ht="38.25" customHeight="1">
      <c r="B51" s="366" t="inlineStr">
        <is>
          <t>Doc_041</t>
        </is>
      </c>
      <c r="C51" s="366" t="inlineStr">
        <is>
          <t>Document Classification: Identify Item Name</t>
        </is>
      </c>
      <c r="D51" s="79" t="inlineStr">
        <is>
          <t>Verify sub options.</t>
        </is>
      </c>
      <c r="E51" s="79" t="inlineStr">
        <is>
          <t>Sub options like - 1040, 1065,.
Schedule K-1, Schedule F etc. under tax formc.</t>
        </is>
      </c>
      <c r="F51" s="87" t="inlineStr">
        <is>
          <t>Pending</t>
        </is>
      </c>
      <c r="G51" s="3" t="n"/>
      <c r="H51" s="366" t="inlineStr">
        <is>
          <t>Pending</t>
        </is>
      </c>
      <c r="I51" s="3" t="n">
        <v>0.5</v>
      </c>
      <c r="J51" s="3" t="n"/>
    </row>
    <row r="52" ht="38.25" customHeight="1">
      <c r="B52" s="366" t="inlineStr">
        <is>
          <t>Doc_042</t>
        </is>
      </c>
      <c r="C52" s="366" t="inlineStr">
        <is>
          <t>Document Classification: Classification of Document as Bad or Good</t>
        </is>
      </c>
      <c r="D52" s="79" t="inlineStr">
        <is>
          <t>Log in to the SS application.</t>
        </is>
      </c>
      <c r="E52" s="79" t="inlineStr">
        <is>
          <t>The user should be able to log in.</t>
        </is>
      </c>
      <c r="F52" s="87" t="inlineStr">
        <is>
          <t>Pending</t>
        </is>
      </c>
      <c r="G52" s="3" t="n"/>
      <c r="H52" s="366" t="inlineStr">
        <is>
          <t>Pending</t>
        </is>
      </c>
      <c r="I52" s="3" t="n">
        <v>0.5</v>
      </c>
      <c r="J52" s="3" t="n"/>
    </row>
    <row r="53" ht="38.25" customHeight="1">
      <c r="B53" s="366" t="inlineStr">
        <is>
          <t>Doc_043</t>
        </is>
      </c>
      <c r="C53" s="366" t="inlineStr">
        <is>
          <t>Document Classification: Classification of Document as Bad or Good</t>
        </is>
      </c>
      <c r="D53" s="79" t="inlineStr">
        <is>
          <t>Verify The system should classify document as bad or good basis parameters such as DPI and contrast as per ITC team.</t>
        </is>
      </c>
      <c r="E53" s="79" t="inlineStr">
        <is>
          <t>The system should classify document as bad or good basis parameters such as DPI and contrast as per ITC team.</t>
        </is>
      </c>
      <c r="F53" s="87" t="inlineStr">
        <is>
          <t>Pending</t>
        </is>
      </c>
      <c r="G53" s="3" t="n"/>
      <c r="H53" s="366" t="inlineStr">
        <is>
          <t>Pending</t>
        </is>
      </c>
      <c r="I53" s="3" t="n">
        <v>0.5</v>
      </c>
      <c r="J53" s="3" t="n"/>
    </row>
    <row r="54" ht="38.25" customHeight="1">
      <c r="B54" s="366" t="inlineStr">
        <is>
          <t>Doc_044</t>
        </is>
      </c>
      <c r="C54" s="366" t="inlineStr">
        <is>
          <t>Document Classification: Classification of Document as Bad or Good</t>
        </is>
      </c>
      <c r="D54" s="79" t="inlineStr">
        <is>
          <t>Verify Bad or Good to depend on ITC parameters such as DPI and contrast which will be shown on hover of bad and good as to be added in new column.</t>
        </is>
      </c>
      <c r="E54" s="79" t="inlineStr">
        <is>
          <t>Bad or Good to depend on ITC parameters such as DPI and contrast which will be shown on hover of bad and good as to be added in new column.</t>
        </is>
      </c>
      <c r="F54" s="87" t="inlineStr">
        <is>
          <t>Pending</t>
        </is>
      </c>
      <c r="G54" s="3" t="n"/>
      <c r="H54" s="366" t="inlineStr">
        <is>
          <t>Pending</t>
        </is>
      </c>
      <c r="I54" s="3" t="n">
        <v>0.5</v>
      </c>
      <c r="J54" s="3" t="n"/>
    </row>
    <row r="55" ht="38.25" customHeight="1">
      <c r="B55" s="366" t="inlineStr">
        <is>
          <t>Doc_045</t>
        </is>
      </c>
      <c r="C55" s="366" t="inlineStr">
        <is>
          <t>Document Classification: Classification of Document as Bad or Good</t>
        </is>
      </c>
      <c r="D55" s="79" t="inlineStr">
        <is>
          <t>Good and Bad to also be shown on UI.</t>
        </is>
      </c>
      <c r="E55" s="79" t="inlineStr">
        <is>
          <t>The document quality should be displayed.</t>
        </is>
      </c>
      <c r="F55" s="87" t="inlineStr">
        <is>
          <t>Pending</t>
        </is>
      </c>
      <c r="G55" s="3" t="n"/>
      <c r="H55" s="366" t="inlineStr">
        <is>
          <t>Pending</t>
        </is>
      </c>
      <c r="I55" s="3" t="n">
        <v>0.5</v>
      </c>
      <c r="J55" s="3" t="n"/>
    </row>
    <row r="56" ht="38.25" customHeight="1">
      <c r="B56" s="366" t="inlineStr">
        <is>
          <t>Doc_046</t>
        </is>
      </c>
      <c r="C56" s="366" t="inlineStr">
        <is>
          <t>Document Classification: Classification of Document as Bad or Good</t>
        </is>
      </c>
      <c r="D56" s="79" t="inlineStr">
        <is>
          <t>Verify uploading documents in Bulk upload and observe document quality.</t>
        </is>
      </c>
      <c r="E56" s="79" t="inlineStr">
        <is>
          <t>Document quality should be identified.</t>
        </is>
      </c>
      <c r="F56" s="87" t="inlineStr">
        <is>
          <t>Pending</t>
        </is>
      </c>
      <c r="G56" s="3" t="n"/>
      <c r="H56" s="366" t="inlineStr">
        <is>
          <t>Pending</t>
        </is>
      </c>
      <c r="I56" s="3" t="n">
        <v>0.5</v>
      </c>
      <c r="J56" s="3" t="n"/>
    </row>
    <row r="57" ht="25.5" customHeight="1">
      <c r="B57" s="366" t="inlineStr">
        <is>
          <t>Doc_047</t>
        </is>
      </c>
      <c r="C57" s="366" t="inlineStr">
        <is>
          <t>Document Classification: Module Should Be Configurable</t>
        </is>
      </c>
      <c r="D57" s="88" t="inlineStr">
        <is>
          <t>Navigate to configuration screen of backend.</t>
        </is>
      </c>
      <c r="E57" s="88" t="inlineStr">
        <is>
          <t>Configuration flag or option should be available.</t>
        </is>
      </c>
      <c r="F57" s="87" t="inlineStr">
        <is>
          <t>Pending</t>
        </is>
      </c>
      <c r="G57" s="3" t="n"/>
      <c r="H57" s="366" t="inlineStr">
        <is>
          <t>Pending</t>
        </is>
      </c>
      <c r="I57" s="3" t="n">
        <v>0.5</v>
      </c>
      <c r="J57" s="3" t="n"/>
    </row>
    <row r="58" ht="25.5" customHeight="1">
      <c r="B58" s="366" t="inlineStr">
        <is>
          <t>Doc_048</t>
        </is>
      </c>
      <c r="C58" s="366" t="inlineStr">
        <is>
          <t>Document Classification: Module Should Be Configurable</t>
        </is>
      </c>
      <c r="D58" s="88" t="inlineStr">
        <is>
          <t>Changing value of that option.</t>
        </is>
      </c>
      <c r="E58" s="88" t="inlineStr">
        <is>
          <t>The configuration should update accordingly.</t>
        </is>
      </c>
      <c r="F58" s="87" t="inlineStr">
        <is>
          <t>Pending</t>
        </is>
      </c>
      <c r="G58" s="3" t="n"/>
      <c r="H58" s="366" t="inlineStr">
        <is>
          <t>Pending</t>
        </is>
      </c>
      <c r="I58" s="3" t="n">
        <v>0.5</v>
      </c>
      <c r="J58" s="3" t="n"/>
    </row>
    <row r="59" ht="38.25" customHeight="1">
      <c r="B59" s="366" t="inlineStr">
        <is>
          <t>Doc_049</t>
        </is>
      </c>
      <c r="C59" s="366" t="inlineStr">
        <is>
          <t>Document Classification: Module Should Be Configurable</t>
        </is>
      </c>
      <c r="D59" s="79" t="inlineStr">
        <is>
          <t>Verify that when the module is not configured, Document classification icon should not be present in Add Item/bulk upload screen.</t>
        </is>
      </c>
      <c r="E59" s="79" t="inlineStr">
        <is>
          <t>The option should not be displayed.</t>
        </is>
      </c>
      <c r="F59" s="87" t="inlineStr">
        <is>
          <t>Pending</t>
        </is>
      </c>
      <c r="G59" s="3" t="n"/>
      <c r="H59" s="366" t="inlineStr">
        <is>
          <t>Pending</t>
        </is>
      </c>
      <c r="I59" s="3" t="n">
        <v>0.5</v>
      </c>
      <c r="J59" s="3" t="n"/>
    </row>
    <row r="60" ht="25.5" customHeight="1">
      <c r="B60" s="366" t="inlineStr">
        <is>
          <t>Doc_050</t>
        </is>
      </c>
      <c r="C60" s="366" t="inlineStr">
        <is>
          <t>Document Classification: Module Should Be Configurable</t>
        </is>
      </c>
      <c r="D60" s="79" t="inlineStr">
        <is>
          <t>Verify that when the module is not configured, fields should not be auto populated.</t>
        </is>
      </c>
      <c r="E60" s="88" t="inlineStr">
        <is>
          <t>The fields should remain blank unless the user selects them.</t>
        </is>
      </c>
      <c r="F60" s="87" t="inlineStr">
        <is>
          <t>Pending</t>
        </is>
      </c>
      <c r="G60" s="3" t="n"/>
      <c r="H60" s="366" t="inlineStr">
        <is>
          <t>Pending</t>
        </is>
      </c>
      <c r="I60" s="3" t="n">
        <v>0.5</v>
      </c>
      <c r="J60" s="3" t="n"/>
    </row>
    <row r="61" ht="25.5" customHeight="1">
      <c r="B61" s="366" t="inlineStr">
        <is>
          <t>Doc_051</t>
        </is>
      </c>
      <c r="C61" s="366" t="inlineStr">
        <is>
          <t>Technical &gt; Document Classification: Integration and Testing</t>
        </is>
      </c>
      <c r="D61" s="79" t="inlineStr">
        <is>
          <t>Open the Bulk Upload screen.</t>
        </is>
      </c>
      <c r="E61" s="79" t="inlineStr">
        <is>
          <t>The Bulk Upload page should be displayed.</t>
        </is>
      </c>
      <c r="F61" s="87" t="inlineStr">
        <is>
          <t>Pending</t>
        </is>
      </c>
      <c r="G61" s="3" t="n"/>
      <c r="H61" s="366" t="inlineStr">
        <is>
          <t>Pending</t>
        </is>
      </c>
      <c r="I61" s="3" t="n">
        <v>0.5</v>
      </c>
      <c r="J61" s="3" t="n"/>
    </row>
    <row r="62" ht="25.5" customHeight="1">
      <c r="B62" s="366" t="inlineStr">
        <is>
          <t>Doc_052</t>
        </is>
      </c>
      <c r="C62" s="366" t="inlineStr">
        <is>
          <t>Technical &gt; Document Classification: Integration and Testing</t>
        </is>
      </c>
      <c r="D62" s="79" t="inlineStr">
        <is>
          <t>Upload a file and select the language.</t>
        </is>
      </c>
      <c r="E62" s="79" t="inlineStr">
        <is>
          <t>The file should be uploaded and the document-classification flow should complete.</t>
        </is>
      </c>
      <c r="F62" s="87" t="inlineStr">
        <is>
          <t>Pending</t>
        </is>
      </c>
      <c r="G62" s="3" t="n"/>
      <c r="H62" s="366" t="inlineStr">
        <is>
          <t>Pending</t>
        </is>
      </c>
      <c r="I62" s="3" t="n">
        <v>0.5</v>
      </c>
      <c r="J62" s="3" t="n"/>
    </row>
    <row r="63" ht="25.5" customHeight="1">
      <c r="B63" s="366" t="inlineStr">
        <is>
          <t>Doc_053</t>
        </is>
      </c>
      <c r="C63" s="366" t="inlineStr">
        <is>
          <t>Technical &gt; Document Classification: Integration and Testing</t>
        </is>
      </c>
      <c r="D63" s="79" t="inlineStr">
        <is>
          <t>User is on Add Item screen.</t>
        </is>
      </c>
      <c r="E63" s="79" t="inlineStr">
        <is>
          <t>The Add Item screen should be displayed.</t>
        </is>
      </c>
      <c r="F63" s="87" t="inlineStr">
        <is>
          <t>Pending</t>
        </is>
      </c>
      <c r="G63" s="3" t="n"/>
      <c r="H63" s="366" t="inlineStr">
        <is>
          <t>Pending</t>
        </is>
      </c>
      <c r="I63" s="3" t="n">
        <v>0.5</v>
      </c>
      <c r="J63" s="3" t="n"/>
    </row>
    <row r="64" ht="25.5" customHeight="1">
      <c r="B64" s="366" t="inlineStr">
        <is>
          <t>Doc_054</t>
        </is>
      </c>
      <c r="C64" s="366" t="inlineStr">
        <is>
          <t>Technical &gt; Document Classification: Integration and Testing</t>
        </is>
      </c>
      <c r="D64" s="79" t="inlineStr">
        <is>
          <t>User select file and Click upload.</t>
        </is>
      </c>
      <c r="E64" s="79" t="inlineStr">
        <is>
          <t>The file should be uploaded and all related processes should run.</t>
        </is>
      </c>
      <c r="F64" s="87" t="inlineStr">
        <is>
          <t>Pending</t>
        </is>
      </c>
      <c r="G64" s="3" t="n"/>
      <c r="H64" s="366" t="inlineStr">
        <is>
          <t>Pending</t>
        </is>
      </c>
      <c r="I64" s="3" t="n">
        <v>0.5</v>
      </c>
      <c r="J64" s="3" t="n"/>
    </row>
    <row r="65" ht="38.25" customHeight="1">
      <c r="B65" s="366" t="inlineStr">
        <is>
          <t>Doc_055</t>
        </is>
      </c>
      <c r="C65" s="366" t="inlineStr">
        <is>
          <t>Technical &gt; Document Classification: Integration and Testing</t>
        </is>
      </c>
      <c r="D65" s="79" t="inlineStr">
        <is>
          <t>User to validate Statement Date, Balance Sheet, Year-End, Currency, Units, Frequency, Audit Method, Company Name, Accountant.</t>
        </is>
      </c>
      <c r="E65" s="79" t="inlineStr">
        <is>
          <t>All requested fields should be auto-filled by the system if the user does not fill them.</t>
        </is>
      </c>
      <c r="F65" s="87" t="inlineStr">
        <is>
          <t>Pending</t>
        </is>
      </c>
      <c r="G65" s="3" t="n"/>
      <c r="H65" s="366" t="inlineStr">
        <is>
          <t>Pending</t>
        </is>
      </c>
      <c r="I65" s="3" t="n">
        <v>0.5</v>
      </c>
      <c r="J65" s="3" t="n"/>
    </row>
    <row r="66" ht="25.5" customHeight="1">
      <c r="B66" s="366" t="inlineStr">
        <is>
          <t>Doc_056</t>
        </is>
      </c>
      <c r="C66" s="366" t="inlineStr">
        <is>
          <t>Technical &gt; Document Classification: Integration and Testing</t>
        </is>
      </c>
      <c r="D66" s="79" t="inlineStr">
        <is>
          <t>Add a second file.</t>
        </is>
      </c>
      <c r="E66" s="79" t="inlineStr">
        <is>
          <t>It should not override any field because this is not the primary file.</t>
        </is>
      </c>
      <c r="F66" s="87" t="inlineStr">
        <is>
          <t>Pending</t>
        </is>
      </c>
      <c r="G66" s="3" t="n"/>
      <c r="H66" s="366" t="inlineStr">
        <is>
          <t>Pending</t>
        </is>
      </c>
      <c r="I66" s="3" t="n">
        <v>0.5</v>
      </c>
      <c r="J66" s="3" t="n"/>
    </row>
    <row r="67" ht="38.25" customHeight="1">
      <c r="B67" s="366" t="inlineStr">
        <is>
          <t>Doc_057</t>
        </is>
      </c>
      <c r="C67" s="366" t="inlineStr">
        <is>
          <t>Technical &gt; Document Classification: Integration and Testing</t>
        </is>
      </c>
      <c r="D67" s="79" t="inlineStr">
        <is>
          <t>Add a file from File Store.</t>
        </is>
      </c>
      <c r="E67" s="79" t="inlineStr">
        <is>
          <t>All requested fields should be auto-filled by the system if the user does not fill them.</t>
        </is>
      </c>
      <c r="F67" s="87" t="inlineStr">
        <is>
          <t>Pending</t>
        </is>
      </c>
      <c r="G67" s="3" t="n"/>
      <c r="H67" s="366" t="inlineStr">
        <is>
          <t>Pending</t>
        </is>
      </c>
      <c r="I67" s="3" t="n">
        <v>0.5</v>
      </c>
      <c r="J67" s="3" t="n"/>
    </row>
    <row r="70">
      <c r="D70" s="4" t="n"/>
    </row>
  </sheetData>
  <mergeCells count="10">
    <mergeCell ref="B6:C6"/>
    <mergeCell ref="B7:C7"/>
    <mergeCell ref="B2:F2"/>
    <mergeCell ref="B5:C5"/>
    <mergeCell ref="G3:G4"/>
    <mergeCell ref="E3:E4"/>
    <mergeCell ref="F3:F4"/>
    <mergeCell ref="B9:C9"/>
    <mergeCell ref="B8:C8"/>
    <mergeCell ref="B3:C4"/>
  </mergeCells>
  <conditionalFormatting sqref="D4">
    <cfRule type="expression" priority="68" dxfId="51" stopIfTrue="1">
      <formula>AND(COUNTIF(#REF!, D4)+COUNTIF(#REF!, D4)&gt;1,NOT(ISBLANK(D4)))</formula>
    </cfRule>
  </conditionalFormatting>
  <conditionalFormatting sqref="D5">
    <cfRule type="cellIs" priority="67" operator="lessThan" dxfId="10" stopIfTrue="1">
      <formula>1</formula>
    </cfRule>
  </conditionalFormatting>
  <conditionalFormatting sqref="D5:D9">
    <cfRule type="cellIs" priority="62" operator="greaterThan" dxfId="9" stopIfTrue="1">
      <formula>0</formula>
    </cfRule>
    <cfRule type="cellIs" priority="63" operator="greaterThan" dxfId="9" stopIfTrue="1">
      <formula>1</formula>
    </cfRule>
    <cfRule type="cellIs" priority="64" operator="greaterThan" dxfId="10" stopIfTrue="1">
      <formula>0</formula>
    </cfRule>
    <cfRule type="cellIs" priority="65" operator="greaterThan" dxfId="10" stopIfTrue="1">
      <formula>1</formula>
    </cfRule>
    <cfRule type="cellIs" priority="66" operator="equal" dxfId="9" stopIfTrue="1">
      <formula>$C$5</formula>
    </cfRule>
  </conditionalFormatting>
  <conditionalFormatting sqref="D6:E9">
    <cfRule type="cellIs" priority="28" operator="lessThan" dxfId="10" stopIfTrue="1">
      <formula>1</formula>
    </cfRule>
  </conditionalFormatting>
  <conditionalFormatting sqref="E5">
    <cfRule type="cellIs" priority="30" operator="lessThan" dxfId="10" stopIfTrue="1">
      <formula>1</formula>
    </cfRule>
  </conditionalFormatting>
  <conditionalFormatting sqref="E5:E9">
    <cfRule type="cellIs" priority="27" operator="equal" dxfId="9" stopIfTrue="1">
      <formula>1</formula>
    </cfRule>
  </conditionalFormatting>
  <conditionalFormatting sqref="E6:E9">
    <cfRule type="cellIs" priority="25" operator="equal" dxfId="9" stopIfTrue="1">
      <formula>1</formula>
    </cfRule>
    <cfRule type="cellIs" priority="26" operator="lessThan" dxfId="10" stopIfTrue="1">
      <formula>1</formula>
    </cfRule>
  </conditionalFormatting>
  <conditionalFormatting sqref="E5:F5">
    <cfRule type="cellIs" priority="31" operator="equal" dxfId="9" stopIfTrue="1">
      <formula>1</formula>
    </cfRule>
    <cfRule type="cellIs" priority="32" operator="lessThan" dxfId="10" stopIfTrue="1">
      <formula>1</formula>
    </cfRule>
  </conditionalFormatting>
  <conditionalFormatting sqref="F5">
    <cfRule type="cellIs" priority="87" operator="equal" dxfId="9" stopIfTrue="1">
      <formula>1</formula>
    </cfRule>
    <cfRule type="cellIs" priority="88" operator="lessThan" dxfId="10" stopIfTrue="1">
      <formula>1</formula>
    </cfRule>
  </conditionalFormatting>
  <conditionalFormatting sqref="F6">
    <cfRule type="cellIs" priority="81" operator="greaterThan" dxfId="10" stopIfTrue="1">
      <formula>0</formula>
    </cfRule>
    <cfRule type="cellIs" priority="82" operator="equal" dxfId="9" stopIfTrue="1">
      <formula>0</formula>
    </cfRule>
    <cfRule type="cellIs" priority="83" operator="greaterThan" dxfId="10" stopIfTrue="1">
      <formula>0</formula>
    </cfRule>
    <cfRule type="cellIs" priority="84" operator="equal" dxfId="9" stopIfTrue="1">
      <formula>0</formula>
    </cfRule>
  </conditionalFormatting>
  <conditionalFormatting sqref="F7">
    <cfRule type="cellIs" priority="79" operator="equal" dxfId="9" stopIfTrue="1">
      <formula>0</formula>
    </cfRule>
    <cfRule type="cellIs" priority="80" operator="greaterThan" dxfId="22" stopIfTrue="1">
      <formula>0</formula>
    </cfRule>
  </conditionalFormatting>
  <conditionalFormatting sqref="F7:F8">
    <cfRule type="cellIs" priority="75" operator="equal" dxfId="9" stopIfTrue="1">
      <formula>0</formula>
    </cfRule>
    <cfRule type="cellIs" priority="76" operator="greaterThan" dxfId="22" stopIfTrue="1">
      <formula>0</formula>
    </cfRule>
  </conditionalFormatting>
  <conditionalFormatting sqref="F8:F9">
    <cfRule type="cellIs" priority="71" operator="equal" dxfId="9" stopIfTrue="1">
      <formula>0</formula>
    </cfRule>
    <cfRule type="cellIs" priority="72" operator="greaterThan" dxfId="22" stopIfTrue="1">
      <formula>0</formula>
    </cfRule>
  </conditionalFormatting>
  <conditionalFormatting sqref="F9">
    <cfRule type="cellIs" priority="69" operator="equal" dxfId="9" stopIfTrue="1">
      <formula>0</formula>
    </cfRule>
    <cfRule type="cellIs" priority="70" operator="greaterThan" dxfId="22" stopIfTrue="1">
      <formula>0</formula>
    </cfRule>
  </conditionalFormatting>
  <conditionalFormatting sqref="F11:F67">
    <cfRule type="cellIs" priority="145" operator="equal" dxfId="6" stopIfTrue="1">
      <formula>"NA"</formula>
    </cfRule>
    <cfRule type="cellIs" priority="146" operator="equal" dxfId="5" stopIfTrue="1">
      <formula>"Blocked"</formula>
    </cfRule>
    <cfRule type="cellIs" priority="147" operator="equal" dxfId="4" stopIfTrue="1">
      <formula>"Pending"</formula>
    </cfRule>
    <cfRule type="cellIs" priority="148" operator="equal" dxfId="0" stopIfTrue="1">
      <formula>"Passed"</formula>
    </cfRule>
    <cfRule type="cellIs" priority="149" operator="equal" dxfId="1" stopIfTrue="1">
      <formula>"Failed"</formula>
    </cfRule>
    <cfRule type="cellIs" priority="150" operator="equal" dxfId="1" stopIfTrue="1">
      <formula>"Fail"</formula>
    </cfRule>
    <cfRule type="cellIs" priority="151" operator="equal" dxfId="0" stopIfTrue="1">
      <formula>"Pass"</formula>
    </cfRule>
  </conditionalFormatting>
  <conditionalFormatting sqref="G6:G9">
    <cfRule type="cellIs" priority="19" operator="lessThan" dxfId="10" stopIfTrue="1">
      <formula>1</formula>
    </cfRule>
    <cfRule type="cellIs" priority="20" operator="greaterThan" dxfId="9" stopIfTrue="1">
      <formula>0</formula>
    </cfRule>
    <cfRule type="cellIs" priority="21" operator="greaterThan" dxfId="9" stopIfTrue="1">
      <formula>1</formula>
    </cfRule>
    <cfRule type="cellIs" priority="22" operator="greaterThan" dxfId="10" stopIfTrue="1">
      <formula>0</formula>
    </cfRule>
    <cfRule type="cellIs" priority="23" operator="greaterThan" dxfId="10" stopIfTrue="1">
      <formula>1</formula>
    </cfRule>
    <cfRule type="cellIs" priority="24" operator="equal" dxfId="9" stopIfTrue="1">
      <formula>$C$3</formula>
    </cfRule>
  </conditionalFormatting>
  <conditionalFormatting sqref="H11:H67">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1:F67" showDropDown="0" showInputMessage="1" showErrorMessage="1" allowBlank="1" type="list">
      <formula1>"Passed,Failed,Blocked,Pending,NA"</formula1>
    </dataValidation>
    <dataValidation sqref="H11:H67"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29.xml><?xml version="1.0" encoding="utf-8"?>
<worksheet xmlns="http://schemas.openxmlformats.org/spreadsheetml/2006/main">
  <sheetPr>
    <outlinePr summaryBelow="1" summaryRight="1"/>
    <pageSetUpPr/>
  </sheetPr>
  <dimension ref="B2:J50"/>
  <sheetViews>
    <sheetView showGridLines="0" topLeftCell="C1" workbookViewId="0">
      <selection activeCell="G12" sqref="G12"/>
    </sheetView>
  </sheetViews>
  <sheetFormatPr baseColWidth="8" defaultRowHeight="15"/>
  <cols>
    <col width="9.140625" customWidth="1" style="89" min="1" max="1"/>
    <col width="11.28515625" customWidth="1" style="89" min="2" max="2"/>
    <col width="32" bestFit="1" customWidth="1" style="89" min="3" max="3"/>
    <col width="49.5703125" customWidth="1" style="89" min="4" max="4"/>
    <col width="38.140625" customWidth="1" style="89" min="5" max="5"/>
    <col width="22" customWidth="1" style="89" min="6" max="6"/>
    <col width="17" customWidth="1" style="89" min="7" max="7"/>
    <col width="21.85546875" customWidth="1" style="89" min="8" max="8"/>
    <col width="17" customWidth="1" style="89" min="9" max="9"/>
    <col width="12.28515625" customWidth="1" min="10" max="10"/>
  </cols>
  <sheetData>
    <row r="1" ht="15.75" customHeight="1" thickBot="1"/>
    <row r="2" ht="15.75" customHeight="1" thickBot="1">
      <c r="B2" s="352" t="inlineStr">
        <is>
          <t>Test Case Summary</t>
        </is>
      </c>
      <c r="C2" s="389" t="n"/>
      <c r="D2" s="389" t="n"/>
      <c r="E2" s="389" t="n"/>
      <c r="F2" s="390" t="n"/>
      <c r="G2" s="153" t="n"/>
    </row>
    <row r="3" ht="18.75" customHeight="1" thickBot="1">
      <c r="B3" s="352" t="inlineStr">
        <is>
          <t xml:space="preserve">Total Test Cases </t>
        </is>
      </c>
      <c r="C3" s="391" t="n"/>
      <c r="D3" s="352" t="inlineStr">
        <is>
          <t>1st Iteration</t>
        </is>
      </c>
      <c r="E3" s="352" t="inlineStr">
        <is>
          <t>Executed Tests</t>
        </is>
      </c>
      <c r="F3" s="352" t="inlineStr">
        <is>
          <t>Total Tests</t>
        </is>
      </c>
      <c r="G3" s="392" t="inlineStr">
        <is>
          <t>Automation Scripts</t>
        </is>
      </c>
    </row>
    <row r="4" ht="15.75" customHeight="1" thickBot="1">
      <c r="B4" s="393" t="n"/>
      <c r="C4" s="394" t="n"/>
      <c r="D4" s="47">
        <f>SUM(D5:D9)</f>
        <v/>
      </c>
      <c r="E4" s="395" t="n"/>
      <c r="F4" s="395" t="n"/>
      <c r="G4" s="396" t="n"/>
    </row>
    <row r="5" ht="15.75" customHeight="1" thickBot="1">
      <c r="B5" s="350" t="inlineStr">
        <is>
          <t>Passed</t>
        </is>
      </c>
      <c r="D5" s="52">
        <f>COUNTIF(F11:F301,"Passed")</f>
        <v/>
      </c>
      <c r="E5" s="53">
        <f>IF(D5=0,,(D5/(D5+D6)))</f>
        <v/>
      </c>
      <c r="F5" s="51">
        <f>IF(D4=0,,(D5/D4))</f>
        <v/>
      </c>
      <c r="G5" s="156">
        <f>COUNTIF(H11:H494,"Done")</f>
        <v/>
      </c>
    </row>
    <row r="6" ht="15.75" customHeight="1" thickBot="1">
      <c r="B6" s="350" t="inlineStr">
        <is>
          <t>Failed</t>
        </is>
      </c>
      <c r="D6" s="52">
        <f>COUNTIF(F11:F301,"Failed")</f>
        <v/>
      </c>
      <c r="E6" s="53">
        <f>IF(D6=0,,(D6/(D6+D7)))</f>
        <v/>
      </c>
      <c r="F6" s="51">
        <f>IF(D4=0,,(D6/D4))</f>
        <v/>
      </c>
      <c r="G6" s="52">
        <f>COUNTIF(H11:H494,"Failed")</f>
        <v/>
      </c>
    </row>
    <row r="7" ht="15.75" customHeight="1" thickBot="1">
      <c r="B7" s="350" t="inlineStr">
        <is>
          <t>Blocked</t>
        </is>
      </c>
      <c r="D7" s="52">
        <f>COUNTIF(F11:F301,"Blocked")</f>
        <v/>
      </c>
      <c r="E7" s="53">
        <f>IF(D7=0,,(D7/(D7+D8)))</f>
        <v/>
      </c>
      <c r="F7" s="51">
        <f>IF(D4=0,,(D7/D4))</f>
        <v/>
      </c>
      <c r="G7" s="52">
        <f>COUNTIF(H11:H494,"Blocked")</f>
        <v/>
      </c>
    </row>
    <row r="8" ht="15.75" customHeight="1" thickBot="1">
      <c r="B8" s="350" t="inlineStr">
        <is>
          <t>Pending</t>
        </is>
      </c>
      <c r="D8" s="52">
        <f>COUNTIF(F11:F301,"Pending")</f>
        <v/>
      </c>
      <c r="E8" s="53">
        <f>IF(D8=0,,(D8/(D8+D9)))</f>
        <v/>
      </c>
      <c r="F8" s="51">
        <f>IF(D4=0,,(D8/D4))</f>
        <v/>
      </c>
      <c r="G8" s="52">
        <f>COUNTIF(H11:H494,"Pending")</f>
        <v/>
      </c>
    </row>
    <row r="9" ht="15.75" customHeight="1" thickBot="1">
      <c r="B9" s="350" t="inlineStr">
        <is>
          <t>Not Applicable</t>
        </is>
      </c>
      <c r="D9" s="52">
        <f>COUNTIF(F11:F301,"Not Applicable")</f>
        <v/>
      </c>
      <c r="E9" s="53">
        <f>IF(D9=0,,(D9/(D9+#REF!)))</f>
        <v/>
      </c>
      <c r="F9" s="51">
        <f>IF(D4=0,,(D9/D4))</f>
        <v/>
      </c>
      <c r="G9" s="52">
        <f>COUNTIF(H11:H494,"Out of Scope")</f>
        <v/>
      </c>
    </row>
    <row r="10" ht="15.75" customHeight="1" thickBot="1">
      <c r="B10" s="9" t="inlineStr">
        <is>
          <t>S.No.</t>
        </is>
      </c>
      <c r="C10" s="10" t="inlineStr">
        <is>
          <t>Module/Sub-Module</t>
        </is>
      </c>
      <c r="D10" s="10" t="inlineStr">
        <is>
          <t>Test Steps</t>
        </is>
      </c>
      <c r="E10" s="8" t="inlineStr">
        <is>
          <t>Expected Results</t>
        </is>
      </c>
      <c r="F10" s="8" t="inlineStr">
        <is>
          <t>Result</t>
        </is>
      </c>
      <c r="G10" s="2" t="inlineStr">
        <is>
          <t>Bug ID</t>
        </is>
      </c>
      <c r="H10" s="8" t="inlineStr">
        <is>
          <t>Automation Status</t>
        </is>
      </c>
      <c r="I10" s="8" t="inlineStr">
        <is>
          <t>Mapped Scripts</t>
        </is>
      </c>
      <c r="J10" s="2" t="inlineStr">
        <is>
          <t>Comments</t>
        </is>
      </c>
    </row>
    <row r="11" ht="15.75" customHeight="1" thickBot="1">
      <c r="B11" s="366" t="inlineStr">
        <is>
          <t>NAICS_001</t>
        </is>
      </c>
      <c r="C11" s="366" t="inlineStr">
        <is>
          <t>NAICS</t>
        </is>
      </c>
      <c r="D11" s="366" t="inlineStr">
        <is>
          <t>On the Spreading screen, click the Navigate Text ribbon button.</t>
        </is>
      </c>
      <c r="E11" s="366" t="inlineStr">
        <is>
          <t>Dropdown should be disappeared.</t>
        </is>
      </c>
      <c r="F11" s="91" t="inlineStr">
        <is>
          <t>Pending</t>
        </is>
      </c>
      <c r="G11" s="3" t="n"/>
      <c r="H11" s="18" t="inlineStr">
        <is>
          <t>Done</t>
        </is>
      </c>
      <c r="I11" s="3" t="n"/>
      <c r="J11" s="3" t="n"/>
    </row>
    <row r="12" ht="60.75" customHeight="1" thickBot="1">
      <c r="B12" s="366" t="inlineStr">
        <is>
          <t>NAICS_002</t>
        </is>
      </c>
      <c r="C12" s="366" t="inlineStr">
        <is>
          <t>NAICS</t>
        </is>
      </c>
      <c r="D12" s="366" t="inlineStr">
        <is>
          <t>Observer Dropdown should have tree structure with below options :
Mapping AI Prediction.</t>
        </is>
      </c>
      <c r="E12" s="366" t="inlineStr">
        <is>
          <t>The listed options should be available.</t>
        </is>
      </c>
      <c r="F12" s="91" t="inlineStr">
        <is>
          <t>Pending</t>
        </is>
      </c>
      <c r="G12" s="3" t="n"/>
      <c r="H12" s="366" t="inlineStr">
        <is>
          <t>Done</t>
        </is>
      </c>
      <c r="I12" s="3" t="n"/>
      <c r="J12" s="3" t="n"/>
    </row>
    <row r="13" ht="39" customHeight="1" thickBot="1">
      <c r="B13" s="366" t="inlineStr">
        <is>
          <t>NAICS_003</t>
        </is>
      </c>
      <c r="C13" s="366" t="inlineStr">
        <is>
          <t>NAICS</t>
        </is>
      </c>
      <c r="D13" s="366" t="inlineStr">
        <is>
          <t>Click Mapping option&gt;observe sub options :
Industry.
Notes Processing.</t>
        </is>
      </c>
      <c r="E13" s="366" t="inlineStr">
        <is>
          <t>The listed sub-options should be available.</t>
        </is>
      </c>
      <c r="F13" s="91" t="inlineStr">
        <is>
          <t>Pending</t>
        </is>
      </c>
      <c r="G13" s="3" t="n"/>
      <c r="H13" s="366" t="inlineStr">
        <is>
          <t>Done</t>
        </is>
      </c>
      <c r="I13" s="3" t="n"/>
      <c r="J13" s="3" t="n"/>
    </row>
    <row r="14" ht="26.25" customHeight="1" thickBot="1">
      <c r="B14" s="366" t="inlineStr">
        <is>
          <t>NAICS_004</t>
        </is>
      </c>
      <c r="C14" s="366" t="inlineStr">
        <is>
          <t>NAICS</t>
        </is>
      </c>
      <c r="D14" s="366" t="inlineStr">
        <is>
          <t>Verify that AI Prediction will come once AI prediction is activated or can be shown as disabled option.</t>
        </is>
      </c>
      <c r="E14" s="366" t="inlineStr">
        <is>
          <t>The result should be as described.</t>
        </is>
      </c>
      <c r="F14" s="91" t="inlineStr">
        <is>
          <t>Pending</t>
        </is>
      </c>
      <c r="G14" s="3" t="n"/>
      <c r="H14" s="366" t="inlineStr">
        <is>
          <t>Done</t>
        </is>
      </c>
      <c r="I14" s="3" t="n"/>
      <c r="J14" s="3" t="n"/>
    </row>
    <row r="15" ht="39" customHeight="1" thickBot="1">
      <c r="B15" s="366" t="inlineStr">
        <is>
          <t>NAICS_005</t>
        </is>
      </c>
      <c r="C15" s="366" t="inlineStr">
        <is>
          <t>NAICS</t>
        </is>
      </c>
      <c r="D15" s="366" t="inlineStr">
        <is>
          <t>Observe under Industry option there are two sub-options.
Add.
View.</t>
        </is>
      </c>
      <c r="E15" s="366" t="inlineStr">
        <is>
          <t>The options should be available.</t>
        </is>
      </c>
      <c r="F15" s="91" t="inlineStr">
        <is>
          <t>Pending</t>
        </is>
      </c>
      <c r="G15" s="3" t="n"/>
      <c r="H15" s="366" t="inlineStr">
        <is>
          <t>Done</t>
        </is>
      </c>
      <c r="I15" s="3" t="n"/>
      <c r="J15" s="3" t="n"/>
    </row>
    <row r="16" ht="26.25" customHeight="1" thickBot="1">
      <c r="B16" s="366" t="inlineStr">
        <is>
          <t>NAICS_006</t>
        </is>
      </c>
      <c r="C16" s="366" t="inlineStr">
        <is>
          <t>NAICS</t>
        </is>
      </c>
      <c r="D16" s="366" t="inlineStr">
        <is>
          <t>Click the Add button, then click a text/string/value on the source document.</t>
        </is>
      </c>
      <c r="E16" s="366" t="inlineStr">
        <is>
          <t>New popup window should appear.</t>
        </is>
      </c>
      <c r="F16" s="91" t="inlineStr">
        <is>
          <t>Pending</t>
        </is>
      </c>
      <c r="G16" s="3" t="n"/>
      <c r="H16" s="366" t="inlineStr">
        <is>
          <t>Pending</t>
        </is>
      </c>
      <c r="I16" s="3" t="n">
        <v>0.5</v>
      </c>
      <c r="J16" s="3" t="n"/>
    </row>
    <row r="17" ht="39" customHeight="1" thickBot="1">
      <c r="B17" s="366" t="inlineStr">
        <is>
          <t>NAICS_007</t>
        </is>
      </c>
      <c r="C17" s="366" t="inlineStr">
        <is>
          <t>NAICS</t>
        </is>
      </c>
      <c r="D17" s="366" t="inlineStr">
        <is>
          <t>Verify that Pop-up will have 2 tabs;Existing NAICS.
Suggestions NAICS.</t>
        </is>
      </c>
      <c r="E17" s="366" t="inlineStr">
        <is>
          <t>The listed options should be available.</t>
        </is>
      </c>
      <c r="F17" s="91" t="inlineStr">
        <is>
          <t>Pending</t>
        </is>
      </c>
      <c r="G17" s="3" t="n"/>
      <c r="H17" s="366" t="inlineStr">
        <is>
          <t>Pending</t>
        </is>
      </c>
      <c r="I17" s="3" t="n">
        <v>0.5</v>
      </c>
      <c r="J17" s="3" t="n"/>
    </row>
    <row r="18" ht="39" customHeight="1" thickBot="1">
      <c r="B18" s="366" t="inlineStr">
        <is>
          <t>NAICS_008</t>
        </is>
      </c>
      <c r="C18" s="366" t="inlineStr">
        <is>
          <t>NAICS</t>
        </is>
      </c>
      <c r="D18" s="366" t="inlineStr">
        <is>
          <t>Verify that Existing NAICS - It will have 3 disabled columns having NAICS code, percentage and Primary information only.</t>
        </is>
      </c>
      <c r="E18" s="366" t="inlineStr">
        <is>
          <t>The popup should display three columns.</t>
        </is>
      </c>
      <c r="F18" s="91" t="inlineStr">
        <is>
          <t>Pending</t>
        </is>
      </c>
      <c r="G18" s="3" t="n"/>
      <c r="H18" s="366" t="inlineStr">
        <is>
          <t>Pending</t>
        </is>
      </c>
      <c r="I18" s="3" t="n">
        <v>0.5</v>
      </c>
      <c r="J18" s="3" t="n"/>
    </row>
    <row r="19" ht="15.75" customHeight="1" thickBot="1">
      <c r="B19" s="366" t="inlineStr">
        <is>
          <t>NAICS_009</t>
        </is>
      </c>
      <c r="C19" s="366" t="inlineStr">
        <is>
          <t>NAICS</t>
        </is>
      </c>
      <c r="D19" s="366" t="inlineStr">
        <is>
          <t>Verify that this is the first tab but it does not open by default.</t>
        </is>
      </c>
      <c r="E19" s="366" t="inlineStr">
        <is>
          <t>It should not open by default.</t>
        </is>
      </c>
      <c r="F19" s="91" t="inlineStr">
        <is>
          <t>Pending</t>
        </is>
      </c>
      <c r="G19" s="3" t="n"/>
      <c r="H19" s="366" t="inlineStr">
        <is>
          <t>Pending</t>
        </is>
      </c>
      <c r="I19" s="3" t="n">
        <v>0.5</v>
      </c>
      <c r="J19" s="3" t="n"/>
    </row>
    <row r="20" ht="26.25" customHeight="1" thickBot="1">
      <c r="B20" s="366" t="inlineStr">
        <is>
          <t>NAICS_010</t>
        </is>
      </c>
      <c r="C20" s="366" t="inlineStr">
        <is>
          <t>NAICS</t>
        </is>
      </c>
      <c r="D20" s="366" t="inlineStr">
        <is>
          <t>Verify that Suggestions NAICS is the second tab and opens by default.</t>
        </is>
      </c>
      <c r="E20" s="366" t="inlineStr">
        <is>
          <t>It should open by default.</t>
        </is>
      </c>
      <c r="F20" s="91" t="inlineStr">
        <is>
          <t>Pending</t>
        </is>
      </c>
      <c r="G20" s="3" t="n"/>
      <c r="H20" s="366" t="inlineStr">
        <is>
          <t>Pending</t>
        </is>
      </c>
      <c r="I20" s="3" t="n">
        <v>0.5</v>
      </c>
      <c r="J20" s="3" t="n"/>
    </row>
    <row r="21" ht="26.25" customHeight="1" thickBot="1">
      <c r="B21" s="366" t="inlineStr">
        <is>
          <t>NAICS_011</t>
        </is>
      </c>
      <c r="C21" s="366" t="inlineStr">
        <is>
          <t>NAICS</t>
        </is>
      </c>
      <c r="D21" s="366" t="inlineStr">
        <is>
          <t>Verify that System will pick that full paragraph automatically and open and shown in pop-up.</t>
        </is>
      </c>
      <c r="E21" s="366" t="inlineStr">
        <is>
          <t>Paragraph should be shown in popup.</t>
        </is>
      </c>
      <c r="F21" s="91" t="inlineStr">
        <is>
          <t>Pending</t>
        </is>
      </c>
      <c r="G21" s="3" t="n"/>
      <c r="H21" s="366" t="inlineStr">
        <is>
          <t>Pending</t>
        </is>
      </c>
      <c r="I21" s="3" t="n">
        <v>0.5</v>
      </c>
      <c r="J21" s="3" t="n"/>
    </row>
    <row r="22" ht="64.5" customHeight="1" thickBot="1">
      <c r="B22" s="366" t="inlineStr">
        <is>
          <t>NAICS_012</t>
        </is>
      </c>
      <c r="C22" s="366" t="inlineStr">
        <is>
          <t>NAICS</t>
        </is>
      </c>
      <c r="D22" s="366" t="inlineStr">
        <is>
          <t>Popup should show other information like Page number, Paragraph picked by system in editable mode, Dropdown of NAICS code with selection option.
Percentage box with option to add value and dropdown for Primary with Yes/No option.</t>
        </is>
      </c>
      <c r="E22" s="366" t="inlineStr">
        <is>
          <t>The listed options should be available.</t>
        </is>
      </c>
      <c r="F22" s="91" t="inlineStr">
        <is>
          <t>Pending</t>
        </is>
      </c>
      <c r="G22" s="3" t="n"/>
      <c r="H22" s="366" t="inlineStr">
        <is>
          <t>Pending</t>
        </is>
      </c>
      <c r="I22" s="3" t="n">
        <v>0.5</v>
      </c>
      <c r="J22" s="3" t="n"/>
    </row>
    <row r="23" ht="26.25" customHeight="1" thickBot="1">
      <c r="B23" s="366" t="inlineStr">
        <is>
          <t>NAICS_013</t>
        </is>
      </c>
      <c r="C23" s="366" t="inlineStr">
        <is>
          <t>NAICS</t>
        </is>
      </c>
      <c r="D23" s="366" t="inlineStr">
        <is>
          <t>Verify that Cancel and save button are present.</t>
        </is>
      </c>
      <c r="E23" s="366" t="inlineStr">
        <is>
          <t>The buttons should be displayed.</t>
        </is>
      </c>
      <c r="F23" s="91" t="inlineStr">
        <is>
          <t>Pending</t>
        </is>
      </c>
      <c r="G23" s="3" t="n"/>
      <c r="H23" s="366" t="inlineStr">
        <is>
          <t>Pending</t>
        </is>
      </c>
      <c r="I23" s="3" t="n">
        <v>0.5</v>
      </c>
      <c r="J23" s="3" t="n"/>
    </row>
    <row r="24" ht="39" customHeight="1" thickBot="1">
      <c r="B24" s="366" t="inlineStr">
        <is>
          <t>NAICS_014</t>
        </is>
      </c>
      <c r="C24" s="366" t="inlineStr">
        <is>
          <t>NAICS</t>
        </is>
      </c>
      <c r="D24" s="366" t="inlineStr">
        <is>
          <t>Verify that Save button will save the information and should appear in customer information page as added information.</t>
        </is>
      </c>
      <c r="E24" s="366" t="inlineStr">
        <is>
          <t>Save should work.</t>
        </is>
      </c>
      <c r="F24" s="91" t="inlineStr">
        <is>
          <t>Pending</t>
        </is>
      </c>
      <c r="G24" s="3" t="n"/>
      <c r="H24" s="366" t="inlineStr">
        <is>
          <t>Pending</t>
        </is>
      </c>
      <c r="I24" s="3" t="n">
        <v>0.5</v>
      </c>
      <c r="J24" s="3" t="n"/>
    </row>
    <row r="25" ht="26.25" customHeight="1" thickBot="1">
      <c r="B25" s="366" t="inlineStr">
        <is>
          <t>NAICS_015</t>
        </is>
      </c>
      <c r="C25" s="366" t="inlineStr">
        <is>
          <t>NAICS</t>
        </is>
      </c>
      <c r="D25" s="366" t="inlineStr">
        <is>
          <t>Verify that Earlier information in NAICS suggestion table will not get impacted.</t>
        </is>
      </c>
      <c r="E25" s="366" t="inlineStr">
        <is>
          <t>Previous data should remain as it is.</t>
        </is>
      </c>
      <c r="F25" s="91" t="inlineStr">
        <is>
          <t>Pending</t>
        </is>
      </c>
      <c r="G25" s="3" t="n"/>
      <c r="H25" s="366" t="inlineStr">
        <is>
          <t>Pending</t>
        </is>
      </c>
      <c r="I25" s="3" t="n">
        <v>0.5</v>
      </c>
      <c r="J25" s="3" t="n"/>
    </row>
    <row r="26" ht="26.25" customHeight="1" thickBot="1">
      <c r="B26" s="366" t="inlineStr">
        <is>
          <t>NAICS_016</t>
        </is>
      </c>
      <c r="C26" s="366" t="inlineStr">
        <is>
          <t>NAICS</t>
        </is>
      </c>
      <c r="D26" s="366" t="inlineStr">
        <is>
          <t>Verify that Cancel button will close the pop-up but maintain the data for re-opening.</t>
        </is>
      </c>
      <c r="E26" s="366" t="inlineStr">
        <is>
          <t>Data should not be lost.</t>
        </is>
      </c>
      <c r="F26" s="91" t="inlineStr">
        <is>
          <t>Pending</t>
        </is>
      </c>
      <c r="G26" s="3" t="n"/>
      <c r="H26" s="366" t="inlineStr">
        <is>
          <t>Pending</t>
        </is>
      </c>
      <c r="I26" s="3" t="n">
        <v>0.5</v>
      </c>
      <c r="J26" s="3" t="n"/>
    </row>
    <row r="27" ht="39" customHeight="1" thickBot="1">
      <c r="B27" s="366" t="inlineStr">
        <is>
          <t>NAICS_017</t>
        </is>
      </c>
      <c r="C27" s="366" t="inlineStr">
        <is>
          <t>NAICS</t>
        </is>
      </c>
      <c r="D27" s="366" t="inlineStr">
        <is>
          <t>After Click cancel button, verify that user can access data only if he again clicks on Mapping option in Navigate Highlight.</t>
        </is>
      </c>
      <c r="E27" s="366" t="inlineStr">
        <is>
          <t>Data should be displayed in the same window.</t>
        </is>
      </c>
      <c r="F27" s="91" t="inlineStr">
        <is>
          <t>Pending</t>
        </is>
      </c>
      <c r="G27" s="3" t="n"/>
      <c r="H27" s="366" t="inlineStr">
        <is>
          <t>Pending</t>
        </is>
      </c>
      <c r="I27" s="3" t="n">
        <v>0.5</v>
      </c>
      <c r="J27" s="3" t="n"/>
    </row>
    <row r="28" ht="26.25" customHeight="1" thickBot="1">
      <c r="B28" s="366" t="inlineStr">
        <is>
          <t>NAICS_018</t>
        </is>
      </c>
      <c r="C28" s="366" t="inlineStr">
        <is>
          <t>NAICS</t>
        </is>
      </c>
      <c r="D28" s="366" t="inlineStr">
        <is>
          <t>Verify that User can add new basis the above or can also delete this mapping and any earlier mapping too.</t>
        </is>
      </c>
      <c r="E28" s="366" t="inlineStr">
        <is>
          <t>Modify or delete should be allowed.</t>
        </is>
      </c>
      <c r="F28" s="91" t="inlineStr">
        <is>
          <t>Pending</t>
        </is>
      </c>
      <c r="G28" s="3" t="n"/>
      <c r="H28" s="366" t="inlineStr">
        <is>
          <t>Pending</t>
        </is>
      </c>
      <c r="I28" s="3" t="n">
        <v>0.5</v>
      </c>
      <c r="J28" s="3" t="n"/>
    </row>
    <row r="29" ht="26.25" customHeight="1" thickBot="1">
      <c r="B29" s="366" t="inlineStr">
        <is>
          <t>NAICS_019</t>
        </is>
      </c>
      <c r="C29" s="366" t="inlineStr">
        <is>
          <t>NAICS</t>
        </is>
      </c>
      <c r="D29" s="366" t="inlineStr">
        <is>
          <t>Verify that Delete button works when Click it, and should delete the data.</t>
        </is>
      </c>
      <c r="E29" s="366" t="inlineStr">
        <is>
          <t>Delete button will be required to delete any addition or suggestion.</t>
        </is>
      </c>
      <c r="F29" s="91" t="inlineStr">
        <is>
          <t>Pending</t>
        </is>
      </c>
      <c r="G29" s="3" t="n"/>
      <c r="H29" s="366" t="inlineStr">
        <is>
          <t>Pending</t>
        </is>
      </c>
      <c r="I29" s="3" t="n">
        <v>0.5</v>
      </c>
      <c r="J29" s="3" t="n"/>
    </row>
    <row r="30" ht="26.25" customHeight="1" thickBot="1">
      <c r="B30" s="366" t="inlineStr">
        <is>
          <t>NAICS_020</t>
        </is>
      </c>
      <c r="C30" s="366" t="inlineStr">
        <is>
          <t>NAICS</t>
        </is>
      </c>
      <c r="D30" s="366" t="inlineStr">
        <is>
          <t>Verify that Edit operation is allowed for all fields other than page number.</t>
        </is>
      </c>
      <c r="E30" s="366" t="inlineStr">
        <is>
          <t>Modification should be done.</t>
        </is>
      </c>
      <c r="F30" s="91" t="inlineStr">
        <is>
          <t>Pending</t>
        </is>
      </c>
      <c r="G30" s="3" t="n"/>
      <c r="H30" s="366" t="inlineStr">
        <is>
          <t>Pending</t>
        </is>
      </c>
      <c r="I30" s="3" t="n">
        <v>0.5</v>
      </c>
      <c r="J30" s="3" t="n"/>
    </row>
    <row r="31" ht="39" customHeight="1" thickBot="1">
      <c r="B31" s="366" t="inlineStr">
        <is>
          <t>NAICS_021</t>
        </is>
      </c>
      <c r="C31" s="366" t="inlineStr">
        <is>
          <t>NAICS</t>
        </is>
      </c>
      <c r="D31" s="366" t="inlineStr">
        <is>
          <t>Verify that Clicking Save or close in the popup will disable the ADD Industry mode.</t>
        </is>
      </c>
      <c r="E31" s="366" t="inlineStr">
        <is>
          <t>User should not be able to add anymore keyword without clicking Add button again.</t>
        </is>
      </c>
      <c r="F31" s="91" t="inlineStr">
        <is>
          <t>Pending</t>
        </is>
      </c>
      <c r="G31" s="3" t="n"/>
      <c r="H31" s="366" t="inlineStr">
        <is>
          <t>Pending</t>
        </is>
      </c>
      <c r="I31" s="3" t="n">
        <v>0.5</v>
      </c>
      <c r="J31" s="3" t="n"/>
    </row>
    <row r="32" ht="51.75" customHeight="1" thickBot="1">
      <c r="B32" s="366" t="inlineStr">
        <is>
          <t>NAICS_022</t>
        </is>
      </c>
      <c r="C32" s="366" t="inlineStr">
        <is>
          <t>NAICS</t>
        </is>
      </c>
      <c r="D32" s="366" t="inlineStr">
        <is>
          <t>Verify that If the user wants to pick another NAICS from the same page, then the user has to click Add under Industry again.</t>
        </is>
      </c>
      <c r="E32" s="366" t="inlineStr">
        <is>
          <t>The result should be as described.</t>
        </is>
      </c>
      <c r="F32" s="91" t="inlineStr">
        <is>
          <t>Pending</t>
        </is>
      </c>
      <c r="G32" s="3" t="n"/>
      <c r="H32" s="366" t="inlineStr">
        <is>
          <t>Pending</t>
        </is>
      </c>
      <c r="I32" s="3" t="n">
        <v>0.5</v>
      </c>
      <c r="J32" s="3" t="n"/>
    </row>
    <row r="33" ht="51.75" customHeight="1" thickBot="1">
      <c r="B33" s="366" t="inlineStr">
        <is>
          <t>NAICS_023</t>
        </is>
      </c>
      <c r="C33" s="366" t="inlineStr">
        <is>
          <t>NAICS</t>
        </is>
      </c>
      <c r="D33" s="366" t="inlineStr">
        <is>
          <t>Verify that one paragraph can have more than one code so there should be a provision where a user can pick a paragraph twice and tag it to two different codes one by one.</t>
        </is>
      </c>
      <c r="E33" s="366" t="inlineStr">
        <is>
          <t>Should be allowed to select same paragraph with different codes.</t>
        </is>
      </c>
      <c r="F33" s="91" t="inlineStr">
        <is>
          <t>Pending</t>
        </is>
      </c>
      <c r="G33" s="3" t="n"/>
      <c r="H33" s="366" t="inlineStr">
        <is>
          <t>Pending</t>
        </is>
      </c>
      <c r="I33" s="3" t="n">
        <v>0.5</v>
      </c>
      <c r="J33" s="3" t="n"/>
    </row>
    <row r="34" ht="39" customHeight="1" thickBot="1">
      <c r="B34" s="366" t="inlineStr">
        <is>
          <t>NAICS_024</t>
        </is>
      </c>
      <c r="C34" s="366" t="inlineStr">
        <is>
          <t>NAICS</t>
        </is>
      </c>
      <c r="D34" s="366" t="inlineStr">
        <is>
          <t>NAICS code should not be repeated/duplicate for a customer.</t>
        </is>
      </c>
      <c r="E34" s="366" t="inlineStr">
        <is>
          <t>Duplicate code popup should displayed when add same code again.</t>
        </is>
      </c>
      <c r="F34" s="91" t="inlineStr">
        <is>
          <t>Pending</t>
        </is>
      </c>
      <c r="G34" s="3" t="n"/>
      <c r="H34" s="366" t="inlineStr">
        <is>
          <t>Pending</t>
        </is>
      </c>
      <c r="I34" s="3" t="n">
        <v>0.5</v>
      </c>
      <c r="J34" s="3" t="n"/>
    </row>
    <row r="35" ht="26.25" customHeight="1" thickBot="1">
      <c r="B35" s="366" t="inlineStr">
        <is>
          <t>NAICS_025</t>
        </is>
      </c>
      <c r="C35" s="366" t="inlineStr">
        <is>
          <t>NAICS</t>
        </is>
      </c>
      <c r="D35" s="366" t="inlineStr">
        <is>
          <t>Verify that in percentage, the total should not be more than 100 or less than 100. Validation should come.</t>
        </is>
      </c>
      <c r="E35" s="366" t="inlineStr">
        <is>
          <t>If percentage doesn't match validation message should come.</t>
        </is>
      </c>
      <c r="F35" s="91" t="inlineStr">
        <is>
          <t>Pending</t>
        </is>
      </c>
      <c r="G35" s="3" t="n"/>
      <c r="H35" s="366" t="inlineStr">
        <is>
          <t>Pending</t>
        </is>
      </c>
      <c r="I35" s="3" t="n">
        <v>1</v>
      </c>
      <c r="J35" s="3" t="n"/>
    </row>
    <row r="36" ht="39" customHeight="1" thickBot="1">
      <c r="B36" s="366" t="inlineStr">
        <is>
          <t>NAICS_026</t>
        </is>
      </c>
      <c r="C36" s="366" t="inlineStr">
        <is>
          <t>NAICS</t>
        </is>
      </c>
      <c r="D36" s="366" t="inlineStr">
        <is>
          <t>Check that there can be only one primary.
1. Save with two primary.
2. Save with no primary.</t>
        </is>
      </c>
      <c r="E36" s="366" t="inlineStr">
        <is>
          <t>Validation should come in both cases.</t>
        </is>
      </c>
      <c r="F36" s="91" t="inlineStr">
        <is>
          <t>Pending</t>
        </is>
      </c>
      <c r="G36" s="3" t="n"/>
      <c r="H36" s="366" t="inlineStr">
        <is>
          <t>Pending</t>
        </is>
      </c>
      <c r="I36" s="3" t="n">
        <v>1</v>
      </c>
      <c r="J36" s="3" t="n"/>
    </row>
    <row r="37" ht="39" customHeight="1" thickBot="1">
      <c r="B37" s="366" t="inlineStr">
        <is>
          <t>NAICS_027</t>
        </is>
      </c>
      <c r="C37" s="366" t="inlineStr">
        <is>
          <t>NAICS</t>
        </is>
      </c>
      <c r="D37" s="366" t="inlineStr">
        <is>
          <t>All warning errors should come at the bottom of the popup near save/submit button.</t>
        </is>
      </c>
      <c r="E37" s="366" t="inlineStr">
        <is>
          <t>Error message should come when doesn't match the expectations.</t>
        </is>
      </c>
      <c r="F37" s="91" t="inlineStr">
        <is>
          <t>Pending</t>
        </is>
      </c>
      <c r="G37" s="3" t="n"/>
      <c r="H37" s="366" t="inlineStr">
        <is>
          <t>Pending</t>
        </is>
      </c>
      <c r="I37" s="3" t="n">
        <v>1</v>
      </c>
      <c r="J37" s="3" t="n"/>
    </row>
    <row r="38" ht="39" customHeight="1" thickBot="1">
      <c r="B38" s="366" t="inlineStr">
        <is>
          <t>NAICS_028</t>
        </is>
      </c>
      <c r="C38" s="366" t="inlineStr">
        <is>
          <t>NAICS</t>
        </is>
      </c>
      <c r="D38" s="366" t="inlineStr">
        <is>
          <t>Verify that In the same popup, already submitted codes will come with edit and delete button. Save and close buttons will also come in Mapping popup.</t>
        </is>
      </c>
      <c r="E38" s="366" t="inlineStr">
        <is>
          <t>The result should be as described.</t>
        </is>
      </c>
      <c r="F38" s="91" t="inlineStr">
        <is>
          <t>Pending</t>
        </is>
      </c>
      <c r="G38" s="3" t="n"/>
      <c r="H38" s="366" t="inlineStr">
        <is>
          <t>Pending</t>
        </is>
      </c>
      <c r="I38" s="3" t="n">
        <v>1</v>
      </c>
      <c r="J38" s="3" t="n"/>
    </row>
    <row r="39" ht="15.75" customHeight="1" thickBot="1">
      <c r="B39" s="366" t="inlineStr">
        <is>
          <t>NAICS_029</t>
        </is>
      </c>
      <c r="C39" s="366" t="inlineStr">
        <is>
          <t>NAICS</t>
        </is>
      </c>
      <c r="D39" s="366" t="inlineStr">
        <is>
          <t>Submit spread after adding NAICS code&gt;observe popup.</t>
        </is>
      </c>
      <c r="E39" s="366" t="inlineStr">
        <is>
          <t>Should show NAICS is saved successfully.</t>
        </is>
      </c>
      <c r="F39" s="91" t="inlineStr">
        <is>
          <t>Pending</t>
        </is>
      </c>
      <c r="G39" s="3" t="n"/>
      <c r="H39" s="366" t="inlineStr">
        <is>
          <t>Pending</t>
        </is>
      </c>
      <c r="I39" s="3" t="n">
        <v>0.5</v>
      </c>
      <c r="J39" s="3" t="n"/>
    </row>
    <row r="40" ht="26.25" customHeight="1" thickBot="1">
      <c r="B40" s="366" t="inlineStr">
        <is>
          <t>NAICS_030</t>
        </is>
      </c>
      <c r="C40" s="366" t="inlineStr">
        <is>
          <t>NAICS</t>
        </is>
      </c>
      <c r="D40" s="366" t="inlineStr">
        <is>
          <t>Once NAICS code is saved, go to customer modify page.
Observe information related to NAICS suggestion.</t>
        </is>
      </c>
      <c r="E40" s="366" t="inlineStr">
        <is>
          <t>Tab should be present related to NAICS suggestion.</t>
        </is>
      </c>
      <c r="F40" s="91" t="inlineStr">
        <is>
          <t>Pending</t>
        </is>
      </c>
      <c r="G40" s="3" t="n"/>
      <c r="H40" s="366" t="inlineStr">
        <is>
          <t>Pending</t>
        </is>
      </c>
      <c r="I40" s="3" t="n">
        <v>0.5</v>
      </c>
      <c r="J40" s="3" t="n"/>
    </row>
    <row r="41" ht="26.25" customHeight="1" thickBot="1">
      <c r="B41" s="366" t="inlineStr">
        <is>
          <t>NAICS_031</t>
        </is>
      </c>
      <c r="C41" s="366" t="inlineStr">
        <is>
          <t>NAICS</t>
        </is>
      </c>
      <c r="D41" s="366" t="inlineStr">
        <is>
          <t>On customer modify screen&gt;NAICS Code, percentage and Primary should be displayed.</t>
        </is>
      </c>
      <c r="E41" s="366" t="inlineStr">
        <is>
          <t>Mentioned information should be present.</t>
        </is>
      </c>
      <c r="F41" s="91" t="inlineStr">
        <is>
          <t>Pending</t>
        </is>
      </c>
      <c r="G41" s="3" t="n"/>
      <c r="H41" s="366" t="inlineStr">
        <is>
          <t>Pending</t>
        </is>
      </c>
      <c r="I41" s="3" t="n">
        <v>0.5</v>
      </c>
      <c r="J41" s="3" t="n"/>
    </row>
    <row r="42" ht="26.25" customHeight="1" thickBot="1">
      <c r="B42" s="366" t="inlineStr">
        <is>
          <t>NAICS_032</t>
        </is>
      </c>
      <c r="C42" s="366" t="inlineStr">
        <is>
          <t>NAICS</t>
        </is>
      </c>
      <c r="D42" s="366" t="inlineStr">
        <is>
          <t>Once NAICS Code data is saved, observe data in Existing suggestion section.</t>
        </is>
      </c>
      <c r="E42" s="366" t="inlineStr">
        <is>
          <t>Data should be present.</t>
        </is>
      </c>
      <c r="F42" s="91" t="inlineStr">
        <is>
          <t>Pending</t>
        </is>
      </c>
      <c r="G42" s="3" t="n"/>
      <c r="H42" s="366" t="inlineStr">
        <is>
          <t>Pending</t>
        </is>
      </c>
      <c r="I42" s="3" t="n">
        <v>0.5</v>
      </c>
      <c r="J42" s="3" t="n"/>
    </row>
    <row r="43" ht="26.25" customHeight="1" thickBot="1">
      <c r="B43" s="366" t="inlineStr">
        <is>
          <t>NAICS_033</t>
        </is>
      </c>
      <c r="C43" s="366" t="inlineStr">
        <is>
          <t>NAICS</t>
        </is>
      </c>
      <c r="D43" s="366" t="inlineStr">
        <is>
          <t>Verify that section will be marked as Existing NAICS and delete and edit will be allowed.</t>
        </is>
      </c>
      <c r="E43" s="366" t="inlineStr">
        <is>
          <t>The result should be as described.</t>
        </is>
      </c>
      <c r="F43" s="91" t="inlineStr">
        <is>
          <t>Pending</t>
        </is>
      </c>
      <c r="G43" s="3" t="n"/>
      <c r="H43" s="366" t="inlineStr">
        <is>
          <t>Pending</t>
        </is>
      </c>
      <c r="I43" s="3" t="n">
        <v>0.5</v>
      </c>
      <c r="J43" s="3" t="n"/>
    </row>
    <row r="44" ht="26.25" customHeight="1" thickBot="1">
      <c r="B44" s="366" t="inlineStr">
        <is>
          <t>NAICS_034</t>
        </is>
      </c>
      <c r="C44" s="366" t="inlineStr">
        <is>
          <t>NAICS</t>
        </is>
      </c>
      <c r="D44" s="366" t="inlineStr">
        <is>
          <t>Verify that Industry name will come on over on the industry code in the left panel.</t>
        </is>
      </c>
      <c r="E44" s="366" t="inlineStr">
        <is>
          <t>Code displayed should be correct.</t>
        </is>
      </c>
      <c r="F44" s="91" t="inlineStr">
        <is>
          <t>Pending</t>
        </is>
      </c>
      <c r="G44" s="3" t="n"/>
      <c r="H44" s="366" t="inlineStr">
        <is>
          <t>Pending</t>
        </is>
      </c>
      <c r="I44" s="3" t="n">
        <v>0.5</v>
      </c>
      <c r="J44" s="3" t="n"/>
    </row>
    <row r="45" ht="15.75" customHeight="1" thickBot="1">
      <c r="B45" s="366" t="inlineStr">
        <is>
          <t>NAICS_035</t>
        </is>
      </c>
      <c r="C45" s="366" t="inlineStr">
        <is>
          <t>NAICS</t>
        </is>
      </c>
      <c r="D45" s="366" t="inlineStr">
        <is>
          <t>And, In the popup, by default suggestion NAICS should come.</t>
        </is>
      </c>
      <c r="E45" s="366" t="inlineStr">
        <is>
          <t>The result should be as described.</t>
        </is>
      </c>
      <c r="F45" s="91" t="inlineStr">
        <is>
          <t>Pending</t>
        </is>
      </c>
      <c r="G45" s="3" t="n"/>
      <c r="H45" s="366" t="inlineStr">
        <is>
          <t>Pending</t>
        </is>
      </c>
      <c r="I45" s="3" t="n">
        <v>0.5</v>
      </c>
      <c r="J45" s="3" t="n"/>
    </row>
    <row r="46" ht="39" customHeight="1" thickBot="1">
      <c r="B46" s="366" t="inlineStr">
        <is>
          <t>NAICS_036</t>
        </is>
      </c>
      <c r="C46" s="366" t="inlineStr">
        <is>
          <t>NAICS</t>
        </is>
      </c>
      <c r="D46" s="366" t="inlineStr">
        <is>
          <t>Verify that In case of Notes Processing feature is disabled for any client, then free text value mapped to the cell of the model.</t>
        </is>
      </c>
      <c r="E46" s="366" t="inlineStr">
        <is>
          <t>The result should be as described.</t>
        </is>
      </c>
      <c r="F46" s="91" t="inlineStr">
        <is>
          <t>Pending</t>
        </is>
      </c>
      <c r="G46" s="3" t="n"/>
      <c r="H46" s="366" t="inlineStr">
        <is>
          <t>Pending</t>
        </is>
      </c>
      <c r="I46" s="3" t="n">
        <v>0.5</v>
      </c>
      <c r="J46" s="3" t="n"/>
    </row>
    <row r="47" ht="39" customHeight="1" thickBot="1">
      <c r="B47" s="366" t="inlineStr">
        <is>
          <t>NAICS_037</t>
        </is>
      </c>
      <c r="C47" s="366" t="inlineStr">
        <is>
          <t>NAICS</t>
        </is>
      </c>
      <c r="D47" s="366" t="inlineStr">
        <is>
          <t>And, then a popup should not get opened and keyword should be tagged with None.</t>
        </is>
      </c>
      <c r="E47" s="366" t="inlineStr">
        <is>
          <t>The result should be as described.</t>
        </is>
      </c>
      <c r="F47" s="91" t="inlineStr">
        <is>
          <t>Pending</t>
        </is>
      </c>
      <c r="G47" s="3" t="n"/>
      <c r="H47" s="366" t="inlineStr">
        <is>
          <t>Pending</t>
        </is>
      </c>
      <c r="I47" s="3" t="n">
        <v>0.5</v>
      </c>
      <c r="J47" s="3" t="n"/>
    </row>
    <row r="48" ht="51.75" customHeight="1" thickBot="1">
      <c r="B48" s="366" t="inlineStr">
        <is>
          <t>NAICS_038</t>
        </is>
      </c>
      <c r="C48" s="366" t="inlineStr">
        <is>
          <t>NAICS</t>
        </is>
      </c>
      <c r="D48" s="366" t="inlineStr">
        <is>
          <t>If the user wants to edit a keyword and sentence then it should be allowed in the Mapping popup. Prediction will be stopped.</t>
        </is>
      </c>
      <c r="E48" s="366" t="inlineStr">
        <is>
          <t>The result should be as described.</t>
        </is>
      </c>
      <c r="F48" s="91" t="inlineStr">
        <is>
          <t>Pending</t>
        </is>
      </c>
      <c r="G48" s="3" t="n"/>
      <c r="H48" s="366" t="inlineStr">
        <is>
          <t>Pending</t>
        </is>
      </c>
      <c r="I48" s="3" t="n">
        <v>0.5</v>
      </c>
      <c r="J48" s="3" t="n"/>
    </row>
    <row r="49" ht="51" customHeight="1">
      <c r="B49" s="28" t="inlineStr">
        <is>
          <t>NAICS_039</t>
        </is>
      </c>
      <c r="C49" s="28" t="inlineStr">
        <is>
          <t>NAICS</t>
        </is>
      </c>
      <c r="D49" s="28" t="inlineStr">
        <is>
          <t>In case of notes processing feature is enabled, then Data for the industry mapping should be sent to ML engine for prediction.</t>
        </is>
      </c>
      <c r="E49" s="28" t="inlineStr">
        <is>
          <t>The result should be as described.</t>
        </is>
      </c>
      <c r="F49" s="91" t="inlineStr">
        <is>
          <t>Pending</t>
        </is>
      </c>
      <c r="G49" s="83" t="n"/>
      <c r="H49" s="28" t="inlineStr">
        <is>
          <t>Pending</t>
        </is>
      </c>
      <c r="I49" s="83" t="n">
        <v>0.5</v>
      </c>
      <c r="J49" s="83" t="n"/>
    </row>
    <row r="50" ht="115.5" customHeight="1">
      <c r="B50" s="366" t="inlineStr">
        <is>
          <t>NAICS_040</t>
        </is>
      </c>
      <c r="C50" s="5" t="inlineStr">
        <is>
          <t>NAICS</t>
        </is>
      </c>
      <c r="D50" s="221" t="inlineStr">
        <is>
          <t>Logged into the user.
Https://ssdemoapps.evalueserve.com/evsdemo/customer/modify.
Go to the Existing Customer screen.
Clicked modify customer.
Observed that primary option is not visible and also not aligned.</t>
        </is>
      </c>
      <c r="E50" s="112" t="inlineStr">
        <is>
          <t>Both option should be displayed in alignment manner.</t>
        </is>
      </c>
      <c r="F50" s="86" t="inlineStr">
        <is>
          <t>Pending</t>
        </is>
      </c>
      <c r="G50" s="112" t="inlineStr">
        <is>
          <t xml:space="preserve">136505/newly added </t>
        </is>
      </c>
      <c r="H50" s="366" t="inlineStr">
        <is>
          <t>Pending</t>
        </is>
      </c>
      <c r="I50" s="268" t="n"/>
      <c r="J50" s="3" t="n"/>
    </row>
  </sheetData>
  <mergeCells count="10">
    <mergeCell ref="B6:C6"/>
    <mergeCell ref="B7:C7"/>
    <mergeCell ref="B2:F2"/>
    <mergeCell ref="B5:C5"/>
    <mergeCell ref="G3:G4"/>
    <mergeCell ref="E3:E4"/>
    <mergeCell ref="F3:F4"/>
    <mergeCell ref="B9:C9"/>
    <mergeCell ref="B8:C8"/>
    <mergeCell ref="B3:C4"/>
  </mergeCells>
  <conditionalFormatting sqref="D4">
    <cfRule type="expression" priority="60" dxfId="51" stopIfTrue="1">
      <formula>AND(COUNTIF(#REF!, D4)+COUNTIF(#REF!, D4)&gt;1,NOT(ISBLANK(D4)))</formula>
    </cfRule>
  </conditionalFormatting>
  <conditionalFormatting sqref="D5">
    <cfRule type="cellIs" priority="59" operator="lessThan" dxfId="10" stopIfTrue="1">
      <formula>1</formula>
    </cfRule>
  </conditionalFormatting>
  <conditionalFormatting sqref="D5:D9">
    <cfRule type="cellIs" priority="54" operator="greaterThan" dxfId="9" stopIfTrue="1">
      <formula>0</formula>
    </cfRule>
    <cfRule type="cellIs" priority="55" operator="greaterThan" dxfId="9" stopIfTrue="1">
      <formula>1</formula>
    </cfRule>
    <cfRule type="cellIs" priority="56" operator="greaterThan" dxfId="10" stopIfTrue="1">
      <formula>0</formula>
    </cfRule>
    <cfRule type="cellIs" priority="57" operator="greaterThan" dxfId="10" stopIfTrue="1">
      <formula>1</formula>
    </cfRule>
    <cfRule type="cellIs" priority="58" operator="equal" dxfId="9" stopIfTrue="1">
      <formula>$C$5</formula>
    </cfRule>
  </conditionalFormatting>
  <conditionalFormatting sqref="D6:E9">
    <cfRule type="cellIs" priority="28" operator="lessThan" dxfId="10" stopIfTrue="1">
      <formula>1</formula>
    </cfRule>
  </conditionalFormatting>
  <conditionalFormatting sqref="E5">
    <cfRule type="cellIs" priority="30" operator="lessThan" dxfId="10" stopIfTrue="1">
      <formula>1</formula>
    </cfRule>
  </conditionalFormatting>
  <conditionalFormatting sqref="E5:E9">
    <cfRule type="cellIs" priority="27" operator="equal" dxfId="9" stopIfTrue="1">
      <formula>1</formula>
    </cfRule>
  </conditionalFormatting>
  <conditionalFormatting sqref="E6:E9">
    <cfRule type="cellIs" priority="25" operator="equal" dxfId="9" stopIfTrue="1">
      <formula>1</formula>
    </cfRule>
    <cfRule type="cellIs" priority="26" operator="lessThan" dxfId="10" stopIfTrue="1">
      <formula>1</formula>
    </cfRule>
  </conditionalFormatting>
  <conditionalFormatting sqref="E5:F5">
    <cfRule type="cellIs" priority="31" operator="equal" dxfId="9" stopIfTrue="1">
      <formula>1</formula>
    </cfRule>
    <cfRule type="cellIs" priority="32" operator="lessThan" dxfId="10" stopIfTrue="1">
      <formula>1</formula>
    </cfRule>
  </conditionalFormatting>
  <conditionalFormatting sqref="F5">
    <cfRule type="cellIs" priority="79" operator="equal" dxfId="9" stopIfTrue="1">
      <formula>1</formula>
    </cfRule>
    <cfRule type="cellIs" priority="80" operator="lessThan" dxfId="10" stopIfTrue="1">
      <formula>1</formula>
    </cfRule>
  </conditionalFormatting>
  <conditionalFormatting sqref="F6">
    <cfRule type="cellIs" priority="73" operator="greaterThan" dxfId="10" stopIfTrue="1">
      <formula>0</formula>
    </cfRule>
    <cfRule type="cellIs" priority="74" operator="equal" dxfId="9" stopIfTrue="1">
      <formula>0</formula>
    </cfRule>
    <cfRule type="cellIs" priority="75" operator="greaterThan" dxfId="10" stopIfTrue="1">
      <formula>0</formula>
    </cfRule>
    <cfRule type="cellIs" priority="76" operator="equal" dxfId="9" stopIfTrue="1">
      <formula>0</formula>
    </cfRule>
  </conditionalFormatting>
  <conditionalFormatting sqref="F7">
    <cfRule type="cellIs" priority="71" operator="equal" dxfId="9" stopIfTrue="1">
      <formula>0</formula>
    </cfRule>
    <cfRule type="cellIs" priority="72" operator="greaterThan" dxfId="22" stopIfTrue="1">
      <formula>0</formula>
    </cfRule>
  </conditionalFormatting>
  <conditionalFormatting sqref="F7:F8">
    <cfRule type="cellIs" priority="67" operator="equal" dxfId="9" stopIfTrue="1">
      <formula>0</formula>
    </cfRule>
    <cfRule type="cellIs" priority="68" operator="greaterThan" dxfId="22" stopIfTrue="1">
      <formula>0</formula>
    </cfRule>
  </conditionalFormatting>
  <conditionalFormatting sqref="F8:F9">
    <cfRule type="cellIs" priority="63" operator="equal" dxfId="9" stopIfTrue="1">
      <formula>0</formula>
    </cfRule>
    <cfRule type="cellIs" priority="64" operator="greaterThan" dxfId="22" stopIfTrue="1">
      <formula>0</formula>
    </cfRule>
  </conditionalFormatting>
  <conditionalFormatting sqref="F9">
    <cfRule type="cellIs" priority="61" operator="equal" dxfId="9" stopIfTrue="1">
      <formula>0</formula>
    </cfRule>
    <cfRule type="cellIs" priority="62" operator="greaterThan" dxfId="22" stopIfTrue="1">
      <formula>0</formula>
    </cfRule>
  </conditionalFormatting>
  <conditionalFormatting sqref="F11:F50">
    <cfRule type="cellIs" priority="88" operator="equal" dxfId="6" stopIfTrue="1">
      <formula>"NA"</formula>
    </cfRule>
    <cfRule type="cellIs" priority="89" operator="equal" dxfId="5" stopIfTrue="1">
      <formula>"Blocked"</formula>
    </cfRule>
    <cfRule type="cellIs" priority="90" operator="equal" dxfId="4" stopIfTrue="1">
      <formula>"Pending"</formula>
    </cfRule>
    <cfRule type="cellIs" priority="91" operator="equal" dxfId="0" stopIfTrue="1">
      <formula>"Passed"</formula>
    </cfRule>
    <cfRule type="cellIs" priority="92" operator="equal" dxfId="1" stopIfTrue="1">
      <formula>"Failed"</formula>
    </cfRule>
    <cfRule type="cellIs" priority="93" operator="equal" dxfId="1" stopIfTrue="1">
      <formula>"Fail"</formula>
    </cfRule>
    <cfRule type="cellIs" priority="94" operator="equal" dxfId="0" stopIfTrue="1">
      <formula>"Pass"</formula>
    </cfRule>
  </conditionalFormatting>
  <conditionalFormatting sqref="G6:G9">
    <cfRule type="cellIs" priority="19" operator="lessThan" dxfId="10" stopIfTrue="1">
      <formula>1</formula>
    </cfRule>
    <cfRule type="cellIs" priority="20" operator="greaterThan" dxfId="9" stopIfTrue="1">
      <formula>0</formula>
    </cfRule>
    <cfRule type="cellIs" priority="21" operator="greaterThan" dxfId="9" stopIfTrue="1">
      <formula>1</formula>
    </cfRule>
    <cfRule type="cellIs" priority="22" operator="greaterThan" dxfId="10" stopIfTrue="1">
      <formula>0</formula>
    </cfRule>
    <cfRule type="cellIs" priority="23" operator="greaterThan" dxfId="10" stopIfTrue="1">
      <formula>1</formula>
    </cfRule>
    <cfRule type="cellIs" priority="24" operator="equal" dxfId="9" stopIfTrue="1">
      <formula>$C$3</formula>
    </cfRule>
  </conditionalFormatting>
  <conditionalFormatting sqref="H11:H50">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1:F50" showDropDown="0" showInputMessage="1" showErrorMessage="1" allowBlank="1" type="list">
      <formula1>"Passed,Failed,Blocked,Pending,NA"</formula1>
    </dataValidation>
    <dataValidation sqref="H11:H50" showDropDown="0" showInputMessage="1" showErrorMessage="1" allowBlank="1" type="list">
      <formula1>"Done,Blocked,Pending,Out of Scope"</formula1>
    </dataValidation>
  </dataValidation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30.xml><?xml version="1.0" encoding="utf-8"?>
<worksheet xmlns="http://schemas.openxmlformats.org/spreadsheetml/2006/main">
  <sheetPr>
    <outlinePr summaryBelow="1" summaryRight="1"/>
    <pageSetUpPr/>
  </sheetPr>
  <dimension ref="B2:J51"/>
  <sheetViews>
    <sheetView showGridLines="0" topLeftCell="A9" workbookViewId="0">
      <selection activeCell="D8" sqref="D8"/>
    </sheetView>
  </sheetViews>
  <sheetFormatPr baseColWidth="8" defaultRowHeight="15"/>
  <cols>
    <col width="5" customWidth="1" min="1" max="1"/>
    <col width="27.5703125" customWidth="1" min="3" max="3"/>
    <col width="44.7109375" customWidth="1" min="4" max="5"/>
    <col width="10.5703125" customWidth="1" min="6" max="6"/>
    <col width="12.42578125" customWidth="1" min="7" max="7"/>
    <col width="19.7109375" customWidth="1" min="8" max="8"/>
    <col width="12.42578125" customWidth="1" min="9" max="9"/>
    <col width="16.140625" customWidth="1" min="10" max="10"/>
  </cols>
  <sheetData>
    <row r="1" ht="15.75" customHeight="1" thickBot="1"/>
    <row r="2" ht="15.75" customHeight="1" thickBot="1">
      <c r="B2" s="352" t="inlineStr">
        <is>
          <t>Test Case Summary</t>
        </is>
      </c>
      <c r="C2" s="389" t="n"/>
      <c r="D2" s="389" t="n"/>
      <c r="E2" s="389" t="n"/>
      <c r="F2" s="390" t="n"/>
      <c r="G2" s="153" t="n"/>
    </row>
    <row r="3" ht="26.25" customHeight="1" thickBot="1">
      <c r="B3" s="352" t="inlineStr">
        <is>
          <t>Total Test Cases</t>
        </is>
      </c>
      <c r="C3" s="390" t="n"/>
      <c r="D3" s="47">
        <f>SUM(D4:D8)</f>
        <v/>
      </c>
      <c r="E3" s="352" t="inlineStr">
        <is>
          <t>Executed Tests</t>
        </is>
      </c>
      <c r="F3" s="352" t="inlineStr">
        <is>
          <t>Total Tests</t>
        </is>
      </c>
      <c r="G3" s="352" t="inlineStr">
        <is>
          <t>Automation Scripts</t>
        </is>
      </c>
    </row>
    <row r="4" ht="15.75" customHeight="1" thickBot="1">
      <c r="B4" s="350" t="inlineStr">
        <is>
          <t>Passed</t>
        </is>
      </c>
      <c r="D4" s="52">
        <f>COUNTIF(F9:F75,"Passed")</f>
        <v/>
      </c>
      <c r="E4" s="53">
        <f>IF(D4=0,,(D4/(D4+D5)))</f>
        <v/>
      </c>
      <c r="F4" s="51">
        <f>IF(D3=0,,(D4/D3))</f>
        <v/>
      </c>
      <c r="G4" s="156">
        <f>COUNTIF(H10:H493,"Done")</f>
        <v/>
      </c>
    </row>
    <row r="5" ht="15.75" customHeight="1" thickBot="1">
      <c r="B5" s="350" t="inlineStr">
        <is>
          <t>Failed</t>
        </is>
      </c>
      <c r="D5" s="52">
        <f>COUNTIF(F9:F75,"Failed")</f>
        <v/>
      </c>
      <c r="E5" s="53">
        <f>IF(D5=0,,(D5/(D5+D6)))</f>
        <v/>
      </c>
      <c r="F5" s="51">
        <f>IF(D3=0,,(D5/D3))</f>
        <v/>
      </c>
      <c r="G5" s="52">
        <f>COUNTIF(H10:H493,"Failed")</f>
        <v/>
      </c>
    </row>
    <row r="6" ht="15.75" customHeight="1" thickBot="1">
      <c r="B6" s="350" t="inlineStr">
        <is>
          <t>Blocked</t>
        </is>
      </c>
      <c r="D6" s="52">
        <f>COUNTIF(F9:F75,"Blocked")</f>
        <v/>
      </c>
      <c r="E6" s="53">
        <f>IF(D6=0,,(D6/(D6+D7)))</f>
        <v/>
      </c>
      <c r="F6" s="51">
        <f>IF(D3=0,,(D6/D3))</f>
        <v/>
      </c>
      <c r="G6" s="52">
        <f>COUNTIF(H10:H493,"Blocked")</f>
        <v/>
      </c>
    </row>
    <row r="7" ht="15.75" customHeight="1" thickBot="1">
      <c r="B7" s="350" t="inlineStr">
        <is>
          <t>Pending</t>
        </is>
      </c>
      <c r="D7" s="52">
        <f>COUNTIF(F9:F500,"Pending")</f>
        <v/>
      </c>
      <c r="E7" s="53">
        <f>IF(D7=0,,(D7/(D7+D8)))</f>
        <v/>
      </c>
      <c r="F7" s="51">
        <f>IF(D3=0,,(D7/D3))</f>
        <v/>
      </c>
      <c r="G7" s="52">
        <f>COUNTIF(H10:H493,"Pending")</f>
        <v/>
      </c>
    </row>
    <row r="8" ht="15.75" customHeight="1" thickBot="1">
      <c r="B8" s="350" t="inlineStr">
        <is>
          <t>Not Applicable</t>
        </is>
      </c>
      <c r="D8" s="52">
        <f>COUNTIF(F9:F75,"Not Applicable")</f>
        <v/>
      </c>
      <c r="E8" s="53">
        <f>IF(D8=0,,(D8/(D8+#REF!)))</f>
        <v/>
      </c>
      <c r="F8" s="51">
        <f>IF(D3=0,,(D8/D3))</f>
        <v/>
      </c>
      <c r="G8" s="52">
        <f>COUNTIF(H10:H493,"Out of Scope")</f>
        <v/>
      </c>
    </row>
    <row r="9" ht="15.75" customHeight="1" thickBot="1">
      <c r="B9" s="9" t="inlineStr">
        <is>
          <t>S.No.</t>
        </is>
      </c>
      <c r="C9" s="10" t="inlineStr">
        <is>
          <t>Module/Sub-Module</t>
        </is>
      </c>
      <c r="D9" s="8" t="inlineStr">
        <is>
          <t>Test Steps</t>
        </is>
      </c>
      <c r="E9" s="8" t="inlineStr">
        <is>
          <t>Expected Results</t>
        </is>
      </c>
      <c r="F9" s="8" t="inlineStr">
        <is>
          <t>Result</t>
        </is>
      </c>
      <c r="G9" s="8" t="inlineStr">
        <is>
          <t>Bug ID</t>
        </is>
      </c>
      <c r="H9" s="8" t="inlineStr">
        <is>
          <t>Automation Status</t>
        </is>
      </c>
      <c r="I9" s="8" t="inlineStr">
        <is>
          <t>Mapped Scripts</t>
        </is>
      </c>
      <c r="J9" s="2" t="inlineStr">
        <is>
          <t>Comments</t>
        </is>
      </c>
    </row>
    <row r="10" ht="48.75" customHeight="1" thickBot="1">
      <c r="B10" s="13" t="inlineStr">
        <is>
          <t>Neg_001</t>
        </is>
      </c>
      <c r="C10" s="13" t="inlineStr">
        <is>
          <t>Spreading Screen</t>
        </is>
      </c>
      <c r="D10" s="13" t="inlineStr">
        <is>
          <t>Add New Item&gt;Tag at least 15 Zones.
Map values almost in complete model.
Add customer zones&gt;Map values to model.
Add new rows&gt;map value to newly added rows.</t>
        </is>
      </c>
      <c r="E10" s="13" t="inlineStr">
        <is>
          <t>The user should be able to add new rows. And Model blank issue should not appear.</t>
        </is>
      </c>
      <c r="F10" s="80" t="inlineStr">
        <is>
          <t>Pending</t>
        </is>
      </c>
      <c r="G10" s="13" t="n"/>
      <c r="H10" s="18" t="inlineStr">
        <is>
          <t>Done</t>
        </is>
      </c>
      <c r="I10" s="29" t="n"/>
      <c r="J10" s="55" t="n"/>
    </row>
    <row r="11" ht="72.75" customHeight="1" thickBot="1">
      <c r="B11" s="13" t="inlineStr">
        <is>
          <t>Neg_002</t>
        </is>
      </c>
      <c r="C11" s="13" t="inlineStr">
        <is>
          <t>Spreading Screen</t>
        </is>
      </c>
      <c r="D11" s="13" t="inlineStr">
        <is>
          <t>Add New Item&gt;Tag at least 15 Zones.
Map values almost in complete model.
Add customer zones&gt;Map values to model.
Submit and continue&gt;switch value column.
Autofill values&gt; Switch to base mapped values.
Switch back to current mapping.</t>
        </is>
      </c>
      <c r="E11" s="13" t="inlineStr">
        <is>
          <t>Navigation should happen properly for base and current mapping. Zones should appear correct.</t>
        </is>
      </c>
      <c r="F11" s="80" t="inlineStr">
        <is>
          <t>Pending</t>
        </is>
      </c>
      <c r="G11" s="13" t="n"/>
      <c r="H11" s="366" t="inlineStr">
        <is>
          <t>Done</t>
        </is>
      </c>
      <c r="I11" s="29" t="n"/>
      <c r="J11" s="55" t="n"/>
    </row>
    <row r="12" ht="132.75" customHeight="1" thickBot="1">
      <c r="B12" s="13" t="inlineStr">
        <is>
          <t>Neg_003</t>
        </is>
      </c>
      <c r="C12" s="13" t="inlineStr">
        <is>
          <t>Spreading Screen</t>
        </is>
      </c>
      <c r="D12" s="13" t="inlineStr">
        <is>
          <t>1. Add new Customer FY 2019 wherein autofill be done via Taxonomy base. Map additional new item for FY 2018. Drop 5/6 zone. Add new rows as per the statement in FY 2018. Also tests - clear the zones and check whether all data is cleanly removed to check for any bugs.
2. After FY 2018, Submit and continue to autofill FY 2019 from same pdf.
3. Add New Item FY 2020 and do autofill.
4. Then lets test with same customer with its Quarterly filings (Q1, Q2,Q3 and Q4).</t>
        </is>
      </c>
      <c r="E12" s="13" t="inlineStr">
        <is>
          <t>1. The user should be able to Map values as per tagging.
2. Autofill should work.
3. Autofill should happen for next spread.
4. All the statements should be launched and spread properly.</t>
        </is>
      </c>
      <c r="F12" s="80" t="inlineStr">
        <is>
          <t>Pending</t>
        </is>
      </c>
      <c r="G12" s="13" t="n"/>
      <c r="H12" s="366" t="inlineStr">
        <is>
          <t>Pending</t>
        </is>
      </c>
      <c r="I12" s="29" t="n">
        <v>1</v>
      </c>
      <c r="J12" s="55" t="n"/>
    </row>
    <row r="13" ht="132.75" customHeight="1" thickBot="1">
      <c r="B13" s="13" t="inlineStr">
        <is>
          <t>Neg_004</t>
        </is>
      </c>
      <c r="C13" s="13" t="inlineStr">
        <is>
          <t>Spreading Screen</t>
        </is>
      </c>
      <c r="D13" s="13" t="inlineStr">
        <is>
          <t>1. Add new Customer FY 2018 where in autofill be done via Taxonomy base.
2. Add new rows as per the statement in FY 2018.
3. After FY 2018, Submit and continue to autofill FY 2019 from same pdf.
4. Add New Item for FY 2020, add different Statement type and frequency, so that the Previous doesn't become base of current.
5. Spread new item&gt;Click base spreads. Change to any of the previous base spread.
6. Drop zones and autofill from the previous spread.</t>
        </is>
      </c>
      <c r="E13" s="13" t="inlineStr">
        <is>
          <t>1. The user should be able to Map values as per tagging.
2. New rows should be added.
3. Autofill should happen for next spread.
4. Base spread should not be there.
5. Base spread should be loaded.
6. Autofill should happen.</t>
        </is>
      </c>
      <c r="F13" s="80" t="inlineStr">
        <is>
          <t>Pending</t>
        </is>
      </c>
      <c r="G13" s="13" t="n"/>
      <c r="H13" s="366" t="inlineStr">
        <is>
          <t>Pending</t>
        </is>
      </c>
      <c r="I13" s="29" t="n">
        <v>1</v>
      </c>
      <c r="J13" s="55" t="n"/>
    </row>
    <row r="14" ht="48.75" customHeight="1" thickBot="1">
      <c r="B14" s="13" t="inlineStr">
        <is>
          <t>Neg_005</t>
        </is>
      </c>
      <c r="C14" s="13" t="inlineStr">
        <is>
          <t>Spreading Screen - Excel</t>
        </is>
      </c>
      <c r="D14" s="13" t="inlineStr">
        <is>
          <t>1. Upload excel file&gt;map values&gt;Use template to autofill. 2.Then submit and continue.
3. Autofill&gt; Go to base spread button&gt;change base spread &gt; and Click model side value.</t>
        </is>
      </c>
      <c r="E14" s="13" t="inlineStr">
        <is>
          <t>Should be able to change the base spread and navigate to base spread.</t>
        </is>
      </c>
      <c r="F14" s="80" t="inlineStr">
        <is>
          <t>Pending</t>
        </is>
      </c>
      <c r="G14" s="13" t="n"/>
      <c r="H14" s="366" t="inlineStr">
        <is>
          <t>Pending</t>
        </is>
      </c>
      <c r="I14" s="29" t="n">
        <v>1</v>
      </c>
      <c r="J14" s="55" t="n"/>
    </row>
    <row r="15" ht="108.75" customHeight="1" thickBot="1">
      <c r="B15" s="13" t="inlineStr">
        <is>
          <t>Neg_006</t>
        </is>
      </c>
      <c r="C15" s="13" t="inlineStr">
        <is>
          <t>Spreading Screen</t>
        </is>
      </c>
      <c r="D15" s="13" t="inlineStr">
        <is>
          <t>Add Item&gt;Map values from 2 different zones.
Submit Spread.
Add New Item with same file but different Item details.
Spreading screen&gt;Base Spread&gt;make previous item as base spread.
Set zones and autofill for first zone only.
Navigate to base values from second zone.
Navigate back to current spread and Click any value&gt;Mapped Cells&gt;observe value.</t>
        </is>
      </c>
      <c r="E15" s="13" t="inlineStr">
        <is>
          <t>1. Should be able to submit spread.
2. Base spread should be added.
3. Zone 1 should be autofilled.
4. Once navigate back to current, Mapped cell should show Values mapped.</t>
        </is>
      </c>
      <c r="F15" s="80" t="inlineStr">
        <is>
          <t>Pending</t>
        </is>
      </c>
      <c r="G15" s="13" t="n"/>
      <c r="H15" s="366" t="inlineStr">
        <is>
          <t>Pending</t>
        </is>
      </c>
      <c r="I15" s="29" t="n">
        <v>1</v>
      </c>
      <c r="J15" s="55" t="n"/>
    </row>
    <row r="16" ht="24.75" customHeight="1" thickBot="1">
      <c r="B16" s="13" t="inlineStr">
        <is>
          <t>Neg_007</t>
        </is>
      </c>
      <c r="C16" s="13" t="inlineStr">
        <is>
          <t>Upload 20 Files in Bulk Upload</t>
        </is>
      </c>
      <c r="D16" s="13" t="inlineStr">
        <is>
          <t>Navigate to file store and upload 20 files at a time in bulk upload for different languages.</t>
        </is>
      </c>
      <c r="E16" s="13" t="inlineStr">
        <is>
          <t>The user should be able to upload different files.</t>
        </is>
      </c>
      <c r="F16" s="80" t="inlineStr">
        <is>
          <t>Pending</t>
        </is>
      </c>
      <c r="G16" s="13" t="inlineStr">
        <is>
          <t>Newly Added</t>
        </is>
      </c>
      <c r="H16" s="366" t="inlineStr">
        <is>
          <t>Pending</t>
        </is>
      </c>
      <c r="I16" s="29" t="n">
        <v>1</v>
      </c>
      <c r="J16" s="55" t="n"/>
    </row>
    <row r="17" ht="36.75" customHeight="1" thickBot="1">
      <c r="B17" s="13" t="inlineStr">
        <is>
          <t>Neg_008</t>
        </is>
      </c>
      <c r="C17" s="13" t="inlineStr">
        <is>
          <t>Document Navigation</t>
        </is>
      </c>
      <c r="D17" s="13" t="inlineStr">
        <is>
          <t>Spreading screen&gt;turn Document Navigation Off.
Navigate to some other customer item&gt;observe Document navigation should be same.</t>
        </is>
      </c>
      <c r="E17" s="13" t="inlineStr">
        <is>
          <t>Document Navigation should work correctly in both on and off states.
Once turned off and on again, it should work properly for all other customers as well.</t>
        </is>
      </c>
      <c r="F17" s="80" t="inlineStr">
        <is>
          <t>Pending</t>
        </is>
      </c>
      <c r="G17" s="13" t="inlineStr">
        <is>
          <t>Newly Added</t>
        </is>
      </c>
      <c r="H17" s="366" t="inlineStr">
        <is>
          <t>Pending</t>
        </is>
      </c>
      <c r="I17" s="29" t="n">
        <v>1</v>
      </c>
      <c r="J17" s="55" t="n"/>
    </row>
    <row r="18" ht="48.75" customHeight="1" thickBot="1">
      <c r="B18" s="13" t="inlineStr">
        <is>
          <t>Neg_009</t>
        </is>
      </c>
      <c r="C18" s="13" t="inlineStr">
        <is>
          <t>Clone Template</t>
        </is>
      </c>
      <c r="D18" s="13" t="inlineStr">
        <is>
          <t>Clone any model with template configured.
Select same group and taxonomy&gt; add template&gt;observe Copy existing template option should be present in Non-CL instance.</t>
        </is>
      </c>
      <c r="E18" s="13" t="inlineStr">
        <is>
          <t>Copy existing template should not be present for Non-CL instance.</t>
        </is>
      </c>
      <c r="F18" s="80" t="inlineStr">
        <is>
          <t>Pending</t>
        </is>
      </c>
      <c r="G18" s="13" t="inlineStr">
        <is>
          <t>Newly Added</t>
        </is>
      </c>
      <c r="H18" s="366" t="inlineStr">
        <is>
          <t>Pending</t>
        </is>
      </c>
      <c r="I18" s="29" t="n">
        <v>1</v>
      </c>
      <c r="J18" s="55" t="n"/>
    </row>
    <row r="19" ht="72.75" customHeight="1" thickBot="1">
      <c r="B19" s="13" t="inlineStr">
        <is>
          <t>Neg_010</t>
        </is>
      </c>
      <c r="C19" s="13" t="inlineStr">
        <is>
          <t>Smartfill/Errors Navigation</t>
        </is>
      </c>
      <c r="D19" s="13" t="inlineStr">
        <is>
          <t>Spreading screen&gt;map values&gt;submit and continue.
Autofill values &gt;view zones errors should be present in previous zones.
Click Smartfill overlay&gt;Under Previous zones header&gt;Click any zone&gt;it should navigate to base spread.</t>
        </is>
      </c>
      <c r="E19" s="13" t="inlineStr">
        <is>
          <t>When user navigates to base spread, it should navigate to the correct zone.</t>
        </is>
      </c>
      <c r="F19" s="80" t="inlineStr">
        <is>
          <t>Pending</t>
        </is>
      </c>
      <c r="G19" s="13" t="inlineStr">
        <is>
          <t>Newly Added</t>
        </is>
      </c>
      <c r="H19" s="366" t="inlineStr">
        <is>
          <t>Pending</t>
        </is>
      </c>
      <c r="I19" s="29" t="n">
        <v>1</v>
      </c>
      <c r="J19" s="55" t="n"/>
    </row>
    <row r="20" ht="48.75" customHeight="1" thickBot="1">
      <c r="B20" s="13" t="inlineStr">
        <is>
          <t>Neg_011</t>
        </is>
      </c>
      <c r="C20" s="13" t="inlineStr">
        <is>
          <t>Access Group</t>
        </is>
      </c>
      <c r="D20" s="13" t="inlineStr">
        <is>
          <t>Create new access group , verify it should be visible to all the users in user management.
Provide access to new user and verify data should be visible to New user when log in.</t>
        </is>
      </c>
      <c r="E20" s="13" t="inlineStr">
        <is>
          <t>New access group should be visible and data should be visible to user with access only.</t>
        </is>
      </c>
      <c r="F20" s="80" t="inlineStr">
        <is>
          <t>Pending</t>
        </is>
      </c>
      <c r="G20" s="13" t="inlineStr">
        <is>
          <t>Newly Added</t>
        </is>
      </c>
      <c r="H20" s="366" t="inlineStr">
        <is>
          <t>Pending</t>
        </is>
      </c>
      <c r="I20" s="29" t="n">
        <v>1</v>
      </c>
      <c r="J20" s="55" t="n"/>
    </row>
    <row r="21" ht="24.75" customHeight="1" thickBot="1">
      <c r="B21" s="13" t="inlineStr">
        <is>
          <t>Neg_012</t>
        </is>
      </c>
      <c r="C21" s="13" t="inlineStr">
        <is>
          <t>Autofill Template</t>
        </is>
      </c>
      <c r="D21" s="13" t="inlineStr">
        <is>
          <t>Add taxonomy, Configure template.
Modify taxonomy and then configure again and autofill.</t>
        </is>
      </c>
      <c r="E21" s="13" t="inlineStr">
        <is>
          <t>Autofill should work after modifying the taxonomy.</t>
        </is>
      </c>
      <c r="F21" s="80" t="inlineStr">
        <is>
          <t>Pending</t>
        </is>
      </c>
      <c r="G21" s="13" t="inlineStr">
        <is>
          <t>Newly Added</t>
        </is>
      </c>
      <c r="H21" s="366" t="inlineStr">
        <is>
          <t>Pending</t>
        </is>
      </c>
      <c r="I21" s="29" t="n">
        <v>1</v>
      </c>
      <c r="J21" s="55" t="n"/>
    </row>
    <row r="22" ht="36.75" customHeight="1" thickBot="1">
      <c r="B22" s="13" t="inlineStr">
        <is>
          <t>Neg_013</t>
        </is>
      </c>
      <c r="C22" s="13" t="inlineStr">
        <is>
          <t>Search Taxonomy</t>
        </is>
      </c>
      <c r="D22" s="13" t="inlineStr">
        <is>
          <t>Search taxonomy multiple times in global taxonomy management.
Search on next page.</t>
        </is>
      </c>
      <c r="E22" s="13" t="inlineStr">
        <is>
          <t>Results should be displayed every time.</t>
        </is>
      </c>
      <c r="F22" s="80" t="inlineStr">
        <is>
          <t>Pending</t>
        </is>
      </c>
      <c r="G22" s="13" t="inlineStr">
        <is>
          <t>Newly Added</t>
        </is>
      </c>
      <c r="H22" s="366" t="inlineStr">
        <is>
          <t>Pending</t>
        </is>
      </c>
      <c r="I22" s="29" t="n">
        <v>1</v>
      </c>
      <c r="J22" s="55" t="n"/>
    </row>
    <row r="23" ht="15.75" customHeight="1" thickBot="1">
      <c r="B23" s="13" t="inlineStr">
        <is>
          <t>Neg_014</t>
        </is>
      </c>
      <c r="C23" s="13" t="n"/>
      <c r="D23" s="13" t="n"/>
      <c r="E23" s="13" t="n"/>
      <c r="F23" s="80" t="inlineStr">
        <is>
          <t>Pending</t>
        </is>
      </c>
      <c r="G23" s="13" t="inlineStr">
        <is>
          <t>Newly Added</t>
        </is>
      </c>
      <c r="H23" s="366" t="inlineStr">
        <is>
          <t>Pending</t>
        </is>
      </c>
      <c r="I23" s="29" t="n">
        <v>1</v>
      </c>
      <c r="J23" s="55" t="n"/>
    </row>
    <row r="24" ht="96.75" customHeight="1" thickBot="1">
      <c r="B24" s="13" t="inlineStr">
        <is>
          <t>Neg_015</t>
        </is>
      </c>
      <c r="C24" s="13" t="inlineStr">
        <is>
          <t>Enter Key</t>
        </is>
      </c>
      <c r="D24" s="13" t="inlineStr">
        <is>
          <t>Verify ENTER key should work in all the screens while searching data.
Verify in Template add screen&gt;while adding template via taxonomy.
Verify in Keyword search in Exclusion, Notes Processing. Global Taxonomy.
Search in Covenant Management, Covenant Categoryand sub category.</t>
        </is>
      </c>
      <c r="E24" s="13" t="inlineStr">
        <is>
          <t>ENTER key should work during all the search operations.</t>
        </is>
      </c>
      <c r="F24" s="80" t="inlineStr">
        <is>
          <t>Pending</t>
        </is>
      </c>
      <c r="G24" s="13" t="inlineStr">
        <is>
          <t>Newly Added</t>
        </is>
      </c>
      <c r="H24" s="366" t="inlineStr">
        <is>
          <t>Pending</t>
        </is>
      </c>
      <c r="I24" s="29" t="n">
        <v>1</v>
      </c>
      <c r="J24" s="55" t="n"/>
    </row>
    <row r="25" ht="228.75" customHeight="1" thickBot="1">
      <c r="B25" s="13" t="inlineStr">
        <is>
          <t>Neg_016</t>
        </is>
      </c>
      <c r="C25" s="13" t="inlineStr">
        <is>
          <t>Item upload</t>
        </is>
      </c>
      <c r="D25" s="13" t="inlineStr">
        <is>
          <t>Add Item combinations :
Customer 1 (Group1).
1. Upload file + Model (With template).
2. Upload file + Model (Without template).
3. File from File store + Model (With template).
4. File from File store + Model (Without template).
5. Modify item + change Model (Without template) to Model (With template).
6. Existing Items with spread, draft and received status should be present.
Customer 2 (Group2).
1. Upload file + Model (With template).
2. Upload file + Model (Without template).
3. File from File store + Model (With template).
4. File from File store + Model (Without template).
5. Modify item + change Model (Without template) to Model (With template).
6. Existing Items with spread, draft and received status should be present.</t>
        </is>
      </c>
      <c r="E25" s="13" t="inlineStr">
        <is>
          <t>Item should be created in all the cases.</t>
        </is>
      </c>
      <c r="F25" s="80" t="inlineStr">
        <is>
          <t>Pending</t>
        </is>
      </c>
      <c r="G25" s="13" t="inlineStr">
        <is>
          <t>Newly Added</t>
        </is>
      </c>
      <c r="H25" s="366" t="inlineStr">
        <is>
          <t>Pending</t>
        </is>
      </c>
      <c r="I25" s="29" t="n">
        <v>1</v>
      </c>
      <c r="J25" s="55" t="n"/>
    </row>
    <row r="26" ht="48.75" customHeight="1" thickBot="1">
      <c r="B26" s="13" t="inlineStr">
        <is>
          <t>Neg_017</t>
        </is>
      </c>
      <c r="C26" s="13" t="n"/>
      <c r="D26" s="13" t="inlineStr">
        <is>
          <t>Add Item &gt;pick file from file store&gt;navigate back to map files screen&gt;Click back&gt; Click view item listing screen.
Navigate back again&gt;Click view item listing screen.</t>
        </is>
      </c>
      <c r="E26" s="13" t="n"/>
      <c r="F26" s="80" t="inlineStr">
        <is>
          <t>Pending</t>
        </is>
      </c>
      <c r="G26" s="13" t="inlineStr">
        <is>
          <t>Newly Added</t>
        </is>
      </c>
      <c r="H26" s="366" t="inlineStr">
        <is>
          <t>Pending</t>
        </is>
      </c>
      <c r="I26" s="29" t="n">
        <v>1</v>
      </c>
      <c r="J26" s="55" t="n"/>
    </row>
    <row r="27" ht="36.75" customHeight="1" thickBot="1">
      <c r="B27" s="13" t="inlineStr">
        <is>
          <t>Neg_018</t>
        </is>
      </c>
      <c r="C27" s="13" t="n"/>
      <c r="D27" s="13" t="inlineStr">
        <is>
          <t>Draw table&gt;detect table.
Select zone name&gt;map mode&gt;set value column.
Check zone name list&gt;should show selected zone only.</t>
        </is>
      </c>
      <c r="E27" s="13" t="n"/>
      <c r="F27" s="80" t="inlineStr">
        <is>
          <t>Pending</t>
        </is>
      </c>
      <c r="G27" s="13" t="inlineStr">
        <is>
          <t>Newly Added</t>
        </is>
      </c>
      <c r="H27" s="366" t="inlineStr">
        <is>
          <t>Pending</t>
        </is>
      </c>
      <c r="I27" s="29" t="n">
        <v>1</v>
      </c>
      <c r="J27" s="55" t="n"/>
    </row>
    <row r="28" ht="36.75" customHeight="1" thickBot="1">
      <c r="B28" s="13" t="inlineStr">
        <is>
          <t>Neg_019</t>
        </is>
      </c>
      <c r="C28" s="13" t="inlineStr">
        <is>
          <t>Autofill selecting current financial column</t>
        </is>
      </c>
      <c r="D28" s="13" t="inlineStr">
        <is>
          <t>Spreading screen&gt;set value column.
Select Current financial item column&gt;autofill current page.</t>
        </is>
      </c>
      <c r="E28" s="13" t="inlineStr">
        <is>
          <t>System should Autofill without any error.</t>
        </is>
      </c>
      <c r="F28" s="80" t="inlineStr">
        <is>
          <t>Pending</t>
        </is>
      </c>
      <c r="G28" s="13" t="inlineStr">
        <is>
          <t>Newly Added</t>
        </is>
      </c>
      <c r="H28" s="366" t="inlineStr">
        <is>
          <t>Pending</t>
        </is>
      </c>
      <c r="I28" s="29" t="n">
        <v>1</v>
      </c>
      <c r="J28" s="55" t="n"/>
    </row>
    <row r="29" ht="84.75" customHeight="1" thickBot="1">
      <c r="B29" s="13" t="inlineStr">
        <is>
          <t>Neg_020</t>
        </is>
      </c>
      <c r="C29" s="13" t="inlineStr">
        <is>
          <t>Software Version</t>
        </is>
      </c>
      <c r="D29" s="13" t="inlineStr">
        <is>
          <t>Version number standard : &lt;Year&gt;.&lt;Release&gt;.&lt;Patch&gt;.&lt;Build&gt;.
Stability phase-1 release number should be: 2022.1.1.XXX.
Stability phase-2 release number should be: 2022.2.1.XXX.
Clean and Split pdf release number should be: 2022.2.2.XXX.</t>
        </is>
      </c>
      <c r="E29" s="13" t="inlineStr">
        <is>
          <t>Mentioned format should be followed in the SS instances.</t>
        </is>
      </c>
      <c r="F29" s="80" t="inlineStr">
        <is>
          <t>Pending</t>
        </is>
      </c>
      <c r="G29" s="13" t="inlineStr">
        <is>
          <t>Newly Added</t>
        </is>
      </c>
      <c r="H29" s="366" t="inlineStr">
        <is>
          <t>Pending</t>
        </is>
      </c>
      <c r="I29" s="29" t="n">
        <v>1</v>
      </c>
      <c r="J29" s="55" t="n"/>
    </row>
    <row r="30" ht="36.75" customHeight="1" thickBot="1">
      <c r="B30" s="13" t="inlineStr">
        <is>
          <t>Neg_021</t>
        </is>
      </c>
      <c r="C30" s="13" t="inlineStr">
        <is>
          <t>Active/Inactive Locked customer</t>
        </is>
      </c>
      <c r="D30" s="13" t="inlineStr">
        <is>
          <t>Launch Spread and abruptly close the spreading screen which should lock the item.
Now try to Inactive the customer and observe.</t>
        </is>
      </c>
      <c r="E30" s="13" t="inlineStr">
        <is>
          <t>Active/Inactive button should be disabled when item is locked.
Click disabled buttons, it should not respond.</t>
        </is>
      </c>
      <c r="F30" s="80" t="inlineStr">
        <is>
          <t>Pending</t>
        </is>
      </c>
      <c r="G30" s="13" t="inlineStr">
        <is>
          <t>Newly Added</t>
        </is>
      </c>
      <c r="H30" s="366" t="inlineStr">
        <is>
          <t>Pending</t>
        </is>
      </c>
      <c r="I30" s="29" t="n">
        <v>1</v>
      </c>
      <c r="J30" s="55" t="n"/>
    </row>
    <row r="31" ht="15.75" customHeight="1" thickBot="1">
      <c r="B31" s="13" t="inlineStr">
        <is>
          <t>Neg_022</t>
        </is>
      </c>
      <c r="C31" s="13" t="inlineStr">
        <is>
          <t>Upload Large files</t>
        </is>
      </c>
      <c r="D31" s="13" t="inlineStr">
        <is>
          <t>Add Item&gt;upload 150 MB, 200MB, 700MB and 1 GB files.</t>
        </is>
      </c>
      <c r="E31" s="13" t="inlineStr">
        <is>
          <t>The user should be able to upload files up to 1 GB.</t>
        </is>
      </c>
      <c r="F31" s="80" t="inlineStr">
        <is>
          <t>Pending</t>
        </is>
      </c>
      <c r="G31" s="13" t="inlineStr">
        <is>
          <t>Newly Added</t>
        </is>
      </c>
      <c r="H31" s="366" t="inlineStr">
        <is>
          <t>Pending</t>
        </is>
      </c>
      <c r="I31" s="29" t="n">
        <v>1</v>
      </c>
      <c r="J31" s="55" t="n"/>
    </row>
    <row r="32" ht="36.75" customHeight="1" thickBot="1">
      <c r="B32" s="13" t="inlineStr">
        <is>
          <t>Neg_023</t>
        </is>
      </c>
      <c r="C32" s="13" t="inlineStr">
        <is>
          <t>Value column modify</t>
        </is>
      </c>
      <c r="D32" s="13" t="inlineStr">
        <is>
          <t>Spreading screen&gt;set zone and select value.
Edit mode&gt;delete any column in between the table.
Verify value column.</t>
        </is>
      </c>
      <c r="E32" s="13" t="inlineStr">
        <is>
          <t>Value column should remain in the selected column.</t>
        </is>
      </c>
      <c r="F32" s="80" t="inlineStr">
        <is>
          <t>Pending</t>
        </is>
      </c>
      <c r="G32" s="13" t="inlineStr">
        <is>
          <t>Newly Added</t>
        </is>
      </c>
      <c r="H32" s="366" t="inlineStr">
        <is>
          <t>Pending</t>
        </is>
      </c>
      <c r="I32" s="29" t="n">
        <v>1</v>
      </c>
      <c r="J32" s="55" t="n"/>
    </row>
    <row r="33" ht="60.75" customHeight="1" thickBot="1">
      <c r="B33" s="13" t="inlineStr">
        <is>
          <t>Neg_024</t>
        </is>
      </c>
      <c r="C33" s="13" t="inlineStr">
        <is>
          <t>Model validations</t>
        </is>
      </c>
      <c r="D33" s="13" t="inlineStr">
        <is>
          <t>Create new model with few line items.
Add Validation and formula cells.
Give reference of Validation and other value cells for sum in Formula cell.
Save model.</t>
        </is>
      </c>
      <c r="E33" s="13" t="inlineStr">
        <is>
          <t>Model should throw an error while saving formula with validation reference.</t>
        </is>
      </c>
      <c r="F33" s="80" t="inlineStr">
        <is>
          <t>Pending</t>
        </is>
      </c>
      <c r="G33" s="13" t="inlineStr">
        <is>
          <t>Newly Added</t>
        </is>
      </c>
      <c r="H33" s="366" t="inlineStr">
        <is>
          <t>Pending</t>
        </is>
      </c>
      <c r="I33" s="29" t="n">
        <v>1</v>
      </c>
      <c r="J33" s="55" t="n"/>
    </row>
    <row r="34" ht="36.75" customHeight="1" thickBot="1">
      <c r="B34" s="13" t="inlineStr">
        <is>
          <t>Neg_025</t>
        </is>
      </c>
      <c r="C34" s="13" t="inlineStr">
        <is>
          <t>Case sensitivity while login</t>
        </is>
      </c>
      <c r="D34" s="13" t="inlineStr">
        <is>
          <t>Log in Credentials- Case sensitivity is applicable in domain id while logging into the system.
Verify log in with @Evalueserve.com.</t>
        </is>
      </c>
      <c r="E34" s="13" t="inlineStr">
        <is>
          <t>The user should be able to log in with Evalueserve.com as well.</t>
        </is>
      </c>
      <c r="F34" s="80" t="inlineStr">
        <is>
          <t>Pending</t>
        </is>
      </c>
      <c r="G34" s="13" t="inlineStr">
        <is>
          <t>Newly Added</t>
        </is>
      </c>
      <c r="H34" s="366" t="inlineStr">
        <is>
          <t>Pending</t>
        </is>
      </c>
      <c r="I34" s="29" t="n">
        <v>1</v>
      </c>
      <c r="J34" s="55" t="inlineStr">
        <is>
          <t>Bug exists.</t>
        </is>
      </c>
    </row>
    <row r="35" ht="24.75" customHeight="1" thickBot="1">
      <c r="B35" s="13" t="inlineStr">
        <is>
          <t>Neg_026</t>
        </is>
      </c>
      <c r="C35" s="13" t="inlineStr">
        <is>
          <t>Language change</t>
        </is>
      </c>
      <c r="D35" s="13" t="inlineStr">
        <is>
          <t>Prompt up (for processing) while changing the language for the first time.</t>
        </is>
      </c>
      <c r="E35" s="13" t="n"/>
      <c r="F35" s="80" t="inlineStr">
        <is>
          <t>Pending</t>
        </is>
      </c>
      <c r="G35" s="13" t="inlineStr">
        <is>
          <t>Newly Added</t>
        </is>
      </c>
      <c r="H35" s="366" t="inlineStr">
        <is>
          <t>Pending</t>
        </is>
      </c>
      <c r="I35" s="29" t="n">
        <v>1</v>
      </c>
      <c r="J35" s="55" t="n"/>
    </row>
    <row r="36" ht="24.75" customHeight="1" thickBot="1">
      <c r="B36" s="13" t="inlineStr">
        <is>
          <t>Neg_027</t>
        </is>
      </c>
      <c r="C36" s="13" t="inlineStr">
        <is>
          <t>Expression</t>
        </is>
      </c>
      <c r="D36" s="13" t="inlineStr">
        <is>
          <t>Spreading screen&gt;map same value twice in a cell&gt;Try to remove one value.</t>
        </is>
      </c>
      <c r="E36" s="13" t="inlineStr">
        <is>
          <t>The user should be able to remove the value.</t>
        </is>
      </c>
      <c r="F36" s="80" t="inlineStr">
        <is>
          <t>Pending</t>
        </is>
      </c>
      <c r="G36" s="13" t="inlineStr">
        <is>
          <t>Newly Added</t>
        </is>
      </c>
      <c r="H36" s="366" t="inlineStr">
        <is>
          <t>Pending</t>
        </is>
      </c>
      <c r="I36" s="29" t="n">
        <v>1</v>
      </c>
      <c r="J36" s="55" t="inlineStr">
        <is>
          <t>Bug exists.</t>
        </is>
      </c>
    </row>
    <row r="37" ht="36.75" customHeight="1" thickBot="1">
      <c r="B37" s="13" t="inlineStr">
        <is>
          <t>Neg_028</t>
        </is>
      </c>
      <c r="C37" s="13" t="inlineStr">
        <is>
          <t>Expression</t>
        </is>
      </c>
      <c r="D37" s="13" t="inlineStr">
        <is>
          <t>Spreading screen&gt;there should be some validation fail.
Click submit spread&gt;observe validation highlighted.
Correct.</t>
        </is>
      </c>
      <c r="E37" s="13" t="inlineStr">
        <is>
          <t>Validation should turn red while saving or submitting spread and on resuming the spread, it should return to normal.</t>
        </is>
      </c>
      <c r="F37" s="80" t="inlineStr">
        <is>
          <t>Pending</t>
        </is>
      </c>
      <c r="G37" s="13" t="inlineStr">
        <is>
          <t>Newly Added</t>
        </is>
      </c>
      <c r="H37" s="366" t="inlineStr">
        <is>
          <t>Done</t>
        </is>
      </c>
      <c r="I37" s="29" t="n"/>
      <c r="J37" s="55" t="n"/>
    </row>
    <row r="38" ht="36.75" customHeight="1" thickBot="1">
      <c r="B38" s="13" t="inlineStr">
        <is>
          <t>Neg_029</t>
        </is>
      </c>
      <c r="C38" s="13" t="inlineStr">
        <is>
          <t>Expression</t>
        </is>
      </c>
      <c r="D38" s="13" t="inlineStr">
        <is>
          <t>Spreading&gt;Click base period&gt;edit base period cell&gt;add manual value.
Cell should turn blue.</t>
        </is>
      </c>
      <c r="E38" s="13" t="inlineStr">
        <is>
          <t>When user enter manual value in base, cell should be highlighted blue.</t>
        </is>
      </c>
      <c r="F38" s="80" t="inlineStr">
        <is>
          <t>Pending</t>
        </is>
      </c>
      <c r="G38" s="13" t="inlineStr">
        <is>
          <t>Newly Added</t>
        </is>
      </c>
      <c r="H38" s="366" t="inlineStr">
        <is>
          <t>Done</t>
        </is>
      </c>
      <c r="I38" s="29" t="n"/>
      <c r="J38" s="55" t="n"/>
    </row>
    <row r="39" ht="24.75" customHeight="1" thickBot="1">
      <c r="B39" s="13" t="inlineStr">
        <is>
          <t>Neg_030</t>
        </is>
      </c>
      <c r="C39" s="13" t="inlineStr">
        <is>
          <t>Expression</t>
        </is>
      </c>
      <c r="D39" s="13" t="inlineStr">
        <is>
          <t>Editing of previous period coming along with current period and both period also coming selected.</t>
        </is>
      </c>
      <c r="E39" s="13" t="inlineStr">
        <is>
          <t>Should show only one period data.</t>
        </is>
      </c>
      <c r="F39" s="80" t="inlineStr">
        <is>
          <t>Pending</t>
        </is>
      </c>
      <c r="G39" s="13" t="inlineStr">
        <is>
          <t>Newly Added</t>
        </is>
      </c>
      <c r="H39" s="366" t="inlineStr">
        <is>
          <t>Pending</t>
        </is>
      </c>
      <c r="I39" s="29" t="n">
        <v>1</v>
      </c>
      <c r="J39" s="55" t="n"/>
    </row>
    <row r="40" ht="36.75" customHeight="1" thickBot="1">
      <c r="B40" s="13" t="inlineStr">
        <is>
          <t>Neg_031</t>
        </is>
      </c>
      <c r="C40" s="13" t="inlineStr">
        <is>
          <t>Expression</t>
        </is>
      </c>
      <c r="D40" s="13" t="inlineStr">
        <is>
          <t>Map multiple values in any cell&gt; create long expressions like A+B-C/D*B(-contra)+A/100(Conversion).
Try to edit expression from formula bar.</t>
        </is>
      </c>
      <c r="E40" s="13" t="inlineStr">
        <is>
          <t>The user should be able to edit expression without any error.</t>
        </is>
      </c>
      <c r="F40" s="80" t="inlineStr">
        <is>
          <t>Pending</t>
        </is>
      </c>
      <c r="G40" s="13" t="inlineStr">
        <is>
          <t>Newly Added</t>
        </is>
      </c>
      <c r="H40" s="366" t="inlineStr">
        <is>
          <t>Done</t>
        </is>
      </c>
      <c r="I40" s="29" t="n"/>
      <c r="J40" s="55" t="n"/>
    </row>
    <row r="41" ht="36.75" customHeight="1" thickBot="1">
      <c r="B41" s="13" t="inlineStr">
        <is>
          <t>Neg_032</t>
        </is>
      </c>
      <c r="C41" s="13" t="inlineStr">
        <is>
          <t>Taxonomy - Keyword with space</t>
        </is>
      </c>
      <c r="D41" s="13" t="inlineStr">
        <is>
          <t>Upload taxonomy&gt;add keyword and synonym same but with space.
Please refer to the attached file.</t>
        </is>
      </c>
      <c r="E41" s="13" t="inlineStr">
        <is>
          <t>Duplicate keywords should not be added.</t>
        </is>
      </c>
      <c r="F41" s="80" t="inlineStr">
        <is>
          <t>Pending</t>
        </is>
      </c>
      <c r="G41" s="13" t="inlineStr">
        <is>
          <t>Newly Added</t>
        </is>
      </c>
      <c r="H41" s="366" t="inlineStr">
        <is>
          <t>Pending</t>
        </is>
      </c>
      <c r="I41" s="29" t="n">
        <v>1</v>
      </c>
      <c r="J41" s="105" t="inlineStr">
        <is>
          <t>..\Downloads\Download-1.xlsx</t>
        </is>
      </c>
    </row>
    <row r="42" ht="24.75" customHeight="1" thickBot="1">
      <c r="B42" s="13" t="inlineStr">
        <is>
          <t>Neg_033</t>
        </is>
      </c>
      <c r="C42" s="13" t="inlineStr">
        <is>
          <t>Map duplicate values</t>
        </is>
      </c>
      <c r="D42" s="13" t="inlineStr">
        <is>
          <t>Map duplicate values in a value cell and submit.
Submit and continue&gt;autofill duplicate values.</t>
        </is>
      </c>
      <c r="E42" s="13" t="inlineStr">
        <is>
          <t>Should be able to autofill all the mapped values.</t>
        </is>
      </c>
      <c r="F42" s="80" t="inlineStr">
        <is>
          <t>Pending</t>
        </is>
      </c>
      <c r="G42" s="13" t="inlineStr">
        <is>
          <t>Newly Added</t>
        </is>
      </c>
      <c r="H42" s="366" t="inlineStr">
        <is>
          <t>Pending</t>
        </is>
      </c>
      <c r="I42" s="29" t="n">
        <v>1</v>
      </c>
      <c r="J42" s="55" t="n"/>
    </row>
    <row r="43" ht="48.75" customHeight="1" thickBot="1">
      <c r="B43" s="13" t="inlineStr">
        <is>
          <t>Neg_034</t>
        </is>
      </c>
      <c r="C43" s="13" t="inlineStr">
        <is>
          <t>Expression</t>
        </is>
      </c>
      <c r="D43" s="13" t="inlineStr">
        <is>
          <t>Map values in model.
Expression is A+B+C.
Keep cursor in front of A in formula bar and apply operator -.</t>
        </is>
      </c>
      <c r="E43" s="13" t="inlineStr">
        <is>
          <t>Operator should not be applied.</t>
        </is>
      </c>
      <c r="F43" s="80" t="inlineStr">
        <is>
          <t>Pending</t>
        </is>
      </c>
      <c r="G43" s="13" t="inlineStr">
        <is>
          <t>Newly Added</t>
        </is>
      </c>
      <c r="H43" s="366" t="inlineStr">
        <is>
          <t>Done</t>
        </is>
      </c>
      <c r="I43" s="29" t="n"/>
      <c r="J43" s="55" t="inlineStr">
        <is>
          <t>Bug exists.</t>
        </is>
      </c>
    </row>
    <row r="44" ht="48.75" customHeight="1" thickBot="1">
      <c r="B44" s="13" t="inlineStr">
        <is>
          <t>Neg_035</t>
        </is>
      </c>
      <c r="C44" s="13" t="inlineStr">
        <is>
          <t>Expression</t>
        </is>
      </c>
      <c r="D44" s="13" t="inlineStr">
        <is>
          <t>Map values in model.
Expression is A+B+C.
Keep cursor in front of B in formula bar and apply operator -.</t>
        </is>
      </c>
      <c r="E44" s="13" t="inlineStr">
        <is>
          <t>Operator should not be applied.</t>
        </is>
      </c>
      <c r="F44" s="80" t="inlineStr">
        <is>
          <t>Pending</t>
        </is>
      </c>
      <c r="G44" s="13" t="inlineStr">
        <is>
          <t>Newly Added</t>
        </is>
      </c>
      <c r="H44" s="366" t="inlineStr">
        <is>
          <t>Done</t>
        </is>
      </c>
      <c r="I44" s="29" t="n"/>
      <c r="J44" s="55" t="inlineStr">
        <is>
          <t>Bug exists.</t>
        </is>
      </c>
    </row>
    <row r="45" ht="48.75" customHeight="1" thickBot="1">
      <c r="B45" s="13" t="inlineStr">
        <is>
          <t>Neg_036</t>
        </is>
      </c>
      <c r="C45" s="13" t="inlineStr">
        <is>
          <t>Expression</t>
        </is>
      </c>
      <c r="D45" s="13" t="inlineStr">
        <is>
          <t>Map values in model.
Expression is A+B+C.
Keep cursor in front of C in formula bar and apply operator multiply *.</t>
        </is>
      </c>
      <c r="E45" s="13" t="inlineStr">
        <is>
          <t>Operator should not be applied.</t>
        </is>
      </c>
      <c r="F45" s="80" t="inlineStr">
        <is>
          <t>Pending</t>
        </is>
      </c>
      <c r="G45" s="13" t="inlineStr">
        <is>
          <t>Newly Added</t>
        </is>
      </c>
      <c r="H45" s="366" t="inlineStr">
        <is>
          <t>Done</t>
        </is>
      </c>
      <c r="I45" s="29" t="n"/>
      <c r="J45" s="55" t="inlineStr">
        <is>
          <t>Bug exists.</t>
        </is>
      </c>
    </row>
    <row r="46" ht="48.75" customHeight="1" thickBot="1">
      <c r="B46" s="13" t="inlineStr">
        <is>
          <t>Neg_037</t>
        </is>
      </c>
      <c r="C46" s="13" t="inlineStr">
        <is>
          <t>Unit Modify</t>
        </is>
      </c>
      <c r="D46" s="13" t="inlineStr">
        <is>
          <t>Spreading Screen&gt;Map values in model cells.
Click any category/validation/formula cell.
Edit spreading metadata&gt;Change Unit.
Save as draft&gt;submit spread.</t>
        </is>
      </c>
      <c r="E46" s="13" t="inlineStr">
        <is>
          <t>Should be able to change the unit from spreading metadata.
The user should be able to save and submit the spread.</t>
        </is>
      </c>
      <c r="F46" s="80" t="inlineStr">
        <is>
          <t>Pending</t>
        </is>
      </c>
      <c r="G46" s="13" t="n"/>
      <c r="H46" s="366" t="inlineStr">
        <is>
          <t>Pending</t>
        </is>
      </c>
      <c r="I46" s="29" t="n">
        <v>1</v>
      </c>
      <c r="J46" s="55" t="n"/>
    </row>
    <row r="47" ht="60.75" customHeight="1" thickBot="1">
      <c r="B47" s="13" t="inlineStr">
        <is>
          <t>Neg_038</t>
        </is>
      </c>
      <c r="C47" s="13" t="inlineStr">
        <is>
          <t>Search Global Taxonomy</t>
        </is>
      </c>
      <c r="D47" s="13" t="inlineStr">
        <is>
          <t>Global taxonomy management&gt;search keywords on different pages.
Reset and search again by changing the page.
Navigate to some other taxonomy group&gt;search synonyms and keywords.</t>
        </is>
      </c>
      <c r="E47" s="13" t="inlineStr">
        <is>
          <t>Search results should appear in all the screens.</t>
        </is>
      </c>
      <c r="F47" s="80" t="inlineStr">
        <is>
          <t>Pending</t>
        </is>
      </c>
      <c r="G47" s="13" t="n"/>
      <c r="H47" s="366" t="inlineStr">
        <is>
          <t>Pending</t>
        </is>
      </c>
      <c r="I47" s="29" t="n">
        <v>1</v>
      </c>
      <c r="J47" s="55" t="n"/>
    </row>
    <row r="48" ht="36.75" customHeight="1" thickBot="1">
      <c r="B48" s="13" t="inlineStr">
        <is>
          <t>Neg_039</t>
        </is>
      </c>
      <c r="C48" s="13" t="inlineStr">
        <is>
          <t>Base Meta Data</t>
        </is>
      </c>
      <c r="D48" s="13" t="inlineStr">
        <is>
          <t>Click Base spread cell&gt;Click base metadata icon.
Click Base spread from top&gt;Click Current spread cell.</t>
        </is>
      </c>
      <c r="E48" s="13" t="inlineStr">
        <is>
          <t>Observe metadata window appears for both,.</t>
        </is>
      </c>
      <c r="F48" s="80" t="inlineStr">
        <is>
          <t>Pending</t>
        </is>
      </c>
      <c r="G48" s="13" t="n"/>
      <c r="H48" s="366" t="inlineStr">
        <is>
          <t>Pending</t>
        </is>
      </c>
      <c r="I48" s="29" t="n">
        <v>1</v>
      </c>
      <c r="J48" s="55" t="n"/>
    </row>
    <row r="49" ht="60.75" customHeight="1" thickBot="1">
      <c r="B49" s="13" t="inlineStr">
        <is>
          <t>Neg_040</t>
        </is>
      </c>
      <c r="C49" s="13" t="inlineStr">
        <is>
          <t>Draw zone for 3000 Lines</t>
        </is>
      </c>
      <c r="D49" s="13" t="inlineStr">
        <is>
          <t>Excel spreading should be present with draw 3000 line items.
Draw table &gt;map zone.
Map values.
Submit spread.</t>
        </is>
      </c>
      <c r="E49" s="13" t="inlineStr">
        <is>
          <t>No lag should be observed even with large data.</t>
        </is>
      </c>
      <c r="F49" s="80" t="inlineStr">
        <is>
          <t>Pending</t>
        </is>
      </c>
      <c r="G49" s="13" t="n"/>
      <c r="H49" s="366" t="inlineStr">
        <is>
          <t>Pending</t>
        </is>
      </c>
      <c r="I49" s="29" t="n">
        <v>1</v>
      </c>
      <c r="J49" s="55" t="n"/>
    </row>
    <row r="50" ht="36.75" customHeight="1" thickBot="1">
      <c r="B50" s="13" t="inlineStr">
        <is>
          <t>Neg_041</t>
        </is>
      </c>
      <c r="C50" s="13" t="inlineStr">
        <is>
          <t>Duplicate Items</t>
        </is>
      </c>
      <c r="D50" s="13" t="inlineStr">
        <is>
          <t>Add 2 files &gt;clean all.
Add New Item&gt;add same set of files&gt;spread.
Exit spreading screen&gt;spread again.</t>
        </is>
      </c>
      <c r="E50" s="13" t="inlineStr">
        <is>
          <t>The user should be able to create duplicate items.
Once spread, spreading screen should launch for both the items without any error.</t>
        </is>
      </c>
      <c r="F50" s="80" t="inlineStr">
        <is>
          <t>Pending</t>
        </is>
      </c>
      <c r="G50" s="13" t="inlineStr">
        <is>
          <t>Newly Added</t>
        </is>
      </c>
      <c r="H50" s="366" t="inlineStr">
        <is>
          <t>Pending</t>
        </is>
      </c>
      <c r="I50" s="29" t="n">
        <v>1</v>
      </c>
      <c r="J50" s="55" t="n"/>
    </row>
    <row r="51" ht="36" customHeight="1">
      <c r="B51" s="13" t="inlineStr">
        <is>
          <t>Neg_042</t>
        </is>
      </c>
      <c r="C51" s="103" t="inlineStr">
        <is>
          <t>Manual value remove</t>
        </is>
      </c>
      <c r="D51" s="13" t="inlineStr">
        <is>
          <t>Spreading Screen&gt;Map manual value,.
Then Map 2-3 values from the table to the same cell.
Remove values using backspace including manual value.</t>
        </is>
      </c>
      <c r="E51" s="13" t="inlineStr">
        <is>
          <t>The user should be able to remove all the values.</t>
        </is>
      </c>
      <c r="F51" s="80" t="inlineStr">
        <is>
          <t>Pending</t>
        </is>
      </c>
      <c r="G51" s="13" t="inlineStr">
        <is>
          <t>Newly Added</t>
        </is>
      </c>
      <c r="H51" s="366" t="inlineStr">
        <is>
          <t>Pending</t>
        </is>
      </c>
      <c r="I51" s="29" t="n">
        <v>1</v>
      </c>
      <c r="J51" s="55" t="inlineStr">
        <is>
          <t>Not fixed yet</t>
        </is>
      </c>
    </row>
  </sheetData>
  <mergeCells count="7">
    <mergeCell ref="B6:C6"/>
    <mergeCell ref="B7:C7"/>
    <mergeCell ref="B2:F2"/>
    <mergeCell ref="B3:C3"/>
    <mergeCell ref="B5:C5"/>
    <mergeCell ref="B8:C8"/>
    <mergeCell ref="B4:C4"/>
  </mergeCells>
  <conditionalFormatting sqref="D3">
    <cfRule type="expression" priority="87" dxfId="51" stopIfTrue="1">
      <formula>AND(COUNTIF($A$8:$A$8, D3)+COUNTIF(#REF!, D3)&gt;1,NOT(ISBLANK(D3)))</formula>
    </cfRule>
  </conditionalFormatting>
  <conditionalFormatting sqref="D4">
    <cfRule type="cellIs" priority="58" operator="lessThan" dxfId="10" stopIfTrue="1">
      <formula>1</formula>
    </cfRule>
  </conditionalFormatting>
  <conditionalFormatting sqref="D4:D8">
    <cfRule type="cellIs" priority="53" operator="greaterThan" dxfId="9" stopIfTrue="1">
      <formula>0</formula>
    </cfRule>
    <cfRule type="cellIs" priority="54" operator="greaterThan" dxfId="9" stopIfTrue="1">
      <formula>1</formula>
    </cfRule>
    <cfRule type="cellIs" priority="55" operator="greaterThan" dxfId="10" stopIfTrue="1">
      <formula>0</formula>
    </cfRule>
    <cfRule type="cellIs" priority="56" operator="greaterThan" dxfId="10" stopIfTrue="1">
      <formula>1</formula>
    </cfRule>
    <cfRule type="cellIs" priority="57" operator="equal" dxfId="9" stopIfTrue="1">
      <formula>$C$3</formula>
    </cfRule>
  </conditionalFormatting>
  <conditionalFormatting sqref="D5:D8">
    <cfRule type="cellIs" priority="46" operator="lessThan" dxfId="10" stopIfTrue="1">
      <formula>1</formula>
    </cfRule>
  </conditionalFormatting>
  <conditionalFormatting sqref="E4">
    <cfRule type="cellIs" priority="85" operator="equal" dxfId="9" stopIfTrue="1">
      <formula>1</formula>
    </cfRule>
    <cfRule type="cellIs" priority="86" operator="lessThan" dxfId="10" stopIfTrue="1">
      <formula>1</formula>
    </cfRule>
  </conditionalFormatting>
  <conditionalFormatting sqref="E5:E8">
    <cfRule type="cellIs" priority="59" operator="equal" dxfId="9" stopIfTrue="1">
      <formula>1</formula>
    </cfRule>
    <cfRule type="cellIs" priority="60" operator="lessThan" dxfId="10" stopIfTrue="1">
      <formula>1</formula>
    </cfRule>
    <cfRule type="cellIs" priority="61" operator="equal" dxfId="9" stopIfTrue="1">
      <formula>1</formula>
    </cfRule>
    <cfRule type="cellIs" priority="62" operator="lessThan" dxfId="10" stopIfTrue="1">
      <formula>1</formula>
    </cfRule>
  </conditionalFormatting>
  <conditionalFormatting sqref="E4:F4">
    <cfRule type="cellIs" priority="81" operator="equal" dxfId="9" stopIfTrue="1">
      <formula>1</formula>
    </cfRule>
    <cfRule type="cellIs" priority="82" operator="lessThan" dxfId="10" stopIfTrue="1">
      <formula>1</formula>
    </cfRule>
  </conditionalFormatting>
  <conditionalFormatting sqref="F4">
    <cfRule type="cellIs" priority="79" operator="equal" dxfId="9" stopIfTrue="1">
      <formula>1</formula>
    </cfRule>
    <cfRule type="cellIs" priority="80" operator="lessThan" dxfId="10" stopIfTrue="1">
      <formula>1</formula>
    </cfRule>
  </conditionalFormatting>
  <conditionalFormatting sqref="F5">
    <cfRule type="cellIs" priority="75" operator="greaterThan" dxfId="10" stopIfTrue="1">
      <formula>0</formula>
    </cfRule>
    <cfRule type="cellIs" priority="76" operator="equal" dxfId="9" stopIfTrue="1">
      <formula>0</formula>
    </cfRule>
    <cfRule type="cellIs" priority="77" operator="greaterThan" dxfId="10" stopIfTrue="1">
      <formula>0</formula>
    </cfRule>
    <cfRule type="cellIs" priority="78" operator="equal" dxfId="9" stopIfTrue="1">
      <formula>0</formula>
    </cfRule>
  </conditionalFormatting>
  <conditionalFormatting sqref="F6">
    <cfRule type="cellIs" priority="73" operator="equal" dxfId="9" stopIfTrue="1">
      <formula>0</formula>
    </cfRule>
    <cfRule type="cellIs" priority="74" operator="greaterThan" dxfId="22" stopIfTrue="1">
      <formula>0</formula>
    </cfRule>
  </conditionalFormatting>
  <conditionalFormatting sqref="F6:F7">
    <cfRule type="cellIs" priority="69" operator="equal" dxfId="9" stopIfTrue="1">
      <formula>0</formula>
    </cfRule>
    <cfRule type="cellIs" priority="70" operator="greaterThan" dxfId="22" stopIfTrue="1">
      <formula>0</formula>
    </cfRule>
  </conditionalFormatting>
  <conditionalFormatting sqref="F7:F8">
    <cfRule type="cellIs" priority="65" operator="equal" dxfId="9" stopIfTrue="1">
      <formula>0</formula>
    </cfRule>
    <cfRule type="cellIs" priority="66" operator="greaterThan" dxfId="22" stopIfTrue="1">
      <formula>0</formula>
    </cfRule>
  </conditionalFormatting>
  <conditionalFormatting sqref="F8">
    <cfRule type="cellIs" priority="63" operator="equal" dxfId="9" stopIfTrue="1">
      <formula>0</formula>
    </cfRule>
    <cfRule type="cellIs" priority="64" operator="greaterThan" dxfId="22" stopIfTrue="1">
      <formula>0</formula>
    </cfRule>
  </conditionalFormatting>
  <conditionalFormatting sqref="F10:F51">
    <cfRule type="cellIs" priority="88" operator="equal" dxfId="6" stopIfTrue="1">
      <formula>"NA"</formula>
    </cfRule>
    <cfRule type="cellIs" priority="89" operator="equal" dxfId="5" stopIfTrue="1">
      <formula>"Blocked"</formula>
    </cfRule>
    <cfRule type="cellIs" priority="90" operator="equal" dxfId="4" stopIfTrue="1">
      <formula>"Pending"</formula>
    </cfRule>
    <cfRule type="cellIs" priority="91" operator="equal" dxfId="0" stopIfTrue="1">
      <formula>"Passed"</formula>
    </cfRule>
    <cfRule type="cellIs" priority="92" operator="equal" dxfId="1" stopIfTrue="1">
      <formula>"Failed"</formula>
    </cfRule>
    <cfRule type="cellIs" priority="93" operator="equal" dxfId="1" stopIfTrue="1">
      <formula>"Fail"</formula>
    </cfRule>
    <cfRule type="cellIs" priority="94" operator="equal" dxfId="0" stopIfTrue="1">
      <formula>"Pass"</formula>
    </cfRule>
  </conditionalFormatting>
  <conditionalFormatting sqref="G5:G8">
    <cfRule type="cellIs" priority="19" operator="lessThan" dxfId="10" stopIfTrue="1">
      <formula>1</formula>
    </cfRule>
    <cfRule type="cellIs" priority="20" operator="greaterThan" dxfId="9" stopIfTrue="1">
      <formula>0</formula>
    </cfRule>
    <cfRule type="cellIs" priority="21" operator="greaterThan" dxfId="9" stopIfTrue="1">
      <formula>1</formula>
    </cfRule>
    <cfRule type="cellIs" priority="22" operator="greaterThan" dxfId="10" stopIfTrue="1">
      <formula>0</formula>
    </cfRule>
    <cfRule type="cellIs" priority="23" operator="greaterThan" dxfId="10" stopIfTrue="1">
      <formula>1</formula>
    </cfRule>
    <cfRule type="cellIs" priority="24" operator="equal" dxfId="9" stopIfTrue="1">
      <formula>$C$3</formula>
    </cfRule>
  </conditionalFormatting>
  <conditionalFormatting sqref="H10:H51">
    <cfRule type="cellIs" priority="1" operator="equal" dxfId="0">
      <formula>"Done"</formula>
    </cfRule>
    <cfRule type="cellIs" priority="2" operator="equal" dxfId="7">
      <formula>"Pending"</formula>
    </cfRule>
    <cfRule type="cellIs" priority="3" operator="equal" dxfId="6" stopIfTrue="1">
      <formula>"NA"</formula>
    </cfRule>
    <cfRule type="cellIs" priority="4" operator="equal" dxfId="5" stopIfTrue="1">
      <formula>"Blocked"</formula>
    </cfRule>
    <cfRule type="cellIs" priority="5" operator="equal" dxfId="4" stopIfTrue="1">
      <formula>"Pending"</formula>
    </cfRule>
    <cfRule type="cellIs" priority="6" operator="equal" dxfId="0" stopIfTrue="1">
      <formula>"Passed"</formula>
    </cfRule>
    <cfRule type="cellIs" priority="7" operator="equal" dxfId="1" stopIfTrue="1">
      <formula>"Failed"</formula>
    </cfRule>
    <cfRule type="cellIs" priority="8" operator="equal" dxfId="1" stopIfTrue="1">
      <formula>"Fail"</formula>
    </cfRule>
    <cfRule type="cellIs" priority="9" operator="equal" dxfId="0" stopIfTrue="1">
      <formula>"Pass"</formula>
    </cfRule>
  </conditionalFormatting>
  <dataValidations count="2">
    <dataValidation sqref="F10:F51" showDropDown="0" showInputMessage="1" showErrorMessage="1" allowBlank="1" type="list">
      <formula1>"Passed,Failed,Blocked,Pending,NA"</formula1>
    </dataValidation>
    <dataValidation sqref="H10:H51" showDropDown="0" showInputMessage="1" showErrorMessage="1" allowBlank="1" type="list">
      <formula1>"Done,Blocked,Pending,Out of Scope"</formula1>
    </dataValidation>
  </dataValidations>
  <hyperlinks>
    <hyperlink xmlns:r="http://schemas.openxmlformats.org/officeDocument/2006/relationships" ref="J41" r:id="rId1"/>
  </hyperlink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31.xml><?xml version="1.0" encoding="utf-8"?>
<worksheet xmlns="http://schemas.openxmlformats.org/spreadsheetml/2006/main">
  <sheetPr>
    <outlinePr summaryBelow="1" summaryRight="1"/>
    <pageSetUpPr/>
  </sheetPr>
  <dimension ref="C1:D68"/>
  <sheetViews>
    <sheetView showGridLines="0" topLeftCell="B7" workbookViewId="0">
      <selection activeCell="D18" sqref="D18"/>
    </sheetView>
  </sheetViews>
  <sheetFormatPr baseColWidth="8" defaultRowHeight="14.25"/>
  <cols>
    <col width="4.28515625" customWidth="1" style="99" min="1" max="1"/>
    <col width="3.5703125" customWidth="1" style="99" min="2" max="2"/>
    <col width="30.7109375" customWidth="1" style="99" min="3" max="3"/>
    <col width="123.5703125" customWidth="1" style="99" min="4" max="4"/>
    <col width="9.140625" customWidth="1" style="99" min="5" max="16384"/>
  </cols>
  <sheetData>
    <row r="1" ht="9" customHeight="1"/>
    <row r="2" ht="25.5" customHeight="1">
      <c r="C2" s="100" t="inlineStr">
        <is>
          <t>Module/Sub-Module</t>
        </is>
      </c>
      <c r="D2" s="100" t="inlineStr">
        <is>
          <t>Areas of Impact</t>
        </is>
      </c>
    </row>
    <row r="3">
      <c r="C3" s="373" t="inlineStr">
        <is>
          <t>Model/Model Line Items</t>
        </is>
      </c>
      <c r="D3" s="101" t="inlineStr">
        <is>
          <t>Create/Modify Model (Global)</t>
        </is>
      </c>
    </row>
    <row r="4">
      <c r="C4" s="400" t="n"/>
      <c r="D4" s="101" t="inlineStr">
        <is>
          <t>Customer Model (Edit Model in Spreading Screen)</t>
        </is>
      </c>
    </row>
    <row r="5">
      <c r="C5" s="400" t="n"/>
      <c r="D5" s="101" t="inlineStr">
        <is>
          <t>Insert Row, Relabel Line Item</t>
        </is>
      </c>
    </row>
    <row r="6">
      <c r="C6" s="400" t="n"/>
      <c r="D6" s="101" t="inlineStr">
        <is>
          <t>Template Create/Modify Screen</t>
        </is>
      </c>
    </row>
    <row r="7">
      <c r="C7" s="400" t="n"/>
      <c r="D7" s="101" t="inlineStr">
        <is>
          <t>Item Create/Modify (Metadata), Item Details (Item Listing)</t>
        </is>
      </c>
    </row>
    <row r="8">
      <c r="C8" s="400" t="n"/>
      <c r="D8" s="101" t="inlineStr">
        <is>
          <t>Spreading Metadata, Submit and Continue</t>
        </is>
      </c>
    </row>
    <row r="9">
      <c r="C9" s="400" t="n"/>
      <c r="D9" s="101" t="inlineStr">
        <is>
          <t>Statement Export</t>
        </is>
      </c>
    </row>
    <row r="10">
      <c r="C10" s="400" t="n"/>
      <c r="D10" s="101" t="inlineStr">
        <is>
          <t>Reports (Spreading, Customer Details)</t>
        </is>
      </c>
    </row>
    <row r="11">
      <c r="C11" s="400" t="n"/>
      <c r="D11" s="101" t="inlineStr">
        <is>
          <t>Notes Processing Management</t>
        </is>
      </c>
    </row>
    <row r="12">
      <c r="C12" s="400" t="n"/>
      <c r="D12" s="101" t="inlineStr">
        <is>
          <t>Configuration Management - Variance</t>
        </is>
      </c>
    </row>
    <row r="13">
      <c r="C13" s="7" t="n"/>
      <c r="D13" s="101" t="inlineStr">
        <is>
          <t>Covenant Creation/Modification</t>
        </is>
      </c>
    </row>
    <row r="14">
      <c r="C14" s="373" t="inlineStr">
        <is>
          <t>Customer</t>
        </is>
      </c>
      <c r="D14" s="101" t="inlineStr">
        <is>
          <t>Create/Modify Customer</t>
        </is>
      </c>
    </row>
    <row r="15">
      <c r="C15" s="400" t="n"/>
      <c r="D15" s="101" t="inlineStr">
        <is>
          <t>Item Metadata</t>
        </is>
      </c>
    </row>
    <row r="16">
      <c r="C16" s="400" t="n"/>
      <c r="D16" s="101" t="inlineStr">
        <is>
          <t>Spreading Details</t>
        </is>
      </c>
    </row>
    <row r="17">
      <c r="C17" s="400" t="n"/>
      <c r="D17" s="101" t="inlineStr">
        <is>
          <t>Statement Export</t>
        </is>
      </c>
    </row>
    <row r="18" ht="28.5" customHeight="1">
      <c r="C18" s="400" t="n"/>
      <c r="D18" s="102" t="inlineStr">
        <is>
          <t>Reports (Spreading, Customer Details, Customer Taxonomy, Document Quality, Audit Log for Customer Taxonomy, Audit Log for Customer Item, Audit Log for Maker/Checker, All Covenant Reports)</t>
        </is>
      </c>
    </row>
    <row r="19">
      <c r="C19" s="7" t="n"/>
      <c r="D19" s="101" t="inlineStr">
        <is>
          <t>Covenant Creation/Modification</t>
        </is>
      </c>
    </row>
    <row r="20" ht="15" customHeight="1">
      <c r="C20" s="373" t="inlineStr">
        <is>
          <t>Group</t>
        </is>
      </c>
      <c r="D20" s="101" t="inlineStr">
        <is>
          <t>Dashboard</t>
        </is>
      </c>
    </row>
    <row r="21">
      <c r="C21" s="400" t="n"/>
      <c r="D21" s="101" t="inlineStr">
        <is>
          <t>Customer Creation/Modification</t>
        </is>
      </c>
    </row>
    <row r="22">
      <c r="C22" s="400" t="n"/>
      <c r="D22" s="101" t="inlineStr">
        <is>
          <t>Item Create/Modify (Metadata), Item Details (Item Listing)</t>
        </is>
      </c>
    </row>
    <row r="23">
      <c r="C23" s="400" t="n"/>
      <c r="D23" s="101" t="inlineStr">
        <is>
          <t>Spreading Metadata, Submit and Continue</t>
        </is>
      </c>
    </row>
    <row r="24">
      <c r="C24" s="400" t="n"/>
      <c r="D24" s="101" t="inlineStr">
        <is>
          <t>Statement Export</t>
        </is>
      </c>
    </row>
    <row r="25">
      <c r="C25" s="400" t="n"/>
      <c r="D25" s="101" t="inlineStr">
        <is>
          <t>Reports (Spreading, Customer, User, OCR Usage, Document Quality, Audit Log for Maker/Checker, All Covenant Reports)</t>
        </is>
      </c>
    </row>
    <row r="26">
      <c r="C26" s="400" t="n"/>
      <c r="D26" s="101" t="inlineStr">
        <is>
          <t>Notes Processing Management</t>
        </is>
      </c>
    </row>
    <row r="27">
      <c r="C27" s="400" t="n"/>
      <c r="D27" s="101" t="inlineStr">
        <is>
          <t>Configuration Management - Variance, Access Group-Based QC</t>
        </is>
      </c>
    </row>
    <row r="28">
      <c r="C28" s="7" t="n"/>
      <c r="D28" s="101" t="inlineStr">
        <is>
          <t>Covenant Creation/Modification</t>
        </is>
      </c>
    </row>
    <row r="29">
      <c r="C29" s="373" t="inlineStr">
        <is>
          <t>Notes Processing</t>
        </is>
      </c>
      <c r="D29" s="101" t="inlineStr">
        <is>
          <t>Notes Processing Management</t>
        </is>
      </c>
    </row>
    <row r="30">
      <c r="C30" s="400" t="n"/>
      <c r="D30" s="101" t="inlineStr">
        <is>
          <t>Template Create/Modify Screen</t>
        </is>
      </c>
    </row>
    <row r="31">
      <c r="C31" s="400" t="n"/>
      <c r="D31" s="101" t="inlineStr">
        <is>
          <t>Free Text Mapping &gt; Add Keyword Dropdown</t>
        </is>
      </c>
    </row>
    <row r="32">
      <c r="C32" s="400" t="n"/>
      <c r="D32" s="101" t="inlineStr">
        <is>
          <t>Spreading Screen - AI Prediction</t>
        </is>
      </c>
    </row>
    <row r="33">
      <c r="C33" s="400" t="n"/>
      <c r="D33" s="101" t="inlineStr">
        <is>
          <t>Autofill (All Keywords)</t>
        </is>
      </c>
    </row>
    <row r="34">
      <c r="C34" s="7" t="n"/>
      <c r="D34" s="101" t="inlineStr">
        <is>
          <t>Submit and Continue, Predictions, and Mapping</t>
        </is>
      </c>
    </row>
    <row r="35">
      <c r="C35" s="373" t="inlineStr">
        <is>
          <t>Document Classification</t>
        </is>
      </c>
      <c r="D35" s="101" t="inlineStr">
        <is>
          <t>Add/Modify Item</t>
        </is>
      </c>
    </row>
    <row r="36">
      <c r="C36" s="400" t="n"/>
      <c r="D36" s="101" t="inlineStr">
        <is>
          <t>File Store, Bulk Upload</t>
        </is>
      </c>
    </row>
    <row r="37">
      <c r="C37" s="400" t="n"/>
      <c r="D37" s="101" t="inlineStr">
        <is>
          <t>Item Metadata, Item Details (Item Listing)</t>
        </is>
      </c>
    </row>
    <row r="38">
      <c r="C38" s="7" t="n"/>
      <c r="D38" s="101" t="inlineStr">
        <is>
          <t>Spreading Metadata, Submit and Continue</t>
        </is>
      </c>
    </row>
    <row r="39">
      <c r="C39" s="373" t="inlineStr">
        <is>
          <t>Maker Checker</t>
        </is>
      </c>
      <c r="D39" s="101" t="inlineStr">
        <is>
          <t>Configuration Management</t>
        </is>
      </c>
    </row>
    <row r="40">
      <c r="C40" s="400" t="n"/>
      <c r="D40" s="101" t="inlineStr">
        <is>
          <t>User Management - All Users</t>
        </is>
      </c>
    </row>
    <row r="41">
      <c r="C41" s="400" t="n"/>
      <c r="D41" s="101" t="inlineStr">
        <is>
          <t>Create/Modify Customer</t>
        </is>
      </c>
    </row>
    <row r="42">
      <c r="C42" s="400" t="n"/>
      <c r="D42" s="101" t="inlineStr">
        <is>
          <t>Item Metadata (Group, Audit Method, Model)</t>
        </is>
      </c>
    </row>
    <row r="43">
      <c r="C43" s="400" t="n"/>
      <c r="D43" s="101" t="inlineStr">
        <is>
          <t>Item Listing (QC Icon, Direct submit for QC Button in Actions)</t>
        </is>
      </c>
    </row>
    <row r="44">
      <c r="C44" s="400" t="n"/>
      <c r="D44" s="101" t="inlineStr">
        <is>
          <t>Spreading Screen (Model, Submit Spread Button, Submit for QC)</t>
        </is>
      </c>
    </row>
    <row r="45">
      <c r="C45" s="400" t="n"/>
      <c r="D45" s="101" t="inlineStr">
        <is>
          <t>Quality Check (QC Pool, Non- QC Pool, Rejected Pool), Direct Submit Item button in QC pool</t>
        </is>
      </c>
    </row>
    <row r="46">
      <c r="C46" s="7" t="n"/>
      <c r="D46" s="101" t="inlineStr">
        <is>
          <t>Reports (Audit log for Maker and Checker)</t>
        </is>
      </c>
    </row>
    <row r="47">
      <c r="C47" s="373" t="inlineStr">
        <is>
          <t>Spreading Ribbon buttons</t>
        </is>
      </c>
      <c r="D47" s="101" t="inlineStr">
        <is>
          <t>Spreading Screen (Base and Current Item)</t>
        </is>
      </c>
    </row>
    <row r="48">
      <c r="C48" s="400" t="n"/>
      <c r="D48" s="101" t="inlineStr">
        <is>
          <t>Template Creation/modify Screen (Base and Current)</t>
        </is>
      </c>
    </row>
    <row r="49">
      <c r="C49" s="400" t="n"/>
      <c r="D49" s="101" t="inlineStr">
        <is>
          <t>AI/ML Tagging Screen (Few Available)</t>
        </is>
      </c>
    </row>
    <row r="50">
      <c r="C50" s="7" t="n"/>
      <c r="D50" s="101" t="inlineStr">
        <is>
          <t>Quality Check (QC Pool, Non- QC Pool, Rejected Pool)</t>
        </is>
      </c>
    </row>
    <row r="51">
      <c r="C51" s="373" t="inlineStr">
        <is>
          <t>Global Zones</t>
        </is>
      </c>
      <c r="D51" s="101" t="inlineStr">
        <is>
          <t>Global Zone Management</t>
        </is>
      </c>
    </row>
    <row r="52">
      <c r="C52" s="400" t="n"/>
      <c r="D52" s="101" t="inlineStr">
        <is>
          <t>Spreading Screen (Base and Current Item)</t>
        </is>
      </c>
    </row>
    <row r="53">
      <c r="C53" s="400" t="n"/>
      <c r="D53" s="101" t="inlineStr">
        <is>
          <t>Table detection, Customer Zone ribbon</t>
        </is>
      </c>
    </row>
    <row r="54">
      <c r="C54" s="400" t="n"/>
      <c r="D54" s="101" t="inlineStr">
        <is>
          <t>Autofill (Normal and matrix zone)</t>
        </is>
      </c>
    </row>
    <row r="55">
      <c r="C55" s="400" t="n"/>
      <c r="D55" s="101" t="inlineStr">
        <is>
          <t>Change Base Spread</t>
        </is>
      </c>
    </row>
    <row r="56">
      <c r="C56" s="400" t="n"/>
      <c r="D56" s="101" t="inlineStr">
        <is>
          <t>Template Creation/modify Screen (Base and Current)</t>
        </is>
      </c>
    </row>
    <row r="57">
      <c r="C57" s="400" t="n"/>
      <c r="D57" s="101" t="inlineStr">
        <is>
          <t>AI/ML Tagging Screen</t>
        </is>
      </c>
    </row>
    <row r="58">
      <c r="C58" s="400" t="n"/>
      <c r="D58" s="101" t="inlineStr">
        <is>
          <t>Quality Check (QC Pool, Non- QC Pool, Rejected Pool)</t>
        </is>
      </c>
    </row>
    <row r="59">
      <c r="C59" s="7" t="n"/>
      <c r="D59" s="101" t="inlineStr">
        <is>
          <t>Reports (Audit log for Maker and Checker)</t>
        </is>
      </c>
    </row>
    <row r="60">
      <c r="C60" s="373" t="inlineStr">
        <is>
          <t>Customer Zone</t>
        </is>
      </c>
      <c r="D60" s="101" t="inlineStr">
        <is>
          <t>Spreading Screen (Base and Current Item)</t>
        </is>
      </c>
    </row>
    <row r="61">
      <c r="C61" s="400" t="n"/>
      <c r="D61" s="101" t="inlineStr">
        <is>
          <t>Table detection, Customer Zone ribbon</t>
        </is>
      </c>
    </row>
    <row r="62">
      <c r="C62" s="400" t="n"/>
      <c r="D62" s="101" t="inlineStr">
        <is>
          <t>Autofill (Normal and matrix zone)</t>
        </is>
      </c>
    </row>
    <row r="63">
      <c r="C63" s="400" t="n"/>
      <c r="D63" s="101" t="inlineStr">
        <is>
          <t>Quality Check (QC Pool, Non- QC Pool, Rejected Pool)</t>
        </is>
      </c>
    </row>
    <row r="64">
      <c r="C64" s="7" t="n"/>
      <c r="D64" s="101" t="inlineStr">
        <is>
          <t>Reports (Audit log for Maker and Checker)</t>
        </is>
      </c>
    </row>
    <row r="65">
      <c r="C65" s="373" t="inlineStr">
        <is>
          <t>Clean Pdf</t>
        </is>
      </c>
      <c r="D65" s="101" t="inlineStr">
        <is>
          <t>Spreading Screen, Single Page, Subsequent Spread</t>
        </is>
      </c>
    </row>
    <row r="66">
      <c r="C66" s="7" t="n"/>
      <c r="D66" s="101" t="inlineStr">
        <is>
          <t>Item Modify Screen</t>
        </is>
      </c>
    </row>
    <row r="67">
      <c r="C67" s="373" t="inlineStr">
        <is>
          <t>Global Taxonomy</t>
        </is>
      </c>
      <c r="D67" s="101" t="inlineStr">
        <is>
          <t>Create and Modify Template, Configure Template, Template Autofill, Copy Template, Use Existing Taxonomy</t>
        </is>
      </c>
    </row>
    <row r="68">
      <c r="C68" s="7" t="n"/>
      <c r="D68" s="101" t="inlineStr">
        <is>
          <t>Spreading Screen - Autofill</t>
        </is>
      </c>
    </row>
  </sheetData>
  <mergeCells count="11">
    <mergeCell ref="C67:C68"/>
    <mergeCell ref="C65:C66"/>
    <mergeCell ref="C3:C13"/>
    <mergeCell ref="C39:C46"/>
    <mergeCell ref="C51:C59"/>
    <mergeCell ref="C29:C34"/>
    <mergeCell ref="C47:C50"/>
    <mergeCell ref="C20:C28"/>
    <mergeCell ref="C60:C64"/>
    <mergeCell ref="C14:C19"/>
    <mergeCell ref="C35:C38"/>
  </mergeCells>
  <pageMargins left="0.7" right="0.7" top="0.75" bottom="0.75" header="0.3" footer="0.3"/>
  <pageSetup orientation="portrait" horizontalDpi="90" verticalDpi="90"/>
  <headerFooter>
    <oddHeader/>
    <oddFooter>&amp;L&amp;"Calibri"&amp;10 &amp;K000000_x000d_# Sensitivity: Public</oddFooter>
    <evenHeader/>
    <evenFooter/>
    <firstHeader/>
    <firstFooter/>
  </headerFooter>
</worksheet>
</file>

<file path=xl/worksheets/sheet32.xml><?xml version="1.0" encoding="utf-8"?>
<worksheet xmlns="http://schemas.openxmlformats.org/spreadsheetml/2006/main">
  <sheetPr>
    <outlinePr summaryBelow="1" summaryRight="1"/>
    <pageSetUpPr/>
  </sheetPr>
  <dimension ref="A1:E39"/>
  <sheetViews>
    <sheetView workbookViewId="0">
      <selection activeCell="D38" sqref="D38"/>
    </sheetView>
  </sheetViews>
  <sheetFormatPr baseColWidth="8" defaultRowHeight="15"/>
  <cols>
    <col width="29.5703125" customWidth="1" min="2" max="2"/>
    <col width="46.7109375" customWidth="1" min="3" max="3"/>
    <col width="86.42578125" customWidth="1" min="4" max="4"/>
    <col width="71.140625" customWidth="1" min="5" max="5"/>
  </cols>
  <sheetData>
    <row r="1">
      <c r="C1" s="3" t="n"/>
      <c r="D1" s="3" t="n"/>
      <c r="E1" s="3" t="n"/>
    </row>
    <row r="2" ht="15.75" customHeight="1" thickBot="1">
      <c r="C2" s="3" t="n"/>
      <c r="D2" s="3" t="n"/>
      <c r="E2" s="3" t="n"/>
    </row>
    <row r="3" ht="21.75" customHeight="1" thickBot="1">
      <c r="A3" s="269" t="inlineStr">
        <is>
          <t>Sr. No.</t>
        </is>
      </c>
      <c r="B3" s="269" t="inlineStr">
        <is>
          <t>Module</t>
        </is>
      </c>
      <c r="C3" s="270" t="inlineStr">
        <is>
          <t>Entry Criteria</t>
        </is>
      </c>
      <c r="D3" s="270" t="inlineStr">
        <is>
          <t>Test Steps</t>
        </is>
      </c>
      <c r="E3" s="270" t="inlineStr">
        <is>
          <t>Expected Result</t>
        </is>
      </c>
    </row>
    <row r="4" ht="192" customHeight="1" thickBot="1">
      <c r="A4" s="271" t="inlineStr">
        <is>
          <t>TC_001</t>
        </is>
      </c>
      <c r="B4" s="272" t="inlineStr">
        <is>
          <t>Reporting &gt; Efficiency Report</t>
        </is>
      </c>
      <c r="C4" s="273" t="inlineStr">
        <is>
          <t>Verify that the user can download the Excel version of the Efficiency Report from the Report - Spreading Details screen.</t>
        </is>
      </c>
      <c r="D4" s="213" t="inlineStr">
        <is>
          <t>1. Log in and navigate to the Dashboard page.
2. Under the "Spreading" tab, click "Existing Customer".
3. On the "Existing Customer" screen, open a customer using the "View" action.
4. On the "Existing Items" screen, click "Add Item", upload the file, complete the required details, and save the item.
5. Open the created item, click "Spread", perform the required spreading actions, and submit the spread.
6. Return to the Dashboard, click "Reporting", and open "Report - Spreading Details".
7. Under the "Spreading" category, click "Efficiency Report" and review the available filters.
8. Select the required filters, choose the "Excel" option, and click "Generate Report".</t>
        </is>
      </c>
      <c r="E4" s="274" t="inlineStr">
        <is>
          <t>The Excel report should download successfully and display all required Efficiency Report details.</t>
        </is>
      </c>
    </row>
    <row r="5" ht="192" customHeight="1" thickBot="1">
      <c r="A5" s="271" t="inlineStr">
        <is>
          <t>TC_002</t>
        </is>
      </c>
      <c r="B5" s="275" t="inlineStr">
        <is>
          <t>Reporting &gt; Efficiency Report</t>
        </is>
      </c>
      <c r="C5" s="276" t="inlineStr">
        <is>
          <t>Verify that the user can download the HTML version of the Efficiency Report from the Report - Spreading Details screen.</t>
        </is>
      </c>
      <c r="D5" s="93" t="inlineStr">
        <is>
          <t>1. Log in and navigate to the Dashboard page.
2. Under the "Spreading" tab, click "Existing Customer".
3. On the "Existing Customer" screen, open a customer using the "View" action.
4. On the "Existing Items" screen, click "Add Item", upload the file, complete the required details, and save the item.
5. Open the created item, click "Spread", perform the required spreading actions, and submit the spread.
6. Return to the Dashboard, click "Reporting", and open "Report - Spreading Details".
7. Under the "Spreading" category, click "Efficiency Report" and review the available filters.
8. Select the required filters, choose the "HTML" option, and click "Generate Report".</t>
        </is>
      </c>
      <c r="E5" s="277" t="inlineStr">
        <is>
          <t>The HTML report should download successfully and display all required Efficiency Report details.</t>
        </is>
      </c>
    </row>
    <row r="6" ht="192" customHeight="1" thickBot="1">
      <c r="A6" s="271" t="inlineStr">
        <is>
          <t>TC_003</t>
        </is>
      </c>
      <c r="B6" s="275" t="inlineStr">
        <is>
          <t>Reporting &gt; Efficiency Report</t>
        </is>
      </c>
      <c r="C6" s="278" t="inlineStr">
        <is>
          <t>Verify that the user can download the PDF version of the Efficiency Report from the Report - Spreading Details screen.</t>
        </is>
      </c>
      <c r="D6" s="204" t="inlineStr">
        <is>
          <t>1. Log in and navigate to the Dashboard page.
2. Under the "Spreading" tab, click "Existing Customer".
3. On the "Existing Customer" screen, open a customer using the "View" action.
4. On the "Existing Items" screen, click "Add Item", upload the file, complete the required details, and save the item.
5. Open the created item, click "Spread", perform the required spreading actions, and submit the spread.
6. Return to the Dashboard, click "Reporting", and open "Report - Spreading Details".
7. Under the "Spreading" category, click "Efficiency Report" and review the available filters.
8. Select the required filters, choose the "PDF" option, and click "Generate Report".</t>
        </is>
      </c>
      <c r="E6" s="279" t="inlineStr">
        <is>
          <t>The PDF report should download successfully and display all required Efficiency Report details.</t>
        </is>
      </c>
    </row>
    <row r="7" ht="192" customHeight="1" thickBot="1">
      <c r="A7" s="271" t="inlineStr">
        <is>
          <t>TC_004</t>
        </is>
      </c>
      <c r="B7" s="280" t="inlineStr">
        <is>
          <t>Reporting &gt; Efficiency Report</t>
        </is>
      </c>
      <c r="C7" s="281" t="inlineStr">
        <is>
          <t>Verify the layout of the generated PDF Efficiency Report.</t>
        </is>
      </c>
      <c r="D7" s="204" t="inlineStr">
        <is>
          <t>1. Log in and navigate to the Dashboard page.
2. Under the "Spreading" tab, click "Existing Customer".
3. On the "Existing Customer" screen, open a customer using the "View" action.
4. On the "Existing Items" screen, click "Add Item", upload the file, complete the required details, and save the item.
5. Open the created item, click "Spread", perform the required spreading actions, and submit the spread.
6. Return to the Dashboard, click "Reporting", and open "Report - Spreading Details".
7. Under the "Spreading" category, click "Efficiency Report" and review the available filters.
8. Select the required filters, choose the "PDF" option, and click "Generate Report".</t>
        </is>
      </c>
      <c r="E7" s="279" t="inlineStr">
        <is>
          <t>All report columns should be visible in a single PDF page as expected.</t>
        </is>
      </c>
    </row>
    <row r="8" ht="179.25" customHeight="1" thickBot="1">
      <c r="A8" s="271" t="inlineStr">
        <is>
          <t>TC_005</t>
        </is>
      </c>
      <c r="B8" s="282" t="inlineStr">
        <is>
          <t>Reporting &gt; Efficiency Report</t>
        </is>
      </c>
      <c r="C8" s="283" t="inlineStr">
        <is>
          <t>Verify that the required filters for generating the Efficiency Report are displayed on the Report - Spreading Details screen.</t>
        </is>
      </c>
      <c r="D8" s="92" t="inlineStr">
        <is>
          <t>1. Log in and navigate to the Dashboard page.
2. Under the "Spreading" tab, click "Existing Customer".
3. On the "Existing Customer" screen, open a customer using the "View" action.
4. On the "Existing Items" screen, click "Add Item", upload the file, complete the required details, and save the item.
5. Open the created item, click "Spread", perform the required spreading actions, and submit the spread.
6. Return to the Dashboard, click "Reporting", and open "Report - Spreading Details".
7. Under the "Spreading" category, click "Efficiency Report".
8. Review the filters available on the report screen.</t>
        </is>
      </c>
      <c r="E8" s="284" t="inlineStr">
        <is>
          <t>The following filters should be displayed:
1. Model Name
2. Customer Name - Multi-select
3. Analyst Name - Multi-select
4. Spread Type - Multi-select
5. Action Date
6. Statement Date Range
7. Frequency</t>
        </is>
      </c>
    </row>
    <row r="9" ht="204.75" customHeight="1" thickBot="1">
      <c r="A9" s="271" t="inlineStr">
        <is>
          <t>TC_006</t>
        </is>
      </c>
      <c r="B9" s="275" t="inlineStr">
        <is>
          <t>Reporting &gt; Efficiency Report</t>
        </is>
      </c>
      <c r="C9" s="285" t="inlineStr">
        <is>
          <t>Verify the serial number sequence in the downloadable Efficiency Report.</t>
        </is>
      </c>
      <c r="D9" s="92" t="inlineStr">
        <is>
          <t>1. Log in and navigate to the Dashboard page.
2. Under the "Spreading" tab, click "Existing Customer".
3. On the "Existing Customer" screen, open a customer using the "View" action.
4. On the "Existing Items" screen, click "Add Item", upload the file, complete the required details, and save the item.
5. Open the created item, click "Spread", perform the required actions, and submit the spread.
6. Return to the Dashboard, click "Reporting", and open "Report - Spreading Details".
7. Under the "Spreading" category, click "Efficiency Report" and review the available filters.
8. Select the required filters and click "Generate Report".
9. Verify the "Sr. No." column in the generated report.</t>
        </is>
      </c>
      <c r="E9" s="286" t="inlineStr">
        <is>
          <t>The Sr. No. sequence should appear in the correct order in the Efficiency Report.</t>
        </is>
      </c>
    </row>
    <row r="10" ht="204.75" customHeight="1" thickBot="1">
      <c r="A10" s="271" t="inlineStr">
        <is>
          <t>TC_007</t>
        </is>
      </c>
      <c r="B10" s="275" t="inlineStr">
        <is>
          <t>Reporting &gt; Efficiency Report</t>
        </is>
      </c>
      <c r="C10" s="283" t="inlineStr">
        <is>
          <t>Verify the Customer Name column in the downloadable Efficiency Report.</t>
        </is>
      </c>
      <c r="D10" s="92" t="inlineStr">
        <is>
          <t>1. Log in and navigate to the Dashboard page.
2. Under the "Spreading" tab, click "Existing Customer".
3. On the "Existing Customer" screen, open a customer using the "View" action.
4. On the "Existing Items" screen, click "Add Item", upload the file, complete the required details, and save the item.
5. Open the created item, click "Spread", perform the required actions, and submit the spread.
6. Return to the Dashboard, click "Reporting", and open "Report - Spreading Details".
7. Under the "Spreading" category, click "Efficiency Report" and review the available filters.
8. Select the required filters and click "Generate Report".
9. Verify the "Customer Name" column in the generated report.</t>
        </is>
      </c>
      <c r="E10" s="284" t="inlineStr">
        <is>
          <t>The Customer Name column should be displayed and should show the correct customer names.</t>
        </is>
      </c>
    </row>
    <row r="11" ht="204.75" customHeight="1" thickBot="1">
      <c r="A11" s="271" t="inlineStr">
        <is>
          <t>TC_008</t>
        </is>
      </c>
      <c r="B11" s="275" t="inlineStr">
        <is>
          <t>Reporting &gt; Efficiency Report</t>
        </is>
      </c>
      <c r="C11" s="283" t="inlineStr">
        <is>
          <t>Verify the Statement Date column in the downloadable Efficiency Report.</t>
        </is>
      </c>
      <c r="D11" s="92" t="inlineStr">
        <is>
          <t>1. Log in and navigate to the Dashboard page.
2. Under the "Spreading" tab, click "Existing Customer".
3. On the "Existing Customer" screen, open a customer using the "View" action.
4. On the "Existing Items" screen, click "Add Item", upload the file, complete the required details, and save the item.
5. Open the created item, click "Spread", perform the required actions, and submit the spread.
6. Return to the Dashboard, click "Reporting", and open "Report - Spreading Details".
7. Under the "Spreading" category, click "Efficiency Report" and review the available filters.
8. Select the required filters and click "Generate Report".
9. Verify the "Statement Date" column in the generated report.</t>
        </is>
      </c>
      <c r="E11" s="284" t="inlineStr">
        <is>
          <t>The Statement Date column should be displayed and should show the related statement dates correctly.</t>
        </is>
      </c>
    </row>
    <row r="12" ht="204.75" customHeight="1" thickBot="1">
      <c r="A12" s="271" t="inlineStr">
        <is>
          <t>TC_009</t>
        </is>
      </c>
      <c r="B12" s="275" t="inlineStr">
        <is>
          <t>Reporting &gt; Efficiency Report</t>
        </is>
      </c>
      <c r="C12" s="283" t="inlineStr">
        <is>
          <t>Verify the Base Statement Date column in the downloadable Efficiency Report.</t>
        </is>
      </c>
      <c r="D12" s="92" t="inlineStr">
        <is>
          <t>1. Log in and navigate to the Dashboard page.
2. Under the "Spreading" tab, click "Existing Customer".
3. On the "Existing Customer" screen, open a customer using the "View" action.
4. On the "Existing Items" screen, click "Add Item", upload the file, complete the required details, and save the item so that a subsequent spread can reference a base period.
5. Open the created item, click "Spread", perform the required actions, and use Submit and Continue so that a base period is available for the next spread.
6. Return to the Dashboard, click "Reporting", and open "Report - Spreading Details".
7. Under the "Spreading" category, click "Efficiency Report" and review the available filters.
8. Select the required filters and click "Generate Report".
9. Verify the "Base Statement Date" column in the generated report.</t>
        </is>
      </c>
      <c r="E12" s="284" t="inlineStr">
        <is>
          <t>The Base Statement Date column should be displayed and should show the correct base-statement dates.</t>
        </is>
      </c>
    </row>
    <row r="13" ht="217.5" customHeight="1" thickBot="1">
      <c r="A13" s="271" t="inlineStr">
        <is>
          <t>TC_010</t>
        </is>
      </c>
      <c r="B13" s="275" t="inlineStr">
        <is>
          <t>Reporting &gt; Efficiency Report</t>
        </is>
      </c>
      <c r="C13" s="283" t="inlineStr">
        <is>
          <t>Verify the Spread Type column in the downloadable Efficiency Report.</t>
        </is>
      </c>
      <c r="D13" s="92" t="inlineStr">
        <is>
          <t>1. Log in and navigate to the Dashboard page.
2. Under the "Spreading" tab, click "Existing Customer".
3. On the "Existing Customer" screen, open a customer using the "View" action.
4. On the "Existing Items" screen, click "Add Item", upload the file, select the required Spread Type, complete the remaining details, and save the item.
5. Open the created item, click "Spread", perform the required actions, and use Submit and Continue so that a base period is available for the next spread.
6. Return to the Dashboard, click "Reporting", and open "Report - Spreading Details".
7. Under the "Spreading" category, click "Efficiency Report" and review the available filters.
8. Select the required filters and click "Generate Report".
9. Verify the "Spread Type" column in the generated report.</t>
        </is>
      </c>
      <c r="E13" s="284" t="inlineStr">
        <is>
          <t>The Spread Type column should be displayed and should show the correct spread type values.</t>
        </is>
      </c>
    </row>
    <row r="14" ht="217.5" customHeight="1" thickBot="1">
      <c r="A14" s="271" t="inlineStr">
        <is>
          <t>TC_011</t>
        </is>
      </c>
      <c r="B14" s="139" t="inlineStr">
        <is>
          <t>Reporting &gt; Efficiency Report</t>
        </is>
      </c>
      <c r="C14" s="283" t="inlineStr">
        <is>
          <t>Verify the Frequency column in the downloadable Efficiency Report.</t>
        </is>
      </c>
      <c r="D14" s="92" t="inlineStr">
        <is>
          <t>1. Log in and navigate to the Dashboard page.
2. Under the "Spreading" tab, click "Existing Customer".
3. On the "Existing Customer" screen, open a customer using the "View" action.
4. On the "Existing Items" screen, click "Add Item", upload the file, select the required Frequency, complete the remaining details, and save the item.
5. Open the created item, click "Spread", perform the required actions, and use Submit and Continue so that a base period is available for the next spread.
6. Return to the Dashboard, click "Reporting", and open "Report - Spreading Details".
7. Under the "Spreading" category, click "Efficiency Report" and review the available filters.
8. Select the required filters and click "Generate Report".
9. Verify the "Frequency" column in the generated report.</t>
        </is>
      </c>
      <c r="E14" s="284" t="inlineStr">
        <is>
          <t>The Frequency column should be displayed and should show the correct frequency values.</t>
        </is>
      </c>
    </row>
    <row r="15" ht="217.5" customHeight="1" thickBot="1">
      <c r="A15" s="271" t="inlineStr">
        <is>
          <t>TC_012</t>
        </is>
      </c>
      <c r="B15" s="275" t="inlineStr">
        <is>
          <t>Reporting &gt; Efficiency Report</t>
        </is>
      </c>
      <c r="C15" s="283" t="inlineStr">
        <is>
          <t>Verify the Period column in the downloadable Efficiency Report.</t>
        </is>
      </c>
      <c r="D15" s="92" t="inlineStr">
        <is>
          <t>1. Log in and navigate to the Dashboard page.
2. Under the "Spreading" tab, click "Existing Customer".
3. On the "Existing Customer" screen, open a customer using the "View" action.
4. On the "Existing Items" screen, click "Add Item", upload the file, enter the required Period value, complete the remaining details, and save the item.
5. Open the created item, click "Spread", perform the required actions, and use Submit and Continue so that a base period is available for the next spread.
6. Return to the Dashboard, click "Reporting", and open "Report - Spreading Details".
7. Under the "Spreading" category, click "Efficiency Report" and review the available filters.
8. Select the required filters and click "Generate Report".
9. Verify the "Period" column in the generated report.</t>
        </is>
      </c>
      <c r="E15" s="284" t="inlineStr">
        <is>
          <t>The Period column should be displayed and should show the correct period values.</t>
        </is>
      </c>
    </row>
    <row r="16" ht="243" customHeight="1" thickBot="1">
      <c r="A16" s="271" t="inlineStr">
        <is>
          <t>TC_013</t>
        </is>
      </c>
      <c r="B16" s="275" t="inlineStr">
        <is>
          <t>Reporting &gt; Efficiency Report</t>
        </is>
      </c>
      <c r="C16" s="283" t="inlineStr">
        <is>
          <t>Verify the Spreading Analyst (Maker) column in the downloadable Efficiency Report.</t>
        </is>
      </c>
      <c r="D16"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spreading actions, and use Submit and Continue so that the next spread includes a base period.
6. Log in as the Manager (Checker), click "Reporting", and open "Report - Spreading Details".
7. Under the "Spreading" category, click "Efficiency Report" and review the available filters.
8. Select the required filters and click "Generate Report".
9. Verify the "Spreading Analyst (Maker)" column in the generated report.</t>
        </is>
      </c>
      <c r="E16" s="284" t="inlineStr">
        <is>
          <t>The Spreading Analyst (Maker) column should be displayed and should show the name of the analyst who created the customer data.</t>
        </is>
      </c>
    </row>
    <row r="17" ht="243" customHeight="1" thickBot="1">
      <c r="A17" s="271" t="inlineStr">
        <is>
          <t>TC_014</t>
        </is>
      </c>
      <c r="B17" s="275" t="inlineStr">
        <is>
          <t>Reporting &gt; Efficiency Report</t>
        </is>
      </c>
      <c r="C17" s="283" t="inlineStr">
        <is>
          <t>Verify the Action Date/Time (Maker) column in the downloadable Efficiency Report.</t>
        </is>
      </c>
      <c r="D17"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spreading actions, and use Submit and Continue so that the next spread includes a base period.
6. Log in as the Manager (Checker), click "Reporting", and open "Report - Spreading Details".
7. Under the "Spreading" category, click "Efficiency Report" and review the available filters.
8. Select the required filters and click "Generate Report".
9. Verify the "Action Date/Time (Maker)" column in the generated report.</t>
        </is>
      </c>
      <c r="E17" s="284" t="inlineStr">
        <is>
          <t>The Action Date/Time (Maker) column should be displayed and should show the date and time when the maker performed the action.</t>
        </is>
      </c>
    </row>
    <row r="18" ht="243" customHeight="1" thickBot="1">
      <c r="A18" s="271" t="inlineStr">
        <is>
          <t>TC_015</t>
        </is>
      </c>
      <c r="B18" s="275" t="inlineStr">
        <is>
          <t>Reporting &gt; Efficiency Report</t>
        </is>
      </c>
      <c r="C18" s="283" t="inlineStr">
        <is>
          <t>Verify the Machine Time (Maker) column in the downloadable Efficiency Report.</t>
        </is>
      </c>
      <c r="D18"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spreading actions, and use Submit and Continue so that the next spread includes a base period.
6. Log in as the Manager (Checker), click "Reporting", and open "Report - Spreading Details".
7. Under the "Spreading" category, click "Efficiency Report" and review the available filters.
8. Select the required filters and click "Generate Report".
9. Verify the "Machine Time (Maker)" column in the generated report.</t>
        </is>
      </c>
      <c r="E18" s="284" t="inlineStr">
        <is>
          <t>The Machine Time (Maker) column should be displayed and should show the machine-processing time recorded for the maker flow.</t>
        </is>
      </c>
    </row>
    <row r="19" ht="243" customHeight="1" thickBot="1">
      <c r="A19" s="271" t="inlineStr">
        <is>
          <t>TC_016</t>
        </is>
      </c>
      <c r="B19" s="275" t="inlineStr">
        <is>
          <t>Reporting &gt; Efficiency Report</t>
        </is>
      </c>
      <c r="C19" s="283" t="inlineStr">
        <is>
          <t>Verify the User Time (Maker) column in the downloadable Efficiency Report.</t>
        </is>
      </c>
      <c r="D19"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spreading actions, and use Submit and Continue so that the next spread includes a base period.
6. Log in as the Manager (Checker), click "Reporting", and open "Report - Spreading Details".
7. Under the "Spreading" category, click "Efficiency Report" and review the available filters.
8. Select the required filters and click "Generate Report".
9. Verify the "User Time (Maker)" column in the generated report.</t>
        </is>
      </c>
      <c r="E19" s="284" t="inlineStr">
        <is>
          <t>The User Time (Maker) column should be displayed and should show the time spent by the maker during spreading.</t>
        </is>
      </c>
    </row>
    <row r="20" ht="243" customHeight="1" thickBot="1">
      <c r="A20" s="271" t="inlineStr">
        <is>
          <t>TC_017</t>
        </is>
      </c>
      <c r="B20" s="275" t="inlineStr">
        <is>
          <t>Reporting &gt; Efficiency Report</t>
        </is>
      </c>
      <c r="C20" s="283" t="inlineStr">
        <is>
          <t>Verify the Spread Time (Maker) column in the downloadable Efficiency Report.</t>
        </is>
      </c>
      <c r="D20"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spreading actions, and use Submit and Continue so that the next spread includes a base period.
6. Log in as the Manager (Checker), click "Reporting", and open "Report - Spreading Details".
7. Under the "Spreading" category, click "Efficiency Report" and review the available filters.
8. Select the required filters and click "Generate Report".
9. Verify the "Spread Time (Maker)" column in the generated report.</t>
        </is>
      </c>
      <c r="E20" s="284" t="inlineStr">
        <is>
          <t>The Spread Time (Maker) column should be displayed and should show the combined Machine Time and User Time for the maker.</t>
        </is>
      </c>
    </row>
    <row r="21" ht="255.75" customHeight="1" thickBot="1">
      <c r="A21" s="271" t="inlineStr">
        <is>
          <t>TC_018</t>
        </is>
      </c>
      <c r="B21" s="275" t="inlineStr">
        <is>
          <t>Reporting &gt; Efficiency Report</t>
        </is>
      </c>
      <c r="C21" s="283" t="inlineStr">
        <is>
          <t>Verify the Zone Name column in the downloadable Efficiency Report.</t>
        </is>
      </c>
      <c r="D21"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manual-mapping or free-text mapping actions, and use Submit and Continue so that the next spread includes a base period.
6. Log in as the Manager (Checker), click "Reporting", and open "Report - Spreading Details".
7. Under the "Spreading" category, click "Efficiency Report" and review the available filters.
8. Select the required filters and click "Generate Report".
9. Verify the "Zone Name" column in the generated report.</t>
        </is>
      </c>
      <c r="E21" s="284" t="inlineStr">
        <is>
          <t>The Zone Name column should be displayed and should show the relevant zone used for manual or free-text mapping.</t>
        </is>
      </c>
    </row>
    <row r="22" ht="255.75" customHeight="1" thickBot="1">
      <c r="A22" s="271" t="inlineStr">
        <is>
          <t>TC_019</t>
        </is>
      </c>
      <c r="B22" s="275" t="inlineStr">
        <is>
          <t>Reporting &gt; Efficiency Report</t>
        </is>
      </c>
      <c r="C22" s="283" t="inlineStr">
        <is>
          <t>Verify the Autofilled column in the downloadable Efficiency Report.</t>
        </is>
      </c>
      <c r="D22"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manual-mapping or free-text mapping actions, and use Submit and Continue so that the next spread includes a base period.
6. Log in as the Manager (Checker), click "Reporting", and open "Report - Spreading Details".
7. Under the "Spreading" category, click "Efficiency Report" and review the available filters.
8. Select the required filters and click "Generate Report".
9. Verify the "Autofilled" column in the generated report.</t>
        </is>
      </c>
      <c r="E22" s="284" t="inlineStr">
        <is>
          <t>The Autofilled column should be displayed and should show the count of values autofilled from the base period to the current period.</t>
        </is>
      </c>
    </row>
    <row r="23" ht="255.75" customHeight="1" thickBot="1">
      <c r="A23" s="271" t="inlineStr">
        <is>
          <t>TC_020</t>
        </is>
      </c>
      <c r="B23" s="275" t="inlineStr">
        <is>
          <t>Reporting &gt; Efficiency Report</t>
        </is>
      </c>
      <c r="C23" s="283" t="inlineStr">
        <is>
          <t>Verify the Manual Mapped column in the downloadable Efficiency Report.</t>
        </is>
      </c>
      <c r="D23"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manual-mapping or free-text mapping actions, and use Submit and Continue so that the next spread includes a base period.
6. Log in as the Manager (Checker), click "Reporting", and open "Report - Spreading Details".
7. Under the "Spreading" category, click "Efficiency Report" and review the available filters.
8. Select the required filters and click "Generate Report".
9. Verify the "Manual Mapped" column in the generated report.</t>
        </is>
      </c>
      <c r="E23" s="284" t="inlineStr">
        <is>
          <t>The Manual Mapped column should be displayed and should show the count of values manually mapped from the document to the model.</t>
        </is>
      </c>
    </row>
    <row r="24" ht="255.75" customHeight="1" thickBot="1">
      <c r="A24" s="271" t="inlineStr">
        <is>
          <t>TC_021</t>
        </is>
      </c>
      <c r="B24" s="275" t="inlineStr">
        <is>
          <t>Reporting &gt; Efficiency Report</t>
        </is>
      </c>
      <c r="C24" s="283" t="inlineStr">
        <is>
          <t>Verify the Total Items column in the downloadable Efficiency Report.</t>
        </is>
      </c>
      <c r="D24"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manual-mapping or free-text mapping actions, and use Submit and Continue so that the next spread includes a base period.
6. Log in as the Manager (Checker), click "Reporting", and open "Report - Spreading Details".
7. Under the "Spreading" category, click "Efficiency Report" and review the available filters.
8. Select the required filters and click "Generate Report".
9. Verify the "Total Items" column in the generated report.</t>
        </is>
      </c>
      <c r="E24" s="284" t="inlineStr">
        <is>
          <t>The Total Items column should be displayed and should show the combined count of Autofilled, Optically Mapped, and Manual Entry values.</t>
        </is>
      </c>
    </row>
    <row r="25" ht="255.75" customHeight="1" thickBot="1">
      <c r="A25" s="271" t="inlineStr">
        <is>
          <t>TC_022</t>
        </is>
      </c>
      <c r="B25" s="275" t="inlineStr">
        <is>
          <t>Reporting &gt; Efficiency Report</t>
        </is>
      </c>
      <c r="C25" s="283" t="inlineStr">
        <is>
          <t>Verify the System Learning Efficiency (%) column in the downloadable Efficiency Report.</t>
        </is>
      </c>
      <c r="D25"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manual-mapping or free-text mapping actions, and use Submit and Continue so that the next spread includes a base period.
6. Log in as the Manager (Checker), click "Reporting", and open "Report - Spreading Details".
7. Under the "Spreading" category, click "Efficiency Report" and review the available filters.
8. Select the required filters and click "Generate Report".
9. Verify the "System Learning Efficiency (%)" column in the generated report.</t>
        </is>
      </c>
      <c r="E25" s="284" t="inlineStr">
        <is>
          <t>The System Learning Efficiency (%) column should be displayed and should be calculated as:
System Learning Efficiency (%) = Current Items Autofilled / Total Items Submitted * 100</t>
        </is>
      </c>
    </row>
    <row r="26" ht="255.75" customHeight="1" thickBot="1">
      <c r="A26" s="271" t="inlineStr">
        <is>
          <t>TC_023</t>
        </is>
      </c>
      <c r="B26" s="275" t="inlineStr">
        <is>
          <t>Reporting &gt; Efficiency Report</t>
        </is>
      </c>
      <c r="C26" s="283" t="inlineStr">
        <is>
          <t>Verify the SLA (Minutes) column in the downloadable Efficiency Report.</t>
        </is>
      </c>
      <c r="D26"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manual-mapping or free-text mapping actions, and use Submit and Continue so that the next spread includes a base period.
6. Log in as the Manager (Checker), click "Reporting", and open "Report - Spreading Details".
7. Under the "Spreading" category, click "Efficiency Report" and review the available filters.
8. Select the required filters and click "Generate Report".
9. Verify the "SLA (Minutes)" column in the generated report.</t>
        </is>
      </c>
      <c r="E26" s="287" t="inlineStr">
        <is>
          <t>The SLA (Minutes) column should be displayed and should show the configured SLA value (default: 60 minutes).</t>
        </is>
      </c>
    </row>
    <row r="27" ht="255.75" customHeight="1" thickBot="1">
      <c r="A27" s="271" t="inlineStr">
        <is>
          <t>TC_024</t>
        </is>
      </c>
      <c r="B27" s="275" t="inlineStr">
        <is>
          <t>Reporting &gt; Efficiency Report</t>
        </is>
      </c>
      <c r="C27" s="283" t="inlineStr">
        <is>
          <t>Verify the Efficiency over SLA (%) column in the downloadable Efficiency Report.</t>
        </is>
      </c>
      <c r="D27"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manual-mapping or free-text mapping actions, and use Submit and Continue so that the next spread includes a base period.
6. Log in as the Manager (Checker), click "Reporting", and open "Report - Spreading Details".
7. Under the "Spreading" category, click "Efficiency Report" and review the available filters.
8. Select the required filters and click "Generate Report".
9. Verify the "Efficiency over SLA (%)" column in the generated report.</t>
        </is>
      </c>
      <c r="E27" s="287" t="inlineStr">
        <is>
          <t>The Efficiency over SLA (%) column should be displayed and should be calculated as:
Efficiency over SLA (%) = (SLA Time - Spread Time) / SLA Time * 100</t>
        </is>
      </c>
    </row>
    <row r="28" ht="255.75" customHeight="1" thickBot="1">
      <c r="A28" s="271" t="inlineStr">
        <is>
          <t>TC_025</t>
        </is>
      </c>
      <c r="B28" s="275" t="inlineStr">
        <is>
          <t>Reporting &gt; Efficiency Report</t>
        </is>
      </c>
      <c r="C28" s="283" t="inlineStr">
        <is>
          <t>Verify the Efficiency over Period (%) column in the downloadable Efficiency Report.</t>
        </is>
      </c>
      <c r="D28"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manual-mapping or free-text mapping actions, and use Submit and Continue so that the next spread includes a base period.
6. Log in as the Manager (Checker), click "Reporting", and open "Report - Spreading Details".
7. Under the "Spreading" category, click "Efficiency Report" and review the available filters.
8. Select the required filters and click "Generate Report".
9. Verify the "Efficiency over Period (%)" column in the generated report.</t>
        </is>
      </c>
      <c r="E28" s="287" t="inlineStr">
        <is>
          <t>The Efficiency over Period (%) column should be displayed and should be calculated as:
Efficiency over Period (%) = (Base Spread Time - Current Spread Time) / Base Spread Time * 100</t>
        </is>
      </c>
    </row>
    <row r="29" ht="306.75" customHeight="1" thickBot="1">
      <c r="A29" s="271" t="inlineStr">
        <is>
          <t>TC_026</t>
        </is>
      </c>
      <c r="B29" s="275" t="inlineStr">
        <is>
          <t>Reporting &gt; Efficiency Report</t>
        </is>
      </c>
      <c r="C29" s="288" t="inlineStr">
        <is>
          <t>Verify the Validation Analyst (Checker) column in the downloadable Efficiency Report.</t>
        </is>
      </c>
      <c r="D29"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actions, and submit the spread for QC.
6. Log in as the Manager (Checker), open the item from the Quality Check queue, review it, and complete the checker action.
7. Return to the Dashboard, click "Reporting", and open "Report - Spreading Details".
8. Under the "Spreading" category, click "Efficiency Report" and review the available filters.
9. Select the required filters and click "Generate Report".
10. Verify the "Validation Analyst (Checker)" column in the generated report.</t>
        </is>
      </c>
      <c r="E29" s="284" t="inlineStr">
        <is>
          <t>The Validation Analyst (Checker) column should be displayed and should show the name of the checker who validated the item.</t>
        </is>
      </c>
    </row>
    <row r="30" ht="306.75" customHeight="1" thickBot="1">
      <c r="A30" s="271" t="inlineStr">
        <is>
          <t>TC_027</t>
        </is>
      </c>
      <c r="B30" s="275" t="inlineStr">
        <is>
          <t>Reporting &gt; Efficiency Report</t>
        </is>
      </c>
      <c r="C30" s="288" t="inlineStr">
        <is>
          <t>Verify the Received Date (Checker) column in the downloadable Efficiency Report.</t>
        </is>
      </c>
      <c r="D30"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actions, and submit the spread for QC.
6. Log in as the Manager (Checker), open the item from the Quality Check queue, review it, and complete the checker action.
7. Return to the Dashboard, click "Reporting", and open "Report - Spreading Details".
8. Under the "Spreading" category, click "Efficiency Report" and review the available filters.
9. Select the required filters and click "Generate Report".
10. Verify the "Received Date (Checker)" column in the generated report.</t>
        </is>
      </c>
      <c r="E30" s="284" t="inlineStr">
        <is>
          <t>The Received Date (Checker) column should be displayed and should show the date when the checker received or validated the item created by the maker.</t>
        </is>
      </c>
    </row>
    <row r="31" ht="255.75" customHeight="1" thickBot="1">
      <c r="A31" s="271" t="inlineStr">
        <is>
          <t>TC_028</t>
        </is>
      </c>
      <c r="B31" s="275" t="inlineStr">
        <is>
          <t>Reporting &gt; Efficiency Report</t>
        </is>
      </c>
      <c r="C31" s="288" t="inlineStr">
        <is>
          <t>Verify the Action Date (Checker) column in the downloadable Efficiency Report.</t>
        </is>
      </c>
      <c r="D31"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actions, and submit the spread for QC.
6. Log in as the Manager (Checker), open the item from the Quality Check queue, review it, and complete the checker action.
7. Return to the Dashboard, click "Reporting", and open "Report - Spreading Details".
8. Under the "Spreading" category, click "Efficiency Report" and review the available filters.
9. Select the required filters and click "Generate Report".
10. Verify the "Action Date (Checker)" column in the generated report.</t>
        </is>
      </c>
      <c r="E31" s="284" t="inlineStr">
        <is>
          <t>The Action Date (Checker) column should be displayed and should show the date when the checker took action on the validation item.</t>
        </is>
      </c>
    </row>
    <row r="32" ht="306.75" customHeight="1" thickBot="1">
      <c r="A32" s="271" t="inlineStr">
        <is>
          <t>TC_029</t>
        </is>
      </c>
      <c r="B32" s="275" t="inlineStr">
        <is>
          <t>Reporting &gt; Efficiency Report</t>
        </is>
      </c>
      <c r="C32" s="288" t="inlineStr">
        <is>
          <t>Verify the Machine Time (Checker) column in the downloadable Efficiency Report.</t>
        </is>
      </c>
      <c r="D32"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actions, and submit the spread for QC.
6. Log in as the Manager (Checker), open the item from the Quality Check queue, review it, and complete the checker action.
7. Return to the Dashboard, click "Reporting", and open "Report - Spreading Details".
8. Under the "Spreading" category, click "Efficiency Report" and review the available filters.
9. Select the required filters and click "Generate Report".
10. Verify the "Machine Time (Checker)" column in the generated report.</t>
        </is>
      </c>
      <c r="E32" s="284" t="inlineStr">
        <is>
          <t>The Machine Time (Checker) column should be displayed and should show the machine-processing time recorded for the checker flow.</t>
        </is>
      </c>
    </row>
    <row r="33" ht="255.75" customHeight="1" thickBot="1">
      <c r="A33" s="271" t="inlineStr">
        <is>
          <t>TC_030</t>
        </is>
      </c>
      <c r="B33" s="275" t="inlineStr">
        <is>
          <t>Reporting &gt; Efficiency Report</t>
        </is>
      </c>
      <c r="C33" s="288" t="inlineStr">
        <is>
          <t>Verify the User Time (Checker) column in the downloadable Efficiency Report.</t>
        </is>
      </c>
      <c r="D33"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actions, and submit the spread for QC.
6. Log in as the Manager (Checker), open the item from the Quality Check queue, review it, and complete the checker action.
7. Return to the Dashboard, click "Reporting", and open "Report - Spreading Details".
8. Under the "Spreading" category, click "Efficiency Report" and review the available filters.
9. Select the required filters and click "Generate Report".
10. Verify the "User Time (Checker)" column in the generated report.</t>
        </is>
      </c>
      <c r="E33" s="284" t="inlineStr">
        <is>
          <t>The User Time (Checker) column should be displayed and should show the time spent by the checker during validation.</t>
        </is>
      </c>
    </row>
    <row r="34" ht="306.75" customHeight="1" thickBot="1">
      <c r="A34" s="271" t="inlineStr">
        <is>
          <t>TC_031</t>
        </is>
      </c>
      <c r="B34" s="275" t="inlineStr">
        <is>
          <t>Reporting &gt; Efficiency Report</t>
        </is>
      </c>
      <c r="C34" s="288" t="inlineStr">
        <is>
          <t>Verify the Spread Time (Checker) column in the downloadable Efficiency Report.</t>
        </is>
      </c>
      <c r="D34"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actions, and submit the spread for QC.
6. Log in as the Manager (Checker), open the item from the Quality Check queue, review it, and complete the checker action.
7. Return to the Dashboard, click "Reporting", and open "Report - Spreading Details".
8. Under the "Spreading" category, click "Efficiency Report" and review the available filters.
9. Select the required filters and click "Generate Report".
10. Verify the "Spread Time (Checker)" column in the generated report.</t>
        </is>
      </c>
      <c r="E34" s="284" t="inlineStr">
        <is>
          <t>The Spread Time (Checker) column should be displayed and should show the combined Machine Time and User Time for the checker.</t>
        </is>
      </c>
    </row>
    <row r="35" ht="255.75" customHeight="1" thickBot="1">
      <c r="A35" s="271" t="inlineStr">
        <is>
          <t>TC_032</t>
        </is>
      </c>
      <c r="B35" s="275" t="inlineStr">
        <is>
          <t>Reporting &gt; Efficiency Report</t>
        </is>
      </c>
      <c r="C35" s="288" t="inlineStr">
        <is>
          <t>Verify the SLA (Checker) (Minutes) column in the downloadable Efficiency Report.</t>
        </is>
      </c>
      <c r="D35"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actions, and submit the spread for QC.
6. Log in as the Manager (Checker), open the item from the Quality Check queue, review it, and complete the checker action.
7. Return to the Dashboard, click "Reporting", and open "Report - Spreading Details".
8. Under the "Spreading" category, click "Efficiency Report" and review the available filters.
9. Select the required filters and click "Generate Report".
10. Verify the "SLA (Checker) (Minutes)" column in the generated report.</t>
        </is>
      </c>
      <c r="E35" s="287" t="inlineStr">
        <is>
          <t>The SLA (Checker) (Minutes) column should be displayed and should show the configured checker SLA value (default: 60 minutes).</t>
        </is>
      </c>
    </row>
    <row r="36" ht="306.75" customHeight="1" thickBot="1">
      <c r="A36" s="271" t="inlineStr">
        <is>
          <t>TC_033</t>
        </is>
      </c>
      <c r="B36" s="275" t="inlineStr">
        <is>
          <t>Reporting &gt; Efficiency Report</t>
        </is>
      </c>
      <c r="C36" s="288" t="inlineStr">
        <is>
          <t>Verify the Efficiency over SLA (Checker) (%) column in the downloadable Efficiency Report.</t>
        </is>
      </c>
      <c r="D36" s="92"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actions, and submit the spread for QC.
6. Log in as the Manager (Checker), open the item from the Quality Check queue, review it, and complete the checker action.
7. Return to the Dashboard, click "Reporting", and open "Report - Spreading Details".
8. Under the "Spreading" category, click "Efficiency Report" and review the available filters.
9. Select the required filters and click "Generate Report".
10. Verify the "Efficiency over SLA (Checker) (%)" column in the generated report.</t>
        </is>
      </c>
      <c r="E36" s="287" t="inlineStr">
        <is>
          <t>The Efficiency over SLA (Checker) (%) column should be displayed and should be calculated as:
Efficiency over SLA (Checker) (%) = (SLA (Checker) Minutes - Spread Time (Checker)) / SLA (Checker) Minutes * 100</t>
        </is>
      </c>
    </row>
    <row r="37" ht="255.75" customHeight="1" thickBot="1">
      <c r="A37" s="271" t="inlineStr">
        <is>
          <t>TC_034</t>
        </is>
      </c>
      <c r="B37" s="289" t="inlineStr">
        <is>
          <t>Reporting &gt; Efficiency Report</t>
        </is>
      </c>
      <c r="C37" s="290" t="inlineStr">
        <is>
          <t>Verify the Efficiency over Period (Checker) (%) column in the downloadable Efficiency Report.</t>
        </is>
      </c>
      <c r="D37" s="291" t="inlineStr">
        <is>
          <t>1. Log in as the Analyst (Maker) and navigate to the Dashboard page.
2. Under the "Spreading" tab, click "Existing Customer".
3. On the "Existing Customer" screen, open a customer using the "View" action.
4. On the "Existing Items" screen, click "Add Item", upload the file, complete the mandatory details, and save the item.
5. Open the created item, click "Spread", perform the required actions, and submit the spread for QC.
6. Log in as the Manager (Checker), open the item from the Quality Check queue, review it, and complete the checker action.
7. Return to the Dashboard, click "Reporting", and open "Report - Spreading Details".
8. Under the "Spreading" category, click "Efficiency Report" and review the available filters.
9. Select the required filters and click "Generate Report".
10. Verify the "Efficiency over Period (Checker) (%)" column in the generated report.</t>
        </is>
      </c>
      <c r="E37" s="292" t="inlineStr">
        <is>
          <t>The Efficiency over Period (Checker) (%) column should be displayed and should follow the configured checker efficiency-over-period calculation.</t>
        </is>
      </c>
    </row>
    <row r="38" ht="255.75" customHeight="1" thickBot="1">
      <c r="A38" s="271" t="inlineStr">
        <is>
          <t>TC_035</t>
        </is>
      </c>
      <c r="B38" s="280" t="inlineStr">
        <is>
          <t>Reporting &gt; Efficiency Report</t>
        </is>
      </c>
      <c r="C38" s="281" t="inlineStr">
        <is>
          <t>Verify the time format displayed in the downloadable Efficiency Report.</t>
        </is>
      </c>
      <c r="D38" s="293" t="inlineStr">
        <is>
          <t>1. Log in as the Analyst (Maker), create and spread an item, and submit it.
2. Log in as the Manager (Checker), review the item through the QC flow, and complete the checker action.
3. Open Reporting &gt; Report - Spreading Details.
4. Generate the Efficiency Report.
5. Verify the time format shown for the maker and checker time columns.</t>
        </is>
      </c>
      <c r="E38" s="294" t="inlineStr">
        <is>
          <t>Machine Time (Maker), User Time (Maker), Spread Time (Maker), Machine Time (Checker), User Time (Checker), and Spread Time (Checker) should appear in HH:MM:SS format with the appropriate headers.</t>
        </is>
      </c>
    </row>
    <row r="39" ht="255.75" customHeight="1" thickBot="1">
      <c r="A39" s="271" t="inlineStr">
        <is>
          <t>TC_036</t>
        </is>
      </c>
      <c r="B39" s="280" t="inlineStr">
        <is>
          <t>Reporting &gt; Efficiency Report</t>
        </is>
      </c>
      <c r="C39" s="281" t="inlineStr">
        <is>
          <t>Verify the Base Statement Date, Efficiency over Period (%), and Efficiency over Period (Checker) (%) values in the downloadable Efficiency Report when no base spread exists.</t>
        </is>
      </c>
      <c r="D39" s="293" t="inlineStr">
        <is>
          <t>1. Log in as the Analyst (Maker) and create the first item for a customer so that no base spread exists.
2. Spread and submit the item.
3. Open Reporting &gt; Report - Spreading Details.
4. Generate the Efficiency Report.
5. Verify that the Base Statement Date, Efficiency over Period (%), and Efficiency over Period (Checker) (%) fields display NA when no base spread is available.</t>
        </is>
      </c>
      <c r="E39" s="294" t="inlineStr">
        <is>
          <t>NA should appear in the Base Statement Date, Efficiency over Period (%), and Efficiency over Period (Checker) (%) columns when no base spread exists for the first submitted item.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Neha Bharti</dc:creator>
  <dcterms:created xmlns:dcterms="http://purl.org/dc/terms/" xmlns:xsi="http://www.w3.org/2001/XMLSchema-instance" xsi:type="dcterms:W3CDTF">2021-09-01T14:15:02Z</dcterms:created>
  <dcterms:modified xmlns:dcterms="http://purl.org/dc/terms/" xmlns:xsi="http://www.w3.org/2001/XMLSchema-instance" xsi:type="dcterms:W3CDTF">2026-03-27T18:02:35Z</dcterms:modified>
  <cp:lastModifiedBy>ASUS</cp:lastModifiedBy>
</cp:coreProperties>
</file>

<file path=docProps/custom.xml><?xml version="1.0" encoding="utf-8"?>
<Properties xmlns="http://schemas.openxmlformats.org/officeDocument/2006/custom-properties">
  <property name="_NewReviewCycle"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0x01010035D5FE1501AD874B8BA2DE7197BDC612</vt:lpwstr>
  </property>
  <property name="MediaServiceImageTags" fmtid="{D5CDD505-2E9C-101B-9397-08002B2CF9AE}" pid="4">
    <vt:lpwstr xmlns:vt="http://schemas.openxmlformats.org/officeDocument/2006/docPropsVTypes"/>
  </property>
</Properties>
</file>